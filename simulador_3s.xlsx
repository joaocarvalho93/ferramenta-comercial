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ao.carlos_ifood\Desktop\materiais_salao\harry\"/>
    </mc:Choice>
  </mc:AlternateContent>
  <xr:revisionPtr revIDLastSave="0" documentId="13_ncr:1_{C4574AE9-6698-4695-BC04-D3389E06F1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mulador" sheetId="1" r:id="rId1"/>
    <sheet name="ResumoCenarios" sheetId="2" r:id="rId2"/>
    <sheet name="Cenário 1" sheetId="3" r:id="rId3"/>
    <sheet name="Cenário 2" sheetId="4" r:id="rId4"/>
    <sheet name="Cenário 3" sheetId="5" r:id="rId5"/>
    <sheet name="Premiss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6" l="1"/>
  <c r="C7" i="6" s="1"/>
  <c r="D54" i="6"/>
  <c r="C9" i="6" s="1"/>
  <c r="C29" i="6"/>
  <c r="C30" i="6" s="1"/>
  <c r="D25" i="6"/>
  <c r="D24" i="6"/>
  <c r="L2" i="6"/>
  <c r="M2" i="6" s="1"/>
  <c r="N2" i="6" s="1"/>
  <c r="O2" i="6" s="1"/>
  <c r="P2" i="6" s="1"/>
  <c r="Q2" i="6" s="1"/>
  <c r="R2" i="6" s="1"/>
  <c r="S2" i="6" s="1"/>
  <c r="T2" i="6" s="1"/>
  <c r="EE46" i="5"/>
  <c r="O44" i="5"/>
  <c r="M44" i="5"/>
  <c r="L44" i="5"/>
  <c r="K44" i="5"/>
  <c r="J44" i="5"/>
  <c r="I44" i="5"/>
  <c r="H44" i="5"/>
  <c r="G44" i="5"/>
  <c r="F44" i="5"/>
  <c r="E44" i="5"/>
  <c r="D44" i="5"/>
  <c r="P43" i="5"/>
  <c r="M42" i="5"/>
  <c r="L42" i="5"/>
  <c r="K42" i="5"/>
  <c r="J42" i="5"/>
  <c r="I42" i="5"/>
  <c r="H42" i="5"/>
  <c r="G42" i="5"/>
  <c r="F42" i="5"/>
  <c r="E42" i="5"/>
  <c r="P41" i="5"/>
  <c r="M40" i="5"/>
  <c r="L40" i="5"/>
  <c r="K40" i="5"/>
  <c r="J40" i="5"/>
  <c r="I40" i="5"/>
  <c r="H40" i="5"/>
  <c r="G40" i="5"/>
  <c r="F40" i="5"/>
  <c r="E40" i="5"/>
  <c r="D40" i="5"/>
  <c r="O39" i="5"/>
  <c r="M39" i="5"/>
  <c r="L39" i="5"/>
  <c r="K39" i="5"/>
  <c r="J39" i="5"/>
  <c r="I39" i="5"/>
  <c r="H39" i="5"/>
  <c r="G39" i="5"/>
  <c r="F39" i="5"/>
  <c r="E39" i="5"/>
  <c r="D39" i="5"/>
  <c r="P38" i="5"/>
  <c r="P24" i="5"/>
  <c r="Q23" i="5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O23" i="5"/>
  <c r="CA21" i="5"/>
  <c r="BS21" i="5"/>
  <c r="O19" i="5"/>
  <c r="ED15" i="5"/>
  <c r="ED21" i="5" s="1"/>
  <c r="EC15" i="5"/>
  <c r="EC21" i="5" s="1"/>
  <c r="EB15" i="5"/>
  <c r="EB21" i="5" s="1"/>
  <c r="EA15" i="5"/>
  <c r="EA21" i="5" s="1"/>
  <c r="DZ15" i="5"/>
  <c r="DZ21" i="5" s="1"/>
  <c r="DY15" i="5"/>
  <c r="DY21" i="5" s="1"/>
  <c r="DX15" i="5"/>
  <c r="DX21" i="5" s="1"/>
  <c r="DW15" i="5"/>
  <c r="DW21" i="5" s="1"/>
  <c r="DV15" i="5"/>
  <c r="DV21" i="5" s="1"/>
  <c r="DU15" i="5"/>
  <c r="DU21" i="5" s="1"/>
  <c r="DT15" i="5"/>
  <c r="DT21" i="5" s="1"/>
  <c r="DS15" i="5"/>
  <c r="DR15" i="5"/>
  <c r="DR21" i="5" s="1"/>
  <c r="DQ15" i="5"/>
  <c r="DQ21" i="5" s="1"/>
  <c r="DP15" i="5"/>
  <c r="DP21" i="5" s="1"/>
  <c r="DO15" i="5"/>
  <c r="DO21" i="5" s="1"/>
  <c r="DN15" i="5"/>
  <c r="DN21" i="5" s="1"/>
  <c r="DM15" i="5"/>
  <c r="DM21" i="5" s="1"/>
  <c r="DL15" i="5"/>
  <c r="DL21" i="5" s="1"/>
  <c r="DK15" i="5"/>
  <c r="DK21" i="5" s="1"/>
  <c r="DJ15" i="5"/>
  <c r="DJ21" i="5" s="1"/>
  <c r="DI15" i="5"/>
  <c r="DI21" i="5" s="1"/>
  <c r="DH15" i="5"/>
  <c r="DH21" i="5" s="1"/>
  <c r="DG15" i="5"/>
  <c r="DG21" i="5" s="1"/>
  <c r="DF15" i="5"/>
  <c r="DF21" i="5" s="1"/>
  <c r="DE15" i="5"/>
  <c r="DE21" i="5" s="1"/>
  <c r="DD15" i="5"/>
  <c r="DD21" i="5" s="1"/>
  <c r="DC15" i="5"/>
  <c r="DC21" i="5" s="1"/>
  <c r="DB15" i="5"/>
  <c r="DB21" i="5" s="1"/>
  <c r="DA15" i="5"/>
  <c r="DA21" i="5" s="1"/>
  <c r="CZ15" i="5"/>
  <c r="CZ21" i="5" s="1"/>
  <c r="CY15" i="5"/>
  <c r="CY21" i="5" s="1"/>
  <c r="CX15" i="5"/>
  <c r="CX21" i="5" s="1"/>
  <c r="CW15" i="5"/>
  <c r="CW21" i="5" s="1"/>
  <c r="CV15" i="5"/>
  <c r="CV21" i="5" s="1"/>
  <c r="CU15" i="5"/>
  <c r="CU21" i="5" s="1"/>
  <c r="CT15" i="5"/>
  <c r="CT21" i="5" s="1"/>
  <c r="CS15" i="5"/>
  <c r="CS21" i="5" s="1"/>
  <c r="CR15" i="5"/>
  <c r="CR21" i="5" s="1"/>
  <c r="CQ15" i="5"/>
  <c r="CQ21" i="5" s="1"/>
  <c r="CP15" i="5"/>
  <c r="CP21" i="5" s="1"/>
  <c r="CO15" i="5"/>
  <c r="CO21" i="5" s="1"/>
  <c r="CN15" i="5"/>
  <c r="CN21" i="5" s="1"/>
  <c r="CM15" i="5"/>
  <c r="CM21" i="5" s="1"/>
  <c r="CL15" i="5"/>
  <c r="CL21" i="5" s="1"/>
  <c r="CK15" i="5"/>
  <c r="CK21" i="5" s="1"/>
  <c r="CJ15" i="5"/>
  <c r="CJ21" i="5" s="1"/>
  <c r="CI15" i="5"/>
  <c r="CI21" i="5" s="1"/>
  <c r="CH15" i="5"/>
  <c r="CH21" i="5" s="1"/>
  <c r="CG15" i="5"/>
  <c r="CG21" i="5" s="1"/>
  <c r="CF15" i="5"/>
  <c r="CF21" i="5" s="1"/>
  <c r="CE15" i="5"/>
  <c r="CE21" i="5" s="1"/>
  <c r="CD15" i="5"/>
  <c r="CD21" i="5" s="1"/>
  <c r="CC15" i="5"/>
  <c r="CC21" i="5" s="1"/>
  <c r="CB15" i="5"/>
  <c r="CB21" i="5" s="1"/>
  <c r="CA15" i="5"/>
  <c r="BZ15" i="5"/>
  <c r="BZ21" i="5" s="1"/>
  <c r="BY15" i="5"/>
  <c r="BY21" i="5" s="1"/>
  <c r="BX15" i="5"/>
  <c r="BX21" i="5" s="1"/>
  <c r="BW15" i="5"/>
  <c r="BV15" i="5"/>
  <c r="BV21" i="5" s="1"/>
  <c r="BU15" i="5"/>
  <c r="BU21" i="5" s="1"/>
  <c r="BT15" i="5"/>
  <c r="BT21" i="5" s="1"/>
  <c r="BS15" i="5"/>
  <c r="BR15" i="5"/>
  <c r="BR21" i="5" s="1"/>
  <c r="BQ15" i="5"/>
  <c r="BQ21" i="5" s="1"/>
  <c r="BP15" i="5"/>
  <c r="BP21" i="5" s="1"/>
  <c r="BO15" i="5"/>
  <c r="BO21" i="5" s="1"/>
  <c r="BN15" i="5"/>
  <c r="BN21" i="5" s="1"/>
  <c r="BM15" i="5"/>
  <c r="BM21" i="5" s="1"/>
  <c r="BL15" i="5"/>
  <c r="BL21" i="5" s="1"/>
  <c r="BK15" i="5"/>
  <c r="BK21" i="5" s="1"/>
  <c r="BJ15" i="5"/>
  <c r="BJ21" i="5" s="1"/>
  <c r="BI15" i="5"/>
  <c r="BI21" i="5" s="1"/>
  <c r="BH15" i="5"/>
  <c r="BH21" i="5" s="1"/>
  <c r="BG15" i="5"/>
  <c r="BG21" i="5" s="1"/>
  <c r="BF15" i="5"/>
  <c r="BF21" i="5" s="1"/>
  <c r="BE15" i="5"/>
  <c r="BE21" i="5" s="1"/>
  <c r="BD15" i="5"/>
  <c r="BD21" i="5" s="1"/>
  <c r="BC15" i="5"/>
  <c r="BC21" i="5" s="1"/>
  <c r="BB15" i="5"/>
  <c r="BB21" i="5" s="1"/>
  <c r="BA15" i="5"/>
  <c r="BA21" i="5" s="1"/>
  <c r="AZ15" i="5"/>
  <c r="AZ21" i="5" s="1"/>
  <c r="AY15" i="5"/>
  <c r="AX15" i="5"/>
  <c r="AX21" i="5" s="1"/>
  <c r="AW15" i="5"/>
  <c r="AW21" i="5" s="1"/>
  <c r="AV15" i="5"/>
  <c r="AV21" i="5" s="1"/>
  <c r="AU15" i="5"/>
  <c r="AU21" i="5" s="1"/>
  <c r="AT15" i="5"/>
  <c r="AT21" i="5" s="1"/>
  <c r="AS15" i="5"/>
  <c r="AS21" i="5" s="1"/>
  <c r="AR15" i="5"/>
  <c r="AR21" i="5" s="1"/>
  <c r="AQ15" i="5"/>
  <c r="AQ21" i="5" s="1"/>
  <c r="AP15" i="5"/>
  <c r="AP21" i="5" s="1"/>
  <c r="AO15" i="5"/>
  <c r="AO21" i="5" s="1"/>
  <c r="AN15" i="5"/>
  <c r="AN21" i="5" s="1"/>
  <c r="AM15" i="5"/>
  <c r="AM21" i="5" s="1"/>
  <c r="F21" i="5" s="1"/>
  <c r="AL15" i="5"/>
  <c r="AL21" i="5" s="1"/>
  <c r="AK15" i="5"/>
  <c r="AK21" i="5" s="1"/>
  <c r="AJ15" i="5"/>
  <c r="AJ21" i="5" s="1"/>
  <c r="AI15" i="5"/>
  <c r="AI21" i="5" s="1"/>
  <c r="AH15" i="5"/>
  <c r="AH21" i="5" s="1"/>
  <c r="AG15" i="5"/>
  <c r="AG21" i="5" s="1"/>
  <c r="AF15" i="5"/>
  <c r="AF21" i="5" s="1"/>
  <c r="AE15" i="5"/>
  <c r="AE21" i="5" s="1"/>
  <c r="AD15" i="5"/>
  <c r="AD21" i="5" s="1"/>
  <c r="AC15" i="5"/>
  <c r="AC21" i="5" s="1"/>
  <c r="AB15" i="5"/>
  <c r="AB21" i="5" s="1"/>
  <c r="AA15" i="5"/>
  <c r="Z15" i="5"/>
  <c r="Z21" i="5" s="1"/>
  <c r="Y15" i="5"/>
  <c r="Y21" i="5" s="1"/>
  <c r="X15" i="5"/>
  <c r="X21" i="5" s="1"/>
  <c r="W15" i="5"/>
  <c r="W21" i="5" s="1"/>
  <c r="V15" i="5"/>
  <c r="V21" i="5" s="1"/>
  <c r="U15" i="5"/>
  <c r="U21" i="5" s="1"/>
  <c r="T15" i="5"/>
  <c r="T21" i="5" s="1"/>
  <c r="S15" i="5"/>
  <c r="R15" i="5"/>
  <c r="R21" i="5" s="1"/>
  <c r="Q15" i="5"/>
  <c r="Q21" i="5" s="1"/>
  <c r="P15" i="5"/>
  <c r="P21" i="5" s="1"/>
  <c r="O15" i="5"/>
  <c r="K15" i="5"/>
  <c r="P9" i="5"/>
  <c r="S7" i="5"/>
  <c r="R7" i="5"/>
  <c r="P7" i="5"/>
  <c r="P20" i="5" s="1"/>
  <c r="O7" i="5"/>
  <c r="O9" i="5" s="1"/>
  <c r="U2" i="5"/>
  <c r="T2" i="5"/>
  <c r="T7" i="5" s="1"/>
  <c r="Q2" i="5"/>
  <c r="R2" i="5" s="1"/>
  <c r="S2" i="5" s="1"/>
  <c r="P2" i="5"/>
  <c r="T1" i="5"/>
  <c r="S1" i="5"/>
  <c r="Q1" i="5"/>
  <c r="R1" i="5" s="1"/>
  <c r="EE46" i="4"/>
  <c r="O44" i="4"/>
  <c r="M44" i="4"/>
  <c r="L44" i="4"/>
  <c r="K44" i="4"/>
  <c r="J44" i="4"/>
  <c r="I44" i="4"/>
  <c r="H44" i="4"/>
  <c r="G44" i="4"/>
  <c r="F44" i="4"/>
  <c r="E44" i="4"/>
  <c r="D44" i="4"/>
  <c r="P43" i="4"/>
  <c r="O42" i="4"/>
  <c r="D42" i="4" s="1"/>
  <c r="M42" i="4"/>
  <c r="L42" i="4"/>
  <c r="K42" i="4"/>
  <c r="J42" i="4"/>
  <c r="I42" i="4"/>
  <c r="H42" i="4"/>
  <c r="G42" i="4"/>
  <c r="F42" i="4"/>
  <c r="E42" i="4"/>
  <c r="P41" i="4"/>
  <c r="M40" i="4"/>
  <c r="L40" i="4"/>
  <c r="K40" i="4"/>
  <c r="J40" i="4"/>
  <c r="I40" i="4"/>
  <c r="H40" i="4"/>
  <c r="G40" i="4"/>
  <c r="F40" i="4"/>
  <c r="E40" i="4"/>
  <c r="D40" i="4"/>
  <c r="O39" i="4"/>
  <c r="M39" i="4"/>
  <c r="L39" i="4"/>
  <c r="K39" i="4"/>
  <c r="J39" i="4"/>
  <c r="I39" i="4"/>
  <c r="H39" i="4"/>
  <c r="G39" i="4"/>
  <c r="F39" i="4"/>
  <c r="E39" i="4"/>
  <c r="D39" i="4"/>
  <c r="P38" i="4"/>
  <c r="O38" i="4"/>
  <c r="P24" i="4"/>
  <c r="S23" i="4"/>
  <c r="T23" i="4" s="1"/>
  <c r="U23" i="4" s="1"/>
  <c r="V23" i="4" s="1"/>
  <c r="W23" i="4" s="1"/>
  <c r="X23" i="4" s="1"/>
  <c r="Y23" i="4" s="1"/>
  <c r="Z23" i="4" s="1"/>
  <c r="AA23" i="4" s="1"/>
  <c r="R23" i="4"/>
  <c r="Q23" i="4"/>
  <c r="O23" i="4"/>
  <c r="ED21" i="4"/>
  <c r="DY21" i="4"/>
  <c r="DV21" i="4"/>
  <c r="DU21" i="4"/>
  <c r="DP21" i="4"/>
  <c r="DN21" i="4"/>
  <c r="DH21" i="4"/>
  <c r="DF21" i="4"/>
  <c r="CZ21" i="4"/>
  <c r="CX21" i="4"/>
  <c r="CW21" i="4"/>
  <c r="CR21" i="4"/>
  <c r="CP21" i="4"/>
  <c r="CJ21" i="4"/>
  <c r="CH21" i="4"/>
  <c r="CB21" i="4"/>
  <c r="BZ21" i="4"/>
  <c r="BT21" i="4"/>
  <c r="BR21" i="4"/>
  <c r="BQ21" i="4"/>
  <c r="BL21" i="4"/>
  <c r="BJ21" i="4"/>
  <c r="BI21" i="4"/>
  <c r="BD21" i="4"/>
  <c r="BB21" i="4"/>
  <c r="AV21" i="4"/>
  <c r="AT21" i="4"/>
  <c r="AN21" i="4"/>
  <c r="AL21" i="4"/>
  <c r="AK21" i="4"/>
  <c r="AF21" i="4"/>
  <c r="AD21" i="4"/>
  <c r="X21" i="4"/>
  <c r="V21" i="4"/>
  <c r="P21" i="4"/>
  <c r="O19" i="4"/>
  <c r="ED15" i="4"/>
  <c r="EC15" i="4"/>
  <c r="EC21" i="4" s="1"/>
  <c r="EB15" i="4"/>
  <c r="EB21" i="4" s="1"/>
  <c r="EA15" i="4"/>
  <c r="EA21" i="4" s="1"/>
  <c r="DZ15" i="4"/>
  <c r="DZ21" i="4" s="1"/>
  <c r="DY15" i="4"/>
  <c r="DX15" i="4"/>
  <c r="DX21" i="4" s="1"/>
  <c r="DW15" i="4"/>
  <c r="DW21" i="4" s="1"/>
  <c r="DV15" i="4"/>
  <c r="DU15" i="4"/>
  <c r="DT15" i="4"/>
  <c r="DS15" i="4"/>
  <c r="DS21" i="4" s="1"/>
  <c r="DR15" i="4"/>
  <c r="DR21" i="4" s="1"/>
  <c r="DQ15" i="4"/>
  <c r="DQ21" i="4" s="1"/>
  <c r="DP15" i="4"/>
  <c r="DO15" i="4"/>
  <c r="DO21" i="4" s="1"/>
  <c r="DN15" i="4"/>
  <c r="DM15" i="4"/>
  <c r="DM21" i="4" s="1"/>
  <c r="DL15" i="4"/>
  <c r="DL21" i="4" s="1"/>
  <c r="DK15" i="4"/>
  <c r="DK21" i="4" s="1"/>
  <c r="DJ15" i="4"/>
  <c r="DJ21" i="4" s="1"/>
  <c r="DI15" i="4"/>
  <c r="DI21" i="4" s="1"/>
  <c r="DH15" i="4"/>
  <c r="DG15" i="4"/>
  <c r="DG21" i="4" s="1"/>
  <c r="L21" i="4" s="1"/>
  <c r="DF15" i="4"/>
  <c r="DE15" i="4"/>
  <c r="DE21" i="4" s="1"/>
  <c r="DD15" i="4"/>
  <c r="DD21" i="4" s="1"/>
  <c r="DC15" i="4"/>
  <c r="DC21" i="4" s="1"/>
  <c r="DB15" i="4"/>
  <c r="DB21" i="4" s="1"/>
  <c r="DA15" i="4"/>
  <c r="DA21" i="4" s="1"/>
  <c r="CZ15" i="4"/>
  <c r="CY15" i="4"/>
  <c r="CY21" i="4" s="1"/>
  <c r="CX15" i="4"/>
  <c r="CW15" i="4"/>
  <c r="CV15" i="4"/>
  <c r="CV21" i="4" s="1"/>
  <c r="CU15" i="4"/>
  <c r="CU21" i="4" s="1"/>
  <c r="K21" i="4" s="1"/>
  <c r="CT15" i="4"/>
  <c r="CT21" i="4" s="1"/>
  <c r="CS15" i="4"/>
  <c r="CS21" i="4" s="1"/>
  <c r="CR15" i="4"/>
  <c r="CQ15" i="4"/>
  <c r="CQ21" i="4" s="1"/>
  <c r="CP15" i="4"/>
  <c r="CO15" i="4"/>
  <c r="CO21" i="4" s="1"/>
  <c r="CN15" i="4"/>
  <c r="CN21" i="4" s="1"/>
  <c r="CM15" i="4"/>
  <c r="CM21" i="4" s="1"/>
  <c r="CL15" i="4"/>
  <c r="CL21" i="4" s="1"/>
  <c r="CK15" i="4"/>
  <c r="CK21" i="4" s="1"/>
  <c r="CJ15" i="4"/>
  <c r="CI15" i="4"/>
  <c r="CI21" i="4" s="1"/>
  <c r="J21" i="4" s="1"/>
  <c r="CH15" i="4"/>
  <c r="CG15" i="4"/>
  <c r="CG21" i="4" s="1"/>
  <c r="CF15" i="4"/>
  <c r="CF21" i="4" s="1"/>
  <c r="CE15" i="4"/>
  <c r="CE21" i="4" s="1"/>
  <c r="CD15" i="4"/>
  <c r="CD21" i="4" s="1"/>
  <c r="CC15" i="4"/>
  <c r="CC21" i="4" s="1"/>
  <c r="CB15" i="4"/>
  <c r="CA15" i="4"/>
  <c r="CA21" i="4" s="1"/>
  <c r="BZ15" i="4"/>
  <c r="BY15" i="4"/>
  <c r="BY21" i="4" s="1"/>
  <c r="BX15" i="4"/>
  <c r="BW15" i="4"/>
  <c r="BW21" i="4" s="1"/>
  <c r="BV15" i="4"/>
  <c r="BV21" i="4" s="1"/>
  <c r="BU15" i="4"/>
  <c r="BU21" i="4" s="1"/>
  <c r="BT15" i="4"/>
  <c r="BS15" i="4"/>
  <c r="BS21" i="4" s="1"/>
  <c r="BR15" i="4"/>
  <c r="BQ15" i="4"/>
  <c r="BP15" i="4"/>
  <c r="BP21" i="4" s="1"/>
  <c r="BO15" i="4"/>
  <c r="BO21" i="4" s="1"/>
  <c r="BN15" i="4"/>
  <c r="BN21" i="4" s="1"/>
  <c r="BM15" i="4"/>
  <c r="BM21" i="4" s="1"/>
  <c r="BL15" i="4"/>
  <c r="BK15" i="4"/>
  <c r="H15" i="4" s="1"/>
  <c r="BJ15" i="4"/>
  <c r="BI15" i="4"/>
  <c r="BH15" i="4"/>
  <c r="BH21" i="4" s="1"/>
  <c r="BG15" i="4"/>
  <c r="BG21" i="4" s="1"/>
  <c r="BF15" i="4"/>
  <c r="BF21" i="4" s="1"/>
  <c r="BE15" i="4"/>
  <c r="BE21" i="4" s="1"/>
  <c r="BD15" i="4"/>
  <c r="BC15" i="4"/>
  <c r="BC21" i="4" s="1"/>
  <c r="BB15" i="4"/>
  <c r="BA15" i="4"/>
  <c r="BA21" i="4" s="1"/>
  <c r="AZ15" i="4"/>
  <c r="AY15" i="4"/>
  <c r="AY21" i="4" s="1"/>
  <c r="AX15" i="4"/>
  <c r="AX21" i="4" s="1"/>
  <c r="AW15" i="4"/>
  <c r="AW21" i="4" s="1"/>
  <c r="AV15" i="4"/>
  <c r="AU15" i="4"/>
  <c r="AU21" i="4" s="1"/>
  <c r="AT15" i="4"/>
  <c r="AS15" i="4"/>
  <c r="AS21" i="4" s="1"/>
  <c r="AR15" i="4"/>
  <c r="AQ15" i="4"/>
  <c r="AQ21" i="4" s="1"/>
  <c r="AP15" i="4"/>
  <c r="AP21" i="4" s="1"/>
  <c r="AO15" i="4"/>
  <c r="AO21" i="4" s="1"/>
  <c r="AN15" i="4"/>
  <c r="AM15" i="4"/>
  <c r="AM21" i="4" s="1"/>
  <c r="AL15" i="4"/>
  <c r="AK15" i="4"/>
  <c r="AJ15" i="4"/>
  <c r="AJ21" i="4" s="1"/>
  <c r="AI15" i="4"/>
  <c r="AI21" i="4" s="1"/>
  <c r="AH15" i="4"/>
  <c r="AH21" i="4" s="1"/>
  <c r="AG15" i="4"/>
  <c r="AG21" i="4" s="1"/>
  <c r="AF15" i="4"/>
  <c r="AE15" i="4"/>
  <c r="AE21" i="4" s="1"/>
  <c r="AD15" i="4"/>
  <c r="AC15" i="4"/>
  <c r="AC21" i="4" s="1"/>
  <c r="AB15" i="4"/>
  <c r="AA15" i="4"/>
  <c r="AA21" i="4" s="1"/>
  <c r="Z15" i="4"/>
  <c r="Z21" i="4" s="1"/>
  <c r="Y15" i="4"/>
  <c r="Y21" i="4" s="1"/>
  <c r="X15" i="4"/>
  <c r="W15" i="4"/>
  <c r="W21" i="4" s="1"/>
  <c r="V15" i="4"/>
  <c r="U15" i="4"/>
  <c r="U21" i="4" s="1"/>
  <c r="T15" i="4"/>
  <c r="T21" i="4" s="1"/>
  <c r="S15" i="4"/>
  <c r="S21" i="4" s="1"/>
  <c r="R15" i="4"/>
  <c r="R21" i="4" s="1"/>
  <c r="Q15" i="4"/>
  <c r="Q21" i="4" s="1"/>
  <c r="P15" i="4"/>
  <c r="O15" i="4"/>
  <c r="D15" i="4"/>
  <c r="P9" i="4"/>
  <c r="P19" i="4" s="1"/>
  <c r="O7" i="4"/>
  <c r="Q2" i="4"/>
  <c r="P2" i="4"/>
  <c r="P7" i="4" s="1"/>
  <c r="R1" i="4"/>
  <c r="Q1" i="4"/>
  <c r="EE46" i="3"/>
  <c r="M44" i="3"/>
  <c r="L44" i="3"/>
  <c r="K44" i="3"/>
  <c r="J44" i="3"/>
  <c r="I44" i="3"/>
  <c r="H44" i="3"/>
  <c r="G44" i="3"/>
  <c r="F44" i="3"/>
  <c r="E44" i="3"/>
  <c r="D44" i="3"/>
  <c r="M43" i="3"/>
  <c r="L43" i="3"/>
  <c r="K43" i="3"/>
  <c r="J43" i="3"/>
  <c r="I43" i="3"/>
  <c r="H43" i="3"/>
  <c r="G43" i="3"/>
  <c r="F43" i="3"/>
  <c r="E43" i="3"/>
  <c r="D43" i="3"/>
  <c r="O42" i="3"/>
  <c r="D42" i="3" s="1"/>
  <c r="M42" i="3"/>
  <c r="L42" i="3"/>
  <c r="K42" i="3"/>
  <c r="J42" i="3"/>
  <c r="I42" i="3"/>
  <c r="H42" i="3"/>
  <c r="G42" i="3"/>
  <c r="F42" i="3"/>
  <c r="E42" i="3"/>
  <c r="M40" i="3"/>
  <c r="L40" i="3"/>
  <c r="K40" i="3"/>
  <c r="J40" i="3"/>
  <c r="I40" i="3"/>
  <c r="H40" i="3"/>
  <c r="G40" i="3"/>
  <c r="F40" i="3"/>
  <c r="E40" i="3"/>
  <c r="D40" i="3"/>
  <c r="O39" i="3"/>
  <c r="D39" i="3" s="1"/>
  <c r="M39" i="3"/>
  <c r="L39" i="3"/>
  <c r="K39" i="3"/>
  <c r="J39" i="3"/>
  <c r="I39" i="3"/>
  <c r="H39" i="3"/>
  <c r="G39" i="3"/>
  <c r="F39" i="3"/>
  <c r="E39" i="3"/>
  <c r="P24" i="3"/>
  <c r="R23" i="3"/>
  <c r="Q23" i="3"/>
  <c r="O23" i="3"/>
  <c r="O19" i="3"/>
  <c r="ED15" i="3"/>
  <c r="ED21" i="3" s="1"/>
  <c r="EC15" i="3"/>
  <c r="EC21" i="3" s="1"/>
  <c r="EB15" i="3"/>
  <c r="EB21" i="3" s="1"/>
  <c r="EA15" i="3"/>
  <c r="EA21" i="3" s="1"/>
  <c r="DZ15" i="3"/>
  <c r="DZ21" i="3" s="1"/>
  <c r="DY15" i="3"/>
  <c r="DY21" i="3" s="1"/>
  <c r="DX15" i="3"/>
  <c r="DX21" i="3" s="1"/>
  <c r="DW15" i="3"/>
  <c r="DW21" i="3" s="1"/>
  <c r="DV15" i="3"/>
  <c r="DV21" i="3" s="1"/>
  <c r="DU15" i="3"/>
  <c r="DU21" i="3" s="1"/>
  <c r="DT15" i="3"/>
  <c r="DT21" i="3" s="1"/>
  <c r="DS15" i="3"/>
  <c r="DS21" i="3" s="1"/>
  <c r="DR15" i="3"/>
  <c r="DR21" i="3" s="1"/>
  <c r="DQ15" i="3"/>
  <c r="DQ21" i="3" s="1"/>
  <c r="DP15" i="3"/>
  <c r="DP21" i="3" s="1"/>
  <c r="DO15" i="3"/>
  <c r="DO21" i="3" s="1"/>
  <c r="DN15" i="3"/>
  <c r="DN21" i="3" s="1"/>
  <c r="DM15" i="3"/>
  <c r="DM21" i="3" s="1"/>
  <c r="DL15" i="3"/>
  <c r="DL21" i="3" s="1"/>
  <c r="DK15" i="3"/>
  <c r="DK21" i="3" s="1"/>
  <c r="DJ15" i="3"/>
  <c r="DJ21" i="3" s="1"/>
  <c r="DI15" i="3"/>
  <c r="DI21" i="3" s="1"/>
  <c r="DH15" i="3"/>
  <c r="DH21" i="3" s="1"/>
  <c r="DG15" i="3"/>
  <c r="DG21" i="3" s="1"/>
  <c r="DF15" i="3"/>
  <c r="DF21" i="3" s="1"/>
  <c r="DE15" i="3"/>
  <c r="DE21" i="3" s="1"/>
  <c r="DD15" i="3"/>
  <c r="DD21" i="3" s="1"/>
  <c r="DC15" i="3"/>
  <c r="DC21" i="3" s="1"/>
  <c r="DB15" i="3"/>
  <c r="DB21" i="3" s="1"/>
  <c r="DA15" i="3"/>
  <c r="DA21" i="3" s="1"/>
  <c r="CZ15" i="3"/>
  <c r="CZ21" i="3" s="1"/>
  <c r="CY15" i="3"/>
  <c r="CY21" i="3" s="1"/>
  <c r="CX15" i="3"/>
  <c r="CX21" i="3" s="1"/>
  <c r="CW15" i="3"/>
  <c r="CW21" i="3" s="1"/>
  <c r="CV15" i="3"/>
  <c r="CV21" i="3" s="1"/>
  <c r="CU15" i="3"/>
  <c r="CU21" i="3" s="1"/>
  <c r="CT15" i="3"/>
  <c r="CT21" i="3" s="1"/>
  <c r="CS15" i="3"/>
  <c r="CS21" i="3" s="1"/>
  <c r="CR15" i="3"/>
  <c r="CR21" i="3" s="1"/>
  <c r="CQ15" i="3"/>
  <c r="CQ21" i="3" s="1"/>
  <c r="CP15" i="3"/>
  <c r="CP21" i="3" s="1"/>
  <c r="CO15" i="3"/>
  <c r="CO21" i="3" s="1"/>
  <c r="CN15" i="3"/>
  <c r="CN21" i="3" s="1"/>
  <c r="CM15" i="3"/>
  <c r="CM21" i="3" s="1"/>
  <c r="CL15" i="3"/>
  <c r="CL21" i="3" s="1"/>
  <c r="CK15" i="3"/>
  <c r="CK21" i="3" s="1"/>
  <c r="CJ15" i="3"/>
  <c r="CI15" i="3"/>
  <c r="CI21" i="3" s="1"/>
  <c r="CH15" i="3"/>
  <c r="CH21" i="3" s="1"/>
  <c r="CG15" i="3"/>
  <c r="CG21" i="3" s="1"/>
  <c r="CF15" i="3"/>
  <c r="CF21" i="3" s="1"/>
  <c r="CE15" i="3"/>
  <c r="CE21" i="3" s="1"/>
  <c r="CD15" i="3"/>
  <c r="CD21" i="3" s="1"/>
  <c r="CC15" i="3"/>
  <c r="CC21" i="3" s="1"/>
  <c r="CB15" i="3"/>
  <c r="CB21" i="3" s="1"/>
  <c r="CA15" i="3"/>
  <c r="CA21" i="3" s="1"/>
  <c r="BZ15" i="3"/>
  <c r="BZ21" i="3" s="1"/>
  <c r="BY15" i="3"/>
  <c r="BY21" i="3" s="1"/>
  <c r="BX15" i="3"/>
  <c r="BX21" i="3" s="1"/>
  <c r="BW15" i="3"/>
  <c r="BW21" i="3" s="1"/>
  <c r="BV15" i="3"/>
  <c r="BV21" i="3" s="1"/>
  <c r="BU15" i="3"/>
  <c r="BU21" i="3" s="1"/>
  <c r="BT15" i="3"/>
  <c r="BT21" i="3" s="1"/>
  <c r="BS15" i="3"/>
  <c r="BS21" i="3" s="1"/>
  <c r="BR15" i="3"/>
  <c r="BR21" i="3" s="1"/>
  <c r="BQ15" i="3"/>
  <c r="BQ21" i="3" s="1"/>
  <c r="BP15" i="3"/>
  <c r="BP21" i="3" s="1"/>
  <c r="BO15" i="3"/>
  <c r="BO21" i="3" s="1"/>
  <c r="BN15" i="3"/>
  <c r="BN21" i="3" s="1"/>
  <c r="BM15" i="3"/>
  <c r="BM21" i="3" s="1"/>
  <c r="BL15" i="3"/>
  <c r="BK15" i="3"/>
  <c r="BK21" i="3" s="1"/>
  <c r="BJ15" i="3"/>
  <c r="BJ21" i="3" s="1"/>
  <c r="BI15" i="3"/>
  <c r="BI21" i="3" s="1"/>
  <c r="BH15" i="3"/>
  <c r="BH21" i="3" s="1"/>
  <c r="BG15" i="3"/>
  <c r="BG21" i="3" s="1"/>
  <c r="BF15" i="3"/>
  <c r="BF21" i="3" s="1"/>
  <c r="BE15" i="3"/>
  <c r="BE21" i="3" s="1"/>
  <c r="BD15" i="3"/>
  <c r="BD21" i="3" s="1"/>
  <c r="BC15" i="3"/>
  <c r="BC21" i="3" s="1"/>
  <c r="BB15" i="3"/>
  <c r="BB21" i="3" s="1"/>
  <c r="BA15" i="3"/>
  <c r="BA21" i="3" s="1"/>
  <c r="AZ15" i="3"/>
  <c r="AZ21" i="3" s="1"/>
  <c r="AY15" i="3"/>
  <c r="AY21" i="3" s="1"/>
  <c r="AX15" i="3"/>
  <c r="AX21" i="3" s="1"/>
  <c r="AW15" i="3"/>
  <c r="AW21" i="3" s="1"/>
  <c r="AV15" i="3"/>
  <c r="AV21" i="3" s="1"/>
  <c r="AU15" i="3"/>
  <c r="AU21" i="3" s="1"/>
  <c r="AT15" i="3"/>
  <c r="AT21" i="3" s="1"/>
  <c r="AS15" i="3"/>
  <c r="AS21" i="3" s="1"/>
  <c r="AR15" i="3"/>
  <c r="AR21" i="3" s="1"/>
  <c r="AQ15" i="3"/>
  <c r="AQ21" i="3" s="1"/>
  <c r="AP15" i="3"/>
  <c r="AP21" i="3" s="1"/>
  <c r="AO15" i="3"/>
  <c r="AO21" i="3" s="1"/>
  <c r="AN15" i="3"/>
  <c r="AM15" i="3"/>
  <c r="AM21" i="3" s="1"/>
  <c r="AL15" i="3"/>
  <c r="AL21" i="3" s="1"/>
  <c r="AK15" i="3"/>
  <c r="AK21" i="3" s="1"/>
  <c r="AJ15" i="3"/>
  <c r="AJ21" i="3" s="1"/>
  <c r="AI15" i="3"/>
  <c r="AI21" i="3" s="1"/>
  <c r="AH15" i="3"/>
  <c r="AH21" i="3" s="1"/>
  <c r="AG15" i="3"/>
  <c r="AG21" i="3" s="1"/>
  <c r="AF15" i="3"/>
  <c r="AF21" i="3" s="1"/>
  <c r="AE15" i="3"/>
  <c r="AE21" i="3" s="1"/>
  <c r="AD15" i="3"/>
  <c r="AD21" i="3" s="1"/>
  <c r="AC15" i="3"/>
  <c r="AC21" i="3" s="1"/>
  <c r="AB15" i="3"/>
  <c r="AB21" i="3" s="1"/>
  <c r="AA15" i="3"/>
  <c r="AA21" i="3" s="1"/>
  <c r="Z15" i="3"/>
  <c r="Z21" i="3" s="1"/>
  <c r="Y15" i="3"/>
  <c r="Y21" i="3" s="1"/>
  <c r="X15" i="3"/>
  <c r="X21" i="3" s="1"/>
  <c r="W15" i="3"/>
  <c r="W21" i="3" s="1"/>
  <c r="V15" i="3"/>
  <c r="V21" i="3" s="1"/>
  <c r="U15" i="3"/>
  <c r="U21" i="3" s="1"/>
  <c r="T15" i="3"/>
  <c r="T21" i="3" s="1"/>
  <c r="S15" i="3"/>
  <c r="S21" i="3" s="1"/>
  <c r="R15" i="3"/>
  <c r="R21" i="3" s="1"/>
  <c r="Q15" i="3"/>
  <c r="Q21" i="3" s="1"/>
  <c r="P15" i="3"/>
  <c r="P21" i="3" s="1"/>
  <c r="O15" i="3"/>
  <c r="D15" i="3"/>
  <c r="P7" i="3"/>
  <c r="P11" i="3" s="1"/>
  <c r="P13" i="3" s="1"/>
  <c r="O7" i="3"/>
  <c r="R2" i="3"/>
  <c r="R7" i="3" s="1"/>
  <c r="Q2" i="3"/>
  <c r="Q7" i="3" s="1"/>
  <c r="P2" i="3"/>
  <c r="Q1" i="3"/>
  <c r="I58" i="1"/>
  <c r="O42" i="5" s="1"/>
  <c r="I52" i="1"/>
  <c r="G52" i="1"/>
  <c r="I28" i="1"/>
  <c r="G28" i="1"/>
  <c r="E28" i="1"/>
  <c r="I16" i="1"/>
  <c r="I14" i="1"/>
  <c r="O11" i="5" s="1"/>
  <c r="M21" i="3" l="1"/>
  <c r="D21" i="3"/>
  <c r="E21" i="3"/>
  <c r="Q41" i="3"/>
  <c r="Q38" i="3" s="1"/>
  <c r="Q34" i="3"/>
  <c r="Q22" i="3"/>
  <c r="Q20" i="3"/>
  <c r="Q9" i="3"/>
  <c r="Q11" i="3"/>
  <c r="Q13" i="3" s="1"/>
  <c r="R34" i="3"/>
  <c r="R41" i="3"/>
  <c r="R38" i="3" s="1"/>
  <c r="R22" i="3"/>
  <c r="R20" i="3"/>
  <c r="R11" i="3"/>
  <c r="R13" i="3" s="1"/>
  <c r="R9" i="3"/>
  <c r="D42" i="5"/>
  <c r="O38" i="5"/>
  <c r="J15" i="3"/>
  <c r="CJ21" i="3"/>
  <c r="L21" i="3"/>
  <c r="AN21" i="3"/>
  <c r="F21" i="3" s="1"/>
  <c r="F15" i="3"/>
  <c r="H15" i="3"/>
  <c r="BL21" i="3"/>
  <c r="O13" i="5"/>
  <c r="D13" i="5" s="1"/>
  <c r="D29" i="2" s="1"/>
  <c r="O29" i="2" s="1"/>
  <c r="D11" i="5"/>
  <c r="E15" i="3"/>
  <c r="H21" i="3"/>
  <c r="O41" i="3"/>
  <c r="O34" i="3"/>
  <c r="O22" i="3"/>
  <c r="O27" i="3" s="1"/>
  <c r="O20" i="3"/>
  <c r="O36" i="3" s="1"/>
  <c r="G15" i="3"/>
  <c r="Q24" i="3"/>
  <c r="P41" i="3"/>
  <c r="P38" i="3" s="1"/>
  <c r="P34" i="3"/>
  <c r="P22" i="3"/>
  <c r="I15" i="3"/>
  <c r="G21" i="3"/>
  <c r="I21" i="3"/>
  <c r="K21" i="3"/>
  <c r="R1" i="3"/>
  <c r="S2" i="3"/>
  <c r="O9" i="3"/>
  <c r="K15" i="3"/>
  <c r="P20" i="3"/>
  <c r="J21" i="3"/>
  <c r="P9" i="3"/>
  <c r="L15" i="3"/>
  <c r="O11" i="3"/>
  <c r="M15" i="3"/>
  <c r="D23" i="3"/>
  <c r="S23" i="3"/>
  <c r="T23" i="3" s="1"/>
  <c r="U23" i="3" s="1"/>
  <c r="V23" i="3" s="1"/>
  <c r="W23" i="3" s="1"/>
  <c r="X23" i="3" s="1"/>
  <c r="Y23" i="3" s="1"/>
  <c r="Z23" i="3" s="1"/>
  <c r="AA23" i="3" s="1"/>
  <c r="R43" i="4"/>
  <c r="R41" i="4"/>
  <c r="R24" i="4"/>
  <c r="S1" i="4"/>
  <c r="AB23" i="4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E23" i="4"/>
  <c r="R2" i="4"/>
  <c r="Q7" i="4"/>
  <c r="P18" i="4"/>
  <c r="P26" i="4" s="1"/>
  <c r="D19" i="4"/>
  <c r="D18" i="4" s="1"/>
  <c r="D21" i="4"/>
  <c r="Q43" i="4"/>
  <c r="Q41" i="4"/>
  <c r="Q24" i="4"/>
  <c r="P35" i="4"/>
  <c r="P36" i="4"/>
  <c r="P34" i="4"/>
  <c r="P33" i="4"/>
  <c r="P32" i="4"/>
  <c r="P31" i="4" s="1"/>
  <c r="P22" i="4"/>
  <c r="P27" i="4" s="1"/>
  <c r="P20" i="4"/>
  <c r="L15" i="4"/>
  <c r="O36" i="4"/>
  <c r="D36" i="4" s="1"/>
  <c r="O35" i="4"/>
  <c r="D35" i="4" s="1"/>
  <c r="O34" i="4"/>
  <c r="D34" i="4" s="1"/>
  <c r="O32" i="4"/>
  <c r="O9" i="4"/>
  <c r="O11" i="4" s="1"/>
  <c r="O33" i="4"/>
  <c r="D33" i="4" s="1"/>
  <c r="P11" i="4"/>
  <c r="P13" i="4" s="1"/>
  <c r="O22" i="4"/>
  <c r="D22" i="4" s="1"/>
  <c r="I21" i="4"/>
  <c r="M21" i="4"/>
  <c r="O20" i="4"/>
  <c r="O18" i="4" s="1"/>
  <c r="O26" i="4" s="1"/>
  <c r="E15" i="4"/>
  <c r="AB21" i="4"/>
  <c r="E21" i="4" s="1"/>
  <c r="F15" i="4"/>
  <c r="AR21" i="4"/>
  <c r="F21" i="4" s="1"/>
  <c r="G15" i="4"/>
  <c r="AZ21" i="4"/>
  <c r="G21" i="4" s="1"/>
  <c r="I15" i="4"/>
  <c r="BX21" i="4"/>
  <c r="M15" i="4"/>
  <c r="DT21" i="4"/>
  <c r="D23" i="4"/>
  <c r="K15" i="4"/>
  <c r="J15" i="4"/>
  <c r="O27" i="4"/>
  <c r="D27" i="4" s="1"/>
  <c r="BK21" i="4"/>
  <c r="H21" i="4" s="1"/>
  <c r="S36" i="5"/>
  <c r="S35" i="5"/>
  <c r="S33" i="5"/>
  <c r="S34" i="5"/>
  <c r="S32" i="5"/>
  <c r="S31" i="5" s="1"/>
  <c r="S22" i="5"/>
  <c r="S20" i="5"/>
  <c r="S9" i="5"/>
  <c r="S11" i="5" s="1"/>
  <c r="S13" i="5" s="1"/>
  <c r="R36" i="5"/>
  <c r="R34" i="5"/>
  <c r="R33" i="5"/>
  <c r="R32" i="5"/>
  <c r="R31" i="5" s="1"/>
  <c r="R22" i="5"/>
  <c r="R20" i="5"/>
  <c r="R9" i="5"/>
  <c r="R11" i="5" s="1"/>
  <c r="R13" i="5" s="1"/>
  <c r="P11" i="5"/>
  <c r="P13" i="5" s="1"/>
  <c r="J15" i="5"/>
  <c r="H21" i="5"/>
  <c r="J21" i="5"/>
  <c r="L21" i="5"/>
  <c r="P19" i="5"/>
  <c r="R43" i="5"/>
  <c r="R41" i="5"/>
  <c r="R38" i="5" s="1"/>
  <c r="R24" i="5"/>
  <c r="S43" i="5"/>
  <c r="S41" i="5"/>
  <c r="S24" i="5"/>
  <c r="S19" i="5"/>
  <c r="T36" i="5"/>
  <c r="T35" i="5"/>
  <c r="T34" i="5"/>
  <c r="T33" i="5"/>
  <c r="T32" i="5"/>
  <c r="T31" i="5" s="1"/>
  <c r="T22" i="5"/>
  <c r="T20" i="5"/>
  <c r="T9" i="5"/>
  <c r="T11" i="5" s="1"/>
  <c r="T13" i="5" s="1"/>
  <c r="S21" i="5"/>
  <c r="D15" i="5"/>
  <c r="AA21" i="5"/>
  <c r="E21" i="5" s="1"/>
  <c r="E15" i="5"/>
  <c r="AY21" i="5"/>
  <c r="G21" i="5" s="1"/>
  <c r="G15" i="5"/>
  <c r="BW21" i="5"/>
  <c r="I21" i="5" s="1"/>
  <c r="I15" i="5"/>
  <c r="K21" i="5"/>
  <c r="DS21" i="5"/>
  <c r="M21" i="5" s="1"/>
  <c r="M15" i="5"/>
  <c r="T43" i="5"/>
  <c r="T41" i="5"/>
  <c r="T24" i="5"/>
  <c r="U1" i="5"/>
  <c r="U7" i="5"/>
  <c r="V2" i="5"/>
  <c r="Q7" i="5"/>
  <c r="R35" i="5" s="1"/>
  <c r="H15" i="5"/>
  <c r="AB23" i="5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L15" i="5"/>
  <c r="O35" i="5"/>
  <c r="D35" i="5" s="1"/>
  <c r="O34" i="5"/>
  <c r="D34" i="5" s="1"/>
  <c r="O32" i="5"/>
  <c r="O36" i="5"/>
  <c r="D36" i="5" s="1"/>
  <c r="O33" i="5"/>
  <c r="D33" i="5" s="1"/>
  <c r="O22" i="5"/>
  <c r="D22" i="5" s="1"/>
  <c r="O20" i="5"/>
  <c r="O18" i="5" s="1"/>
  <c r="O26" i="5" s="1"/>
  <c r="F15" i="5"/>
  <c r="D21" i="5"/>
  <c r="Q43" i="5"/>
  <c r="Q41" i="5"/>
  <c r="Q24" i="5"/>
  <c r="P36" i="5"/>
  <c r="P35" i="5"/>
  <c r="P33" i="5"/>
  <c r="P34" i="5"/>
  <c r="P32" i="5"/>
  <c r="P31" i="5" s="1"/>
  <c r="P22" i="5"/>
  <c r="D23" i="5"/>
  <c r="O18" i="3" l="1"/>
  <c r="O26" i="3" s="1"/>
  <c r="O29" i="3" s="1"/>
  <c r="T19" i="5"/>
  <c r="Q38" i="5"/>
  <c r="O31" i="5"/>
  <c r="D32" i="5"/>
  <c r="D31" i="5" s="1"/>
  <c r="V7" i="5"/>
  <c r="W2" i="5"/>
  <c r="U36" i="5"/>
  <c r="U35" i="5"/>
  <c r="U34" i="5"/>
  <c r="U33" i="5"/>
  <c r="U32" i="5"/>
  <c r="U31" i="5" s="1"/>
  <c r="U20" i="5"/>
  <c r="U22" i="5"/>
  <c r="U9" i="5"/>
  <c r="U11" i="5" s="1"/>
  <c r="U13" i="5" s="1"/>
  <c r="D11" i="4"/>
  <c r="O13" i="4"/>
  <c r="D13" i="4" s="1"/>
  <c r="D18" i="2" s="1"/>
  <c r="O18" i="2" s="1"/>
  <c r="AN23" i="4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O32" i="3"/>
  <c r="O35" i="3"/>
  <c r="O33" i="3"/>
  <c r="U43" i="5"/>
  <c r="U41" i="5"/>
  <c r="U24" i="5"/>
  <c r="U19" i="5"/>
  <c r="V1" i="5"/>
  <c r="S27" i="5"/>
  <c r="S18" i="5"/>
  <c r="S26" i="5" s="1"/>
  <c r="S29" i="5" s="1"/>
  <c r="S46" i="5" s="1"/>
  <c r="P29" i="4"/>
  <c r="P46" i="4" s="1"/>
  <c r="R35" i="3"/>
  <c r="R33" i="3"/>
  <c r="R32" i="3"/>
  <c r="Q35" i="3"/>
  <c r="Q33" i="3"/>
  <c r="Q32" i="3"/>
  <c r="O27" i="5"/>
  <c r="D27" i="5" s="1"/>
  <c r="D26" i="5"/>
  <c r="E23" i="5"/>
  <c r="S38" i="5"/>
  <c r="Q19" i="3"/>
  <c r="Q36" i="3" s="1"/>
  <c r="O38" i="3"/>
  <c r="D32" i="4"/>
  <c r="D31" i="4" s="1"/>
  <c r="O31" i="4"/>
  <c r="S43" i="4"/>
  <c r="S41" i="4"/>
  <c r="S38" i="4" s="1"/>
  <c r="S24" i="4"/>
  <c r="T1" i="4"/>
  <c r="O13" i="3"/>
  <c r="AN23" i="5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F23" i="5"/>
  <c r="T38" i="5"/>
  <c r="Q34" i="4"/>
  <c r="Q36" i="4"/>
  <c r="Q33" i="4"/>
  <c r="Q35" i="4"/>
  <c r="Q32" i="4"/>
  <c r="Q31" i="4" s="1"/>
  <c r="Q22" i="4"/>
  <c r="Q20" i="4"/>
  <c r="Q9" i="4"/>
  <c r="R38" i="4"/>
  <c r="P32" i="3"/>
  <c r="P35" i="3"/>
  <c r="P33" i="3"/>
  <c r="P19" i="3"/>
  <c r="P36" i="3" s="1"/>
  <c r="R19" i="5"/>
  <c r="R7" i="4"/>
  <c r="S2" i="4"/>
  <c r="P27" i="5"/>
  <c r="P18" i="5"/>
  <c r="P26" i="5" s="1"/>
  <c r="D19" i="5"/>
  <c r="D18" i="5" s="1"/>
  <c r="S7" i="3"/>
  <c r="T2" i="3"/>
  <c r="Q36" i="5"/>
  <c r="Q35" i="5"/>
  <c r="Q33" i="5"/>
  <c r="Q34" i="5"/>
  <c r="Q32" i="5"/>
  <c r="Q31" i="5" s="1"/>
  <c r="Q22" i="5"/>
  <c r="Q20" i="5"/>
  <c r="Q9" i="5"/>
  <c r="Q38" i="4"/>
  <c r="AB23" i="3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D28" i="2"/>
  <c r="O28" i="2" s="1"/>
  <c r="R24" i="3"/>
  <c r="S1" i="3"/>
  <c r="R19" i="3"/>
  <c r="R36" i="3" s="1"/>
  <c r="O29" i="4"/>
  <c r="D26" i="4"/>
  <c r="Q31" i="3" l="1"/>
  <c r="R31" i="3"/>
  <c r="P31" i="3"/>
  <c r="R34" i="4"/>
  <c r="R36" i="4"/>
  <c r="R35" i="4"/>
  <c r="R33" i="4"/>
  <c r="R32" i="4"/>
  <c r="R31" i="4" s="1"/>
  <c r="R22" i="4"/>
  <c r="R20" i="4"/>
  <c r="R9" i="4"/>
  <c r="O29" i="5"/>
  <c r="W7" i="5"/>
  <c r="X2" i="5"/>
  <c r="V35" i="5"/>
  <c r="V34" i="5"/>
  <c r="V36" i="5"/>
  <c r="V32" i="5"/>
  <c r="V31" i="5" s="1"/>
  <c r="V33" i="5"/>
  <c r="V22" i="5"/>
  <c r="V9" i="5"/>
  <c r="V11" i="5" s="1"/>
  <c r="V13" i="5" s="1"/>
  <c r="V20" i="5"/>
  <c r="U2" i="3"/>
  <c r="T7" i="3"/>
  <c r="Q27" i="3"/>
  <c r="Q18" i="3"/>
  <c r="Q26" i="3" s="1"/>
  <c r="S41" i="3"/>
  <c r="S34" i="3"/>
  <c r="S22" i="3"/>
  <c r="S20" i="3"/>
  <c r="S11" i="3"/>
  <c r="S9" i="3"/>
  <c r="S19" i="3" s="1"/>
  <c r="S36" i="3" s="1"/>
  <c r="R27" i="5"/>
  <c r="R18" i="5"/>
  <c r="R26" i="5" s="1"/>
  <c r="R29" i="5" s="1"/>
  <c r="R46" i="5" s="1"/>
  <c r="Q11" i="4"/>
  <c r="Q13" i="4" s="1"/>
  <c r="Q19" i="4"/>
  <c r="V43" i="5"/>
  <c r="V41" i="5"/>
  <c r="V24" i="5"/>
  <c r="V19" i="5"/>
  <c r="W1" i="5"/>
  <c r="O31" i="3"/>
  <c r="O46" i="4"/>
  <c r="D29" i="4"/>
  <c r="D19" i="2" s="1"/>
  <c r="O19" i="2" s="1"/>
  <c r="U27" i="5"/>
  <c r="U18" i="5"/>
  <c r="AZ23" i="4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S7" i="4"/>
  <c r="T2" i="4"/>
  <c r="O46" i="3"/>
  <c r="Q11" i="5"/>
  <c r="Q13" i="5" s="1"/>
  <c r="Q19" i="5"/>
  <c r="T41" i="4"/>
  <c r="T43" i="4"/>
  <c r="T24" i="4"/>
  <c r="U1" i="4"/>
  <c r="AN23" i="3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F23" i="3"/>
  <c r="R27" i="3"/>
  <c r="R18" i="3"/>
  <c r="R26" i="3" s="1"/>
  <c r="E23" i="3"/>
  <c r="P29" i="5"/>
  <c r="P46" i="5" s="1"/>
  <c r="AZ23" i="5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G23" i="5"/>
  <c r="U26" i="5"/>
  <c r="U29" i="5" s="1"/>
  <c r="U46" i="5" s="1"/>
  <c r="F23" i="4"/>
  <c r="T1" i="3"/>
  <c r="S24" i="3"/>
  <c r="P27" i="3"/>
  <c r="P18" i="3"/>
  <c r="P26" i="3" s="1"/>
  <c r="U38" i="5"/>
  <c r="T27" i="5"/>
  <c r="T18" i="5"/>
  <c r="T26" i="5" s="1"/>
  <c r="D17" i="2"/>
  <c r="O17" i="2" s="1"/>
  <c r="S38" i="3" l="1"/>
  <c r="P29" i="3"/>
  <c r="S13" i="3"/>
  <c r="R29" i="3"/>
  <c r="R46" i="3" s="1"/>
  <c r="S27" i="3"/>
  <c r="S18" i="3"/>
  <c r="S26" i="3" s="1"/>
  <c r="T38" i="4"/>
  <c r="R49" i="5"/>
  <c r="Q27" i="5"/>
  <c r="Q18" i="5"/>
  <c r="Q26" i="5" s="1"/>
  <c r="G23" i="4"/>
  <c r="V27" i="5"/>
  <c r="V18" i="5"/>
  <c r="Q29" i="3"/>
  <c r="Q46" i="3" s="1"/>
  <c r="O46" i="5"/>
  <c r="D29" i="5"/>
  <c r="D30" i="2" s="1"/>
  <c r="O30" i="2" s="1"/>
  <c r="R11" i="4"/>
  <c r="R13" i="4" s="1"/>
  <c r="R19" i="4"/>
  <c r="AZ23" i="3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V38" i="5"/>
  <c r="T41" i="3"/>
  <c r="T38" i="3" s="1"/>
  <c r="T34" i="3"/>
  <c r="T36" i="3"/>
  <c r="T20" i="3"/>
  <c r="T22" i="3"/>
  <c r="T11" i="3"/>
  <c r="T13" i="3" s="1"/>
  <c r="T9" i="3"/>
  <c r="V26" i="5"/>
  <c r="BL23" i="5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U41" i="4"/>
  <c r="U38" i="4" s="1"/>
  <c r="U24" i="4"/>
  <c r="U43" i="4"/>
  <c r="V1" i="4"/>
  <c r="O47" i="3"/>
  <c r="V2" i="3"/>
  <c r="U7" i="3"/>
  <c r="S33" i="3"/>
  <c r="S32" i="3"/>
  <c r="S35" i="3"/>
  <c r="O47" i="4"/>
  <c r="D46" i="4"/>
  <c r="D20" i="2" s="1"/>
  <c r="O49" i="4"/>
  <c r="D49" i="4" s="1"/>
  <c r="O22" i="2" s="1"/>
  <c r="X7" i="5"/>
  <c r="Y2" i="5"/>
  <c r="S33" i="4"/>
  <c r="S36" i="4"/>
  <c r="S34" i="4"/>
  <c r="S32" i="4"/>
  <c r="S31" i="4" s="1"/>
  <c r="S35" i="4"/>
  <c r="S22" i="4"/>
  <c r="S20" i="4"/>
  <c r="S9" i="4"/>
  <c r="Q27" i="4"/>
  <c r="Q18" i="4"/>
  <c r="Q26" i="4" s="1"/>
  <c r="Q29" i="4" s="1"/>
  <c r="Q46" i="4" s="1"/>
  <c r="W35" i="5"/>
  <c r="W34" i="5"/>
  <c r="W36" i="5"/>
  <c r="W32" i="5"/>
  <c r="W31" i="5" s="1"/>
  <c r="W33" i="5"/>
  <c r="W20" i="5"/>
  <c r="W22" i="5"/>
  <c r="W9" i="5"/>
  <c r="W11" i="5" s="1"/>
  <c r="W13" i="5" s="1"/>
  <c r="T7" i="4"/>
  <c r="U2" i="4"/>
  <c r="T29" i="5"/>
  <c r="T46" i="5" s="1"/>
  <c r="T19" i="3"/>
  <c r="T24" i="3"/>
  <c r="U1" i="3"/>
  <c r="H23" i="4"/>
  <c r="BL23" i="4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W43" i="5"/>
  <c r="W41" i="5"/>
  <c r="W24" i="5"/>
  <c r="X1" i="5"/>
  <c r="S29" i="3" l="1"/>
  <c r="S31" i="3"/>
  <c r="S46" i="3" s="1"/>
  <c r="P46" i="3"/>
  <c r="O50" i="3" s="1"/>
  <c r="V2" i="4"/>
  <c r="U7" i="4"/>
  <c r="X36" i="5"/>
  <c r="X35" i="5"/>
  <c r="X34" i="5"/>
  <c r="X33" i="5"/>
  <c r="X32" i="5"/>
  <c r="X31" i="5" s="1"/>
  <c r="X22" i="5"/>
  <c r="X20" i="5"/>
  <c r="X9" i="5"/>
  <c r="X11" i="5" s="1"/>
  <c r="X13" i="5" s="1"/>
  <c r="BX23" i="4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I23" i="4"/>
  <c r="T36" i="4"/>
  <c r="T35" i="4"/>
  <c r="T34" i="4"/>
  <c r="T33" i="4"/>
  <c r="T32" i="4"/>
  <c r="T31" i="4" s="1"/>
  <c r="T22" i="4"/>
  <c r="T20" i="4"/>
  <c r="T9" i="4"/>
  <c r="U41" i="3"/>
  <c r="U38" i="3" s="1"/>
  <c r="U34" i="3"/>
  <c r="U20" i="3"/>
  <c r="U22" i="3"/>
  <c r="U11" i="3"/>
  <c r="U9" i="3"/>
  <c r="U19" i="3" s="1"/>
  <c r="U36" i="3" s="1"/>
  <c r="G23" i="3"/>
  <c r="P49" i="4"/>
  <c r="O50" i="4"/>
  <c r="D50" i="4" s="1"/>
  <c r="P47" i="4"/>
  <c r="P50" i="4" s="1"/>
  <c r="X43" i="5"/>
  <c r="X41" i="5"/>
  <c r="X24" i="5"/>
  <c r="Y1" i="5"/>
  <c r="X19" i="5"/>
  <c r="U24" i="3"/>
  <c r="V1" i="3"/>
  <c r="S11" i="4"/>
  <c r="S13" i="4" s="1"/>
  <c r="S19" i="4"/>
  <c r="H23" i="5"/>
  <c r="R27" i="4"/>
  <c r="R18" i="4"/>
  <c r="R26" i="4" s="1"/>
  <c r="Q29" i="5"/>
  <c r="Q46" i="5" s="1"/>
  <c r="BX23" i="5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W19" i="5"/>
  <c r="O20" i="2"/>
  <c r="O21" i="2" s="1"/>
  <c r="Z11" i="1" s="1"/>
  <c r="D21" i="2"/>
  <c r="O11" i="1" s="1"/>
  <c r="V7" i="3"/>
  <c r="W2" i="3"/>
  <c r="T18" i="3"/>
  <c r="T26" i="3" s="1"/>
  <c r="T27" i="3"/>
  <c r="V41" i="4"/>
  <c r="V43" i="4"/>
  <c r="V24" i="4"/>
  <c r="W1" i="4"/>
  <c r="V29" i="5"/>
  <c r="V46" i="5" s="1"/>
  <c r="W38" i="5"/>
  <c r="T49" i="5"/>
  <c r="S49" i="5"/>
  <c r="Z2" i="5"/>
  <c r="Y7" i="5"/>
  <c r="T33" i="3"/>
  <c r="T32" i="3"/>
  <c r="T35" i="3"/>
  <c r="O49" i="5"/>
  <c r="D49" i="5" s="1"/>
  <c r="O33" i="2" s="1"/>
  <c r="O47" i="5"/>
  <c r="D46" i="5"/>
  <c r="D31" i="2" s="1"/>
  <c r="H23" i="3"/>
  <c r="BL23" i="3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P49" i="3" l="1"/>
  <c r="Q49" i="3" s="1"/>
  <c r="R49" i="3" s="1"/>
  <c r="T29" i="3"/>
  <c r="U13" i="3"/>
  <c r="P47" i="3"/>
  <c r="O49" i="3"/>
  <c r="T31" i="3"/>
  <c r="U27" i="3"/>
  <c r="U18" i="3"/>
  <c r="U26" i="3" s="1"/>
  <c r="CJ23" i="5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J23" i="5"/>
  <c r="X38" i="5"/>
  <c r="O31" i="2"/>
  <c r="O32" i="2" s="1"/>
  <c r="Z13" i="1" s="1"/>
  <c r="D32" i="2"/>
  <c r="O13" i="1" s="1"/>
  <c r="V41" i="3"/>
  <c r="V38" i="3" s="1"/>
  <c r="V22" i="3"/>
  <c r="V20" i="3"/>
  <c r="V11" i="3"/>
  <c r="V13" i="3" s="1"/>
  <c r="V34" i="3"/>
  <c r="V9" i="3"/>
  <c r="V19" i="3" s="1"/>
  <c r="V36" i="3" s="1"/>
  <c r="T11" i="4"/>
  <c r="T13" i="4" s="1"/>
  <c r="T19" i="4"/>
  <c r="V24" i="3"/>
  <c r="W1" i="3"/>
  <c r="CJ23" i="4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Q49" i="5"/>
  <c r="P49" i="5"/>
  <c r="V38" i="4"/>
  <c r="U49" i="5"/>
  <c r="R29" i="4"/>
  <c r="R46" i="4" s="1"/>
  <c r="X27" i="5"/>
  <c r="X18" i="5"/>
  <c r="Q47" i="4"/>
  <c r="Q50" i="4" s="1"/>
  <c r="U36" i="4"/>
  <c r="U32" i="4"/>
  <c r="U31" i="4" s="1"/>
  <c r="U35" i="4"/>
  <c r="U33" i="4"/>
  <c r="U34" i="4"/>
  <c r="U22" i="4"/>
  <c r="U20" i="4"/>
  <c r="U9" i="4"/>
  <c r="Y36" i="5"/>
  <c r="Y35" i="5"/>
  <c r="Y34" i="5"/>
  <c r="Y33" i="5"/>
  <c r="Y32" i="5"/>
  <c r="Y31" i="5" s="1"/>
  <c r="Y22" i="5"/>
  <c r="Y20" i="5"/>
  <c r="Y9" i="5"/>
  <c r="Y11" i="5" s="1"/>
  <c r="Y13" i="5" s="1"/>
  <c r="AA2" i="5"/>
  <c r="Z7" i="5"/>
  <c r="W7" i="3"/>
  <c r="X2" i="3"/>
  <c r="S27" i="4"/>
  <c r="S18" i="4"/>
  <c r="S26" i="4" s="1"/>
  <c r="I23" i="5"/>
  <c r="O50" i="5"/>
  <c r="D50" i="5" s="1"/>
  <c r="P47" i="5"/>
  <c r="P50" i="5" s="1"/>
  <c r="U33" i="3"/>
  <c r="U32" i="3"/>
  <c r="U35" i="3"/>
  <c r="BX23" i="3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W41" i="4"/>
  <c r="W38" i="4" s="1"/>
  <c r="W43" i="4"/>
  <c r="W24" i="4"/>
  <c r="X1" i="4"/>
  <c r="W27" i="5"/>
  <c r="W18" i="5"/>
  <c r="W26" i="5" s="1"/>
  <c r="Y43" i="5"/>
  <c r="Y41" i="5"/>
  <c r="Y38" i="5" s="1"/>
  <c r="Y24" i="5"/>
  <c r="Y19" i="5"/>
  <c r="Z1" i="5"/>
  <c r="W2" i="4"/>
  <c r="V7" i="4"/>
  <c r="X26" i="5"/>
  <c r="X29" i="5" s="1"/>
  <c r="X46" i="5" s="1"/>
  <c r="T46" i="3" l="1"/>
  <c r="S49" i="3" s="1"/>
  <c r="U29" i="3"/>
  <c r="P50" i="3"/>
  <c r="Q47" i="3"/>
  <c r="U31" i="3"/>
  <c r="U46" i="3" s="1"/>
  <c r="S29" i="4"/>
  <c r="S46" i="4" s="1"/>
  <c r="S47" i="4" s="1"/>
  <c r="S50" i="4" s="1"/>
  <c r="W29" i="5"/>
  <c r="W46" i="5" s="1"/>
  <c r="I23" i="3"/>
  <c r="R47" i="4"/>
  <c r="Q49" i="4"/>
  <c r="K23" i="5"/>
  <c r="CV23" i="5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V36" i="4"/>
  <c r="V35" i="4"/>
  <c r="V33" i="4"/>
  <c r="V34" i="4"/>
  <c r="V32" i="4"/>
  <c r="V31" i="4" s="1"/>
  <c r="V9" i="4"/>
  <c r="V22" i="4"/>
  <c r="V20" i="4"/>
  <c r="X7" i="3"/>
  <c r="Y2" i="3"/>
  <c r="X2" i="4"/>
  <c r="W7" i="4"/>
  <c r="X43" i="4"/>
  <c r="X41" i="4"/>
  <c r="X24" i="4"/>
  <c r="Y1" i="4"/>
  <c r="W41" i="3"/>
  <c r="W34" i="3"/>
  <c r="W22" i="3"/>
  <c r="W20" i="3"/>
  <c r="W11" i="3"/>
  <c r="W13" i="3" s="1"/>
  <c r="W9" i="3"/>
  <c r="W19" i="3" s="1"/>
  <c r="W36" i="3" s="1"/>
  <c r="T27" i="4"/>
  <c r="T18" i="4"/>
  <c r="T26" i="4" s="1"/>
  <c r="T29" i="4" s="1"/>
  <c r="T46" i="4" s="1"/>
  <c r="V27" i="3"/>
  <c r="V18" i="3"/>
  <c r="V26" i="3" s="1"/>
  <c r="V29" i="3" s="1"/>
  <c r="Z43" i="5"/>
  <c r="Z41" i="5"/>
  <c r="Z24" i="5"/>
  <c r="AA1" i="5"/>
  <c r="Z36" i="5"/>
  <c r="Z35" i="5"/>
  <c r="Z34" i="5"/>
  <c r="Z33" i="5"/>
  <c r="Z32" i="5"/>
  <c r="Z31" i="5" s="1"/>
  <c r="Z22" i="5"/>
  <c r="Z20" i="5"/>
  <c r="D20" i="5" s="1"/>
  <c r="Z9" i="5"/>
  <c r="D7" i="5"/>
  <c r="D26" i="2" s="1"/>
  <c r="O26" i="2" s="1"/>
  <c r="Q47" i="5"/>
  <c r="Y27" i="5"/>
  <c r="Y18" i="5"/>
  <c r="Y26" i="5" s="1"/>
  <c r="Y29" i="5" s="1"/>
  <c r="Y46" i="5" s="1"/>
  <c r="AA7" i="5"/>
  <c r="AB2" i="5"/>
  <c r="V33" i="3"/>
  <c r="V32" i="3"/>
  <c r="V35" i="3"/>
  <c r="U11" i="4"/>
  <c r="U13" i="4" s="1"/>
  <c r="U19" i="4"/>
  <c r="CV23" i="4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41" i="5"/>
  <c r="J23" i="4"/>
  <c r="CJ23" i="3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W24" i="3"/>
  <c r="X1" i="3"/>
  <c r="W38" i="3" l="1"/>
  <c r="V31" i="3"/>
  <c r="V46" i="3" s="1"/>
  <c r="R47" i="3"/>
  <c r="Q50" i="3"/>
  <c r="R49" i="4"/>
  <c r="R50" i="4"/>
  <c r="S49" i="4"/>
  <c r="X49" i="5"/>
  <c r="X24" i="3"/>
  <c r="Y1" i="3"/>
  <c r="J23" i="3"/>
  <c r="Z38" i="5"/>
  <c r="X38" i="4"/>
  <c r="V11" i="4"/>
  <c r="V13" i="4" s="1"/>
  <c r="V19" i="4"/>
  <c r="W36" i="4"/>
  <c r="W35" i="4"/>
  <c r="W34" i="4"/>
  <c r="W32" i="4"/>
  <c r="W31" i="4" s="1"/>
  <c r="W33" i="4"/>
  <c r="W9" i="4"/>
  <c r="W20" i="4"/>
  <c r="W22" i="4"/>
  <c r="W27" i="3"/>
  <c r="W18" i="3"/>
  <c r="W26" i="3" s="1"/>
  <c r="Q50" i="5"/>
  <c r="R47" i="5"/>
  <c r="X7" i="4"/>
  <c r="Y2" i="4"/>
  <c r="K23" i="3"/>
  <c r="CV23" i="3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T47" i="4"/>
  <c r="Y7" i="3"/>
  <c r="Z2" i="3"/>
  <c r="K23" i="4"/>
  <c r="Z11" i="5"/>
  <c r="Z13" i="5" s="1"/>
  <c r="D9" i="5"/>
  <c r="D27" i="2" s="1"/>
  <c r="O27" i="2" s="1"/>
  <c r="AA43" i="5"/>
  <c r="AA41" i="5"/>
  <c r="AA24" i="5"/>
  <c r="AB1" i="5"/>
  <c r="X41" i="3"/>
  <c r="X38" i="3" s="1"/>
  <c r="X34" i="3"/>
  <c r="X22" i="3"/>
  <c r="X20" i="3"/>
  <c r="X36" i="3" s="1"/>
  <c r="X9" i="3"/>
  <c r="X19" i="3" s="1"/>
  <c r="X11" i="3"/>
  <c r="W49" i="5"/>
  <c r="V49" i="5"/>
  <c r="L23" i="4"/>
  <c r="DH23" i="4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U27" i="4"/>
  <c r="U18" i="4"/>
  <c r="U26" i="4" s="1"/>
  <c r="AB7" i="5"/>
  <c r="AC2" i="5"/>
  <c r="Z19" i="5"/>
  <c r="W32" i="3"/>
  <c r="W35" i="3"/>
  <c r="W33" i="3"/>
  <c r="Y43" i="4"/>
  <c r="Y41" i="4"/>
  <c r="Y24" i="4"/>
  <c r="Z1" i="4"/>
  <c r="DH23" i="5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T49" i="3"/>
  <c r="AA36" i="5"/>
  <c r="E36" i="5" s="1"/>
  <c r="AA35" i="5"/>
  <c r="E35" i="5" s="1"/>
  <c r="AA34" i="5"/>
  <c r="E34" i="5" s="1"/>
  <c r="AA33" i="5"/>
  <c r="E33" i="5" s="1"/>
  <c r="AA32" i="5"/>
  <c r="AA22" i="5"/>
  <c r="E22" i="5" s="1"/>
  <c r="AA20" i="5"/>
  <c r="AA9" i="5"/>
  <c r="AA11" i="5" s="1"/>
  <c r="W31" i="3" l="1"/>
  <c r="U49" i="3"/>
  <c r="X13" i="3"/>
  <c r="R50" i="3"/>
  <c r="S47" i="3"/>
  <c r="W29" i="3"/>
  <c r="Y38" i="4"/>
  <c r="U29" i="4"/>
  <c r="U46" i="4" s="1"/>
  <c r="X32" i="3"/>
  <c r="X35" i="3"/>
  <c r="X33" i="3"/>
  <c r="Y24" i="3"/>
  <c r="Z1" i="3"/>
  <c r="X27" i="3"/>
  <c r="X18" i="3"/>
  <c r="X26" i="3" s="1"/>
  <c r="DT23" i="4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M23" i="4"/>
  <c r="DH23" i="3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L23" i="3"/>
  <c r="V27" i="4"/>
  <c r="V18" i="4"/>
  <c r="V26" i="4" s="1"/>
  <c r="L23" i="5"/>
  <c r="Z2" i="4"/>
  <c r="Y7" i="4"/>
  <c r="W11" i="4"/>
  <c r="W13" i="4" s="1"/>
  <c r="W19" i="4"/>
  <c r="E32" i="5"/>
  <c r="E31" i="5" s="1"/>
  <c r="AA31" i="5"/>
  <c r="M23" i="5"/>
  <c r="DT23" i="5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Z43" i="4"/>
  <c r="Z41" i="4"/>
  <c r="Z24" i="4"/>
  <c r="AA1" i="4"/>
  <c r="Z27" i="5"/>
  <c r="Z18" i="5"/>
  <c r="Z26" i="5" s="1"/>
  <c r="Z29" i="5" s="1"/>
  <c r="Z46" i="5" s="1"/>
  <c r="X35" i="4"/>
  <c r="X36" i="4"/>
  <c r="X32" i="4"/>
  <c r="X31" i="4" s="1"/>
  <c r="X34" i="4"/>
  <c r="X33" i="4"/>
  <c r="X20" i="4"/>
  <c r="X9" i="4"/>
  <c r="X22" i="4"/>
  <c r="AA13" i="5"/>
  <c r="E13" i="5" s="1"/>
  <c r="E29" i="2" s="1"/>
  <c r="E11" i="5"/>
  <c r="R50" i="5"/>
  <c r="S47" i="5"/>
  <c r="AA38" i="5"/>
  <c r="AC7" i="5"/>
  <c r="AD2" i="5"/>
  <c r="AB43" i="5"/>
  <c r="AB41" i="5"/>
  <c r="AB38" i="5" s="1"/>
  <c r="AB24" i="5"/>
  <c r="AC1" i="5"/>
  <c r="Z7" i="3"/>
  <c r="AA2" i="3"/>
  <c r="AB36" i="5"/>
  <c r="AB35" i="5"/>
  <c r="AB34" i="5"/>
  <c r="AB33" i="5"/>
  <c r="AB32" i="5"/>
  <c r="AB31" i="5" s="1"/>
  <c r="AB22" i="5"/>
  <c r="AB20" i="5"/>
  <c r="AB9" i="5"/>
  <c r="AB11" i="5" s="1"/>
  <c r="AB13" i="5" s="1"/>
  <c r="AA19" i="5"/>
  <c r="Y41" i="3"/>
  <c r="Y38" i="3" s="1"/>
  <c r="Y34" i="3"/>
  <c r="Y22" i="3"/>
  <c r="Y20" i="3"/>
  <c r="Y9" i="3"/>
  <c r="Y11" i="3"/>
  <c r="Y13" i="3" s="1"/>
  <c r="X29" i="3" l="1"/>
  <c r="X31" i="3"/>
  <c r="X46" i="3" s="1"/>
  <c r="T47" i="3"/>
  <c r="S50" i="3"/>
  <c r="D11" i="3"/>
  <c r="D6" i="2" s="1"/>
  <c r="W46" i="3"/>
  <c r="V49" i="3" s="1"/>
  <c r="V29" i="4"/>
  <c r="V46" i="4" s="1"/>
  <c r="V47" i="4" s="1"/>
  <c r="AA7" i="3"/>
  <c r="AB2" i="3"/>
  <c r="AC36" i="5"/>
  <c r="AC35" i="5"/>
  <c r="AC34" i="5"/>
  <c r="AC33" i="5"/>
  <c r="AC22" i="5"/>
  <c r="AC20" i="5"/>
  <c r="AC32" i="5"/>
  <c r="AC31" i="5" s="1"/>
  <c r="AC9" i="5"/>
  <c r="AC11" i="5" s="1"/>
  <c r="AC13" i="5" s="1"/>
  <c r="X11" i="4"/>
  <c r="X13" i="4" s="1"/>
  <c r="X19" i="4"/>
  <c r="AA43" i="4"/>
  <c r="AA41" i="4"/>
  <c r="AA24" i="4"/>
  <c r="AB1" i="4"/>
  <c r="Z24" i="3"/>
  <c r="AA1" i="3"/>
  <c r="Y35" i="3"/>
  <c r="Y33" i="3"/>
  <c r="Y32" i="3"/>
  <c r="Y49" i="5"/>
  <c r="Z41" i="3"/>
  <c r="Z38" i="3" s="1"/>
  <c r="Z34" i="3"/>
  <c r="Z22" i="3"/>
  <c r="Z20" i="3"/>
  <c r="D20" i="3" s="1"/>
  <c r="Z36" i="3"/>
  <c r="Z11" i="3"/>
  <c r="Z13" i="3" s="1"/>
  <c r="Z9" i="3"/>
  <c r="Z19" i="3" s="1"/>
  <c r="D7" i="3"/>
  <c r="D4" i="2" s="1"/>
  <c r="AC43" i="5"/>
  <c r="AC41" i="5"/>
  <c r="AC24" i="5"/>
  <c r="AC19" i="5"/>
  <c r="AD1" i="5"/>
  <c r="Y19" i="3"/>
  <c r="Y36" i="3" s="1"/>
  <c r="U49" i="4"/>
  <c r="U47" i="4"/>
  <c r="U50" i="4" s="1"/>
  <c r="T49" i="4"/>
  <c r="AD7" i="5"/>
  <c r="AE2" i="5"/>
  <c r="D24" i="4"/>
  <c r="W27" i="4"/>
  <c r="W18" i="4"/>
  <c r="W26" i="4" s="1"/>
  <c r="AB19" i="5"/>
  <c r="S50" i="5"/>
  <c r="T47" i="5"/>
  <c r="M23" i="3"/>
  <c r="DT23" i="3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Z38" i="4"/>
  <c r="Y34" i="4"/>
  <c r="Y36" i="4"/>
  <c r="Y35" i="4"/>
  <c r="Y33" i="4"/>
  <c r="Y32" i="4"/>
  <c r="Y31" i="4" s="1"/>
  <c r="Y20" i="4"/>
  <c r="Y22" i="4"/>
  <c r="Y9" i="4"/>
  <c r="T50" i="4"/>
  <c r="E28" i="2"/>
  <c r="Z7" i="4"/>
  <c r="AA2" i="4"/>
  <c r="AA27" i="5"/>
  <c r="E27" i="5" s="1"/>
  <c r="E19" i="5"/>
  <c r="E18" i="5" s="1"/>
  <c r="AA18" i="5"/>
  <c r="AA26" i="5" s="1"/>
  <c r="Y31" i="3" l="1"/>
  <c r="W49" i="3"/>
  <c r="T50" i="3"/>
  <c r="U47" i="3"/>
  <c r="AB27" i="5"/>
  <c r="AB18" i="5"/>
  <c r="AB26" i="5" s="1"/>
  <c r="AB29" i="5" s="1"/>
  <c r="AB46" i="5" s="1"/>
  <c r="AA7" i="4"/>
  <c r="AB2" i="4"/>
  <c r="Z34" i="4"/>
  <c r="Z36" i="4"/>
  <c r="Z35" i="4"/>
  <c r="Z33" i="4"/>
  <c r="Z32" i="4"/>
  <c r="Z31" i="4" s="1"/>
  <c r="Z20" i="4"/>
  <c r="D20" i="4" s="1"/>
  <c r="Z22" i="4"/>
  <c r="Z9" i="4"/>
  <c r="D7" i="4"/>
  <c r="D15" i="2" s="1"/>
  <c r="O15" i="2" s="1"/>
  <c r="AA29" i="5"/>
  <c r="E26" i="5"/>
  <c r="Z35" i="3"/>
  <c r="Z33" i="3"/>
  <c r="Z32" i="3"/>
  <c r="D9" i="3"/>
  <c r="D5" i="2" s="1"/>
  <c r="AB41" i="4"/>
  <c r="AB38" i="4" s="1"/>
  <c r="AB43" i="4"/>
  <c r="AB24" i="4"/>
  <c r="AC1" i="4"/>
  <c r="X27" i="4"/>
  <c r="X18" i="4"/>
  <c r="X26" i="4" s="1"/>
  <c r="Y27" i="3"/>
  <c r="Y18" i="3"/>
  <c r="Y26" i="3" s="1"/>
  <c r="T50" i="5"/>
  <c r="U47" i="5"/>
  <c r="AE7" i="5"/>
  <c r="AF2" i="5"/>
  <c r="AD43" i="5"/>
  <c r="AD41" i="5"/>
  <c r="AD24" i="5"/>
  <c r="AD19" i="5"/>
  <c r="AE1" i="5"/>
  <c r="AC2" i="3"/>
  <c r="AB7" i="3"/>
  <c r="AD35" i="5"/>
  <c r="AD34" i="5"/>
  <c r="AD36" i="5"/>
  <c r="AD32" i="5"/>
  <c r="AD31" i="5" s="1"/>
  <c r="AD33" i="5"/>
  <c r="AD22" i="5"/>
  <c r="AD9" i="5"/>
  <c r="AD11" i="5" s="1"/>
  <c r="AD13" i="5" s="1"/>
  <c r="AD20" i="5"/>
  <c r="AC27" i="5"/>
  <c r="AC18" i="5"/>
  <c r="AA38" i="4"/>
  <c r="AA41" i="3"/>
  <c r="AA34" i="3"/>
  <c r="AA22" i="3"/>
  <c r="AA20" i="3"/>
  <c r="AA9" i="3"/>
  <c r="AA11" i="3"/>
  <c r="AC26" i="5"/>
  <c r="AC29" i="5" s="1"/>
  <c r="AC46" i="5" s="1"/>
  <c r="Y11" i="4"/>
  <c r="Y13" i="4" s="1"/>
  <c r="Y19" i="4"/>
  <c r="W29" i="4"/>
  <c r="W46" i="4" s="1"/>
  <c r="V50" i="4" s="1"/>
  <c r="AC38" i="5"/>
  <c r="AA19" i="3"/>
  <c r="AA36" i="3" s="1"/>
  <c r="AB1" i="3"/>
  <c r="AA24" i="3"/>
  <c r="Z27" i="3"/>
  <c r="Z18" i="3"/>
  <c r="Z26" i="3" s="1"/>
  <c r="Z29" i="3" s="1"/>
  <c r="Y29" i="3" l="1"/>
  <c r="Y46" i="3" s="1"/>
  <c r="Z31" i="3"/>
  <c r="Z46" i="3" s="1"/>
  <c r="U50" i="3"/>
  <c r="V47" i="3"/>
  <c r="AE43" i="5"/>
  <c r="AE41" i="5"/>
  <c r="AE24" i="5"/>
  <c r="AF1" i="5"/>
  <c r="AA27" i="3"/>
  <c r="AA18" i="3"/>
  <c r="AA26" i="3" s="1"/>
  <c r="U50" i="5"/>
  <c r="V47" i="5"/>
  <c r="AA13" i="3"/>
  <c r="Y27" i="4"/>
  <c r="Y18" i="4"/>
  <c r="Y26" i="4" s="1"/>
  <c r="Z11" i="4"/>
  <c r="Z13" i="4" s="1"/>
  <c r="D9" i="4"/>
  <c r="D16" i="2" s="1"/>
  <c r="O16" i="2" s="1"/>
  <c r="Z19" i="4"/>
  <c r="AB7" i="4"/>
  <c r="AC2" i="4"/>
  <c r="AA38" i="3"/>
  <c r="AA46" i="5"/>
  <c r="E29" i="5"/>
  <c r="E30" i="2" s="1"/>
  <c r="W47" i="4"/>
  <c r="V49" i="4"/>
  <c r="AD27" i="5"/>
  <c r="AD18" i="5"/>
  <c r="AD26" i="5" s="1"/>
  <c r="AD29" i="5" s="1"/>
  <c r="AD46" i="5" s="1"/>
  <c r="AA33" i="3"/>
  <c r="AA32" i="3"/>
  <c r="AA35" i="3"/>
  <c r="AD38" i="5"/>
  <c r="X29" i="4"/>
  <c r="X46" i="4" s="1"/>
  <c r="AA33" i="4"/>
  <c r="E33" i="4" s="1"/>
  <c r="AA36" i="4"/>
  <c r="E36" i="4" s="1"/>
  <c r="AA34" i="4"/>
  <c r="E34" i="4" s="1"/>
  <c r="AA35" i="4"/>
  <c r="E35" i="4" s="1"/>
  <c r="AA32" i="4"/>
  <c r="AA20" i="4"/>
  <c r="AA22" i="4"/>
  <c r="E22" i="4" s="1"/>
  <c r="AA9" i="4"/>
  <c r="AB49" i="5"/>
  <c r="AC7" i="3"/>
  <c r="AD2" i="3"/>
  <c r="AF7" i="5"/>
  <c r="AG2" i="5"/>
  <c r="AC41" i="4"/>
  <c r="AC24" i="4"/>
  <c r="AC43" i="4"/>
  <c r="AD1" i="4"/>
  <c r="AB41" i="3"/>
  <c r="AB38" i="3" s="1"/>
  <c r="AB34" i="3"/>
  <c r="AB20" i="3"/>
  <c r="AB22" i="3"/>
  <c r="AB11" i="3"/>
  <c r="AB13" i="3" s="1"/>
  <c r="AB9" i="3"/>
  <c r="AB19" i="3"/>
  <c r="AB36" i="3" s="1"/>
  <c r="AB24" i="3"/>
  <c r="AC1" i="3"/>
  <c r="AE35" i="5"/>
  <c r="AE34" i="5"/>
  <c r="AE32" i="5"/>
  <c r="AE31" i="5" s="1"/>
  <c r="AE36" i="5"/>
  <c r="AE33" i="5"/>
  <c r="AE22" i="5"/>
  <c r="AE20" i="5"/>
  <c r="AE9" i="5"/>
  <c r="AE11" i="5" s="1"/>
  <c r="AE13" i="5" s="1"/>
  <c r="X49" i="3" l="1"/>
  <c r="Y49" i="3" s="1"/>
  <c r="W47" i="3"/>
  <c r="V50" i="3"/>
  <c r="AC49" i="5"/>
  <c r="AA11" i="4"/>
  <c r="AA19" i="4"/>
  <c r="AE19" i="5"/>
  <c r="AF36" i="5"/>
  <c r="AF35" i="5"/>
  <c r="AF34" i="5"/>
  <c r="AF33" i="5"/>
  <c r="AF32" i="5"/>
  <c r="AF31" i="5" s="1"/>
  <c r="AF22" i="5"/>
  <c r="AF9" i="5"/>
  <c r="AF11" i="5" s="1"/>
  <c r="AF13" i="5" s="1"/>
  <c r="AF20" i="5"/>
  <c r="E32" i="4"/>
  <c r="E31" i="4" s="1"/>
  <c r="AA31" i="4"/>
  <c r="AA31" i="3"/>
  <c r="AA49" i="5"/>
  <c r="E46" i="5"/>
  <c r="E31" i="2" s="1"/>
  <c r="E32" i="2" s="1"/>
  <c r="P13" i="1" s="1"/>
  <c r="Z49" i="5"/>
  <c r="AA29" i="3"/>
  <c r="AD7" i="3"/>
  <c r="AE2" i="3"/>
  <c r="AE38" i="5"/>
  <c r="X47" i="4"/>
  <c r="AD41" i="4"/>
  <c r="AD43" i="4"/>
  <c r="AE1" i="4"/>
  <c r="AD24" i="4"/>
  <c r="AC41" i="3"/>
  <c r="AC34" i="3"/>
  <c r="AC20" i="3"/>
  <c r="AC36" i="3" s="1"/>
  <c r="AC22" i="3"/>
  <c r="AC11" i="3"/>
  <c r="AC9" i="3"/>
  <c r="Y29" i="4"/>
  <c r="Y46" i="4" s="1"/>
  <c r="W49" i="4"/>
  <c r="AH2" i="5"/>
  <c r="AG7" i="5"/>
  <c r="AB33" i="3"/>
  <c r="AB32" i="3"/>
  <c r="AB35" i="3"/>
  <c r="AC19" i="3"/>
  <c r="AC24" i="3"/>
  <c r="AD1" i="3"/>
  <c r="AC7" i="4"/>
  <c r="AD2" i="4"/>
  <c r="AB36" i="4"/>
  <c r="AB35" i="4"/>
  <c r="AB34" i="4"/>
  <c r="AB33" i="4"/>
  <c r="AB32" i="4"/>
  <c r="AB31" i="4" s="1"/>
  <c r="AB20" i="4"/>
  <c r="AB22" i="4"/>
  <c r="AB9" i="4"/>
  <c r="AB27" i="3"/>
  <c r="AB18" i="3"/>
  <c r="AB26" i="3" s="1"/>
  <c r="AC38" i="4"/>
  <c r="W50" i="4"/>
  <c r="Z27" i="4"/>
  <c r="Z18" i="4"/>
  <c r="Z26" i="4" s="1"/>
  <c r="V50" i="5"/>
  <c r="W47" i="5"/>
  <c r="AF43" i="5"/>
  <c r="AF41" i="5"/>
  <c r="AF24" i="5"/>
  <c r="AG1" i="5"/>
  <c r="AF19" i="5"/>
  <c r="AB31" i="3" l="1"/>
  <c r="AC38" i="3"/>
  <c r="X47" i="3"/>
  <c r="W50" i="3"/>
  <c r="AC13" i="3"/>
  <c r="AB29" i="3"/>
  <c r="AF27" i="5"/>
  <c r="AF18" i="5"/>
  <c r="AG43" i="5"/>
  <c r="AG41" i="5"/>
  <c r="AG24" i="5"/>
  <c r="AH1" i="5"/>
  <c r="AA27" i="4"/>
  <c r="E27" i="4" s="1"/>
  <c r="E19" i="4"/>
  <c r="E18" i="4" s="1"/>
  <c r="AA18" i="4"/>
  <c r="AA26" i="4" s="1"/>
  <c r="AF26" i="5"/>
  <c r="AF29" i="5" s="1"/>
  <c r="AF46" i="5" s="1"/>
  <c r="AB11" i="4"/>
  <c r="AB13" i="4" s="1"/>
  <c r="AB19" i="4"/>
  <c r="AC33" i="3"/>
  <c r="AC32" i="3"/>
  <c r="AC35" i="3"/>
  <c r="AE41" i="4"/>
  <c r="AE38" i="4" s="1"/>
  <c r="AE43" i="4"/>
  <c r="AE24" i="4"/>
  <c r="AF1" i="4"/>
  <c r="AE7" i="3"/>
  <c r="AF2" i="3"/>
  <c r="AA13" i="4"/>
  <c r="E13" i="4" s="1"/>
  <c r="E18" i="2" s="1"/>
  <c r="E11" i="4"/>
  <c r="Y47" i="4"/>
  <c r="AF38" i="5"/>
  <c r="AD7" i="4"/>
  <c r="AE2" i="4"/>
  <c r="AD41" i="3"/>
  <c r="AD38" i="3" s="1"/>
  <c r="AD36" i="3"/>
  <c r="AD34" i="3"/>
  <c r="AD22" i="3"/>
  <c r="AD11" i="3"/>
  <c r="AD13" i="3" s="1"/>
  <c r="AD9" i="3"/>
  <c r="AD19" i="3" s="1"/>
  <c r="AD20" i="3"/>
  <c r="AC36" i="4"/>
  <c r="AC32" i="4"/>
  <c r="AC31" i="4" s="1"/>
  <c r="AC35" i="4"/>
  <c r="AC33" i="4"/>
  <c r="AC22" i="4"/>
  <c r="AC34" i="4"/>
  <c r="AC20" i="4"/>
  <c r="AC9" i="4"/>
  <c r="AD24" i="3"/>
  <c r="AE1" i="3"/>
  <c r="AI2" i="5"/>
  <c r="AH7" i="5"/>
  <c r="AD38" i="4"/>
  <c r="AA46" i="3"/>
  <c r="W50" i="5"/>
  <c r="X47" i="5"/>
  <c r="X50" i="4"/>
  <c r="AG36" i="5"/>
  <c r="AG33" i="5"/>
  <c r="AG35" i="5"/>
  <c r="AG34" i="5"/>
  <c r="AG32" i="5"/>
  <c r="AG31" i="5" s="1"/>
  <c r="AG22" i="5"/>
  <c r="AG20" i="5"/>
  <c r="AG9" i="5"/>
  <c r="AG11" i="5" s="1"/>
  <c r="AG13" i="5" s="1"/>
  <c r="Z29" i="4"/>
  <c r="Z46" i="4" s="1"/>
  <c r="Y49" i="4" s="1"/>
  <c r="AC18" i="3"/>
  <c r="AC26" i="3" s="1"/>
  <c r="AC27" i="3"/>
  <c r="X49" i="4"/>
  <c r="AE27" i="5"/>
  <c r="AE18" i="5"/>
  <c r="AE26" i="5" s="1"/>
  <c r="AB46" i="3" l="1"/>
  <c r="AA49" i="3" s="1"/>
  <c r="AC31" i="3"/>
  <c r="X50" i="3"/>
  <c r="Y47" i="3"/>
  <c r="AC29" i="3"/>
  <c r="AC46" i="3" s="1"/>
  <c r="AD27" i="3"/>
  <c r="AD18" i="3"/>
  <c r="AD26" i="3" s="1"/>
  <c r="AE29" i="5"/>
  <c r="AE46" i="5" s="1"/>
  <c r="Y50" i="4"/>
  <c r="AF43" i="4"/>
  <c r="AF41" i="4"/>
  <c r="AF24" i="4"/>
  <c r="AG1" i="4"/>
  <c r="AE24" i="3"/>
  <c r="AF1" i="3"/>
  <c r="AG38" i="5"/>
  <c r="AI7" i="5"/>
  <c r="AJ2" i="5"/>
  <c r="X50" i="5"/>
  <c r="Y47" i="5"/>
  <c r="AF2" i="4"/>
  <c r="AE7" i="4"/>
  <c r="E26" i="4"/>
  <c r="AA29" i="4"/>
  <c r="AC11" i="4"/>
  <c r="AC13" i="4" s="1"/>
  <c r="AC19" i="4"/>
  <c r="AD36" i="4"/>
  <c r="AD35" i="4"/>
  <c r="AD33" i="4"/>
  <c r="AD32" i="4"/>
  <c r="AD31" i="4" s="1"/>
  <c r="AD22" i="4"/>
  <c r="AD9" i="4"/>
  <c r="AD34" i="4"/>
  <c r="AD20" i="4"/>
  <c r="E17" i="2"/>
  <c r="Z49" i="3"/>
  <c r="Z47" i="4"/>
  <c r="AD33" i="3"/>
  <c r="AD32" i="3"/>
  <c r="AD35" i="3"/>
  <c r="AF7" i="3"/>
  <c r="AG2" i="3"/>
  <c r="AH43" i="5"/>
  <c r="AH41" i="5"/>
  <c r="AH38" i="5" s="1"/>
  <c r="AH24" i="5"/>
  <c r="AI1" i="5"/>
  <c r="AH36" i="5"/>
  <c r="AH35" i="5"/>
  <c r="AH34" i="5"/>
  <c r="AH33" i="5"/>
  <c r="AH32" i="5"/>
  <c r="AH31" i="5" s="1"/>
  <c r="AH22" i="5"/>
  <c r="AH9" i="5"/>
  <c r="AH11" i="5" s="1"/>
  <c r="AH13" i="5" s="1"/>
  <c r="AH20" i="5"/>
  <c r="AE41" i="3"/>
  <c r="AE34" i="3"/>
  <c r="AE22" i="3"/>
  <c r="AE20" i="3"/>
  <c r="AE11" i="3"/>
  <c r="AE13" i="3" s="1"/>
  <c r="AE9" i="3"/>
  <c r="AG19" i="5"/>
  <c r="AB27" i="4"/>
  <c r="AB18" i="4"/>
  <c r="AB26" i="4" s="1"/>
  <c r="AB49" i="3" l="1"/>
  <c r="AD29" i="3"/>
  <c r="AE38" i="3"/>
  <c r="AD31" i="3"/>
  <c r="Y50" i="3"/>
  <c r="Z47" i="3"/>
  <c r="AF24" i="3"/>
  <c r="AG1" i="3"/>
  <c r="AG27" i="5"/>
  <c r="AG18" i="5"/>
  <c r="AG26" i="5" s="1"/>
  <c r="AI43" i="5"/>
  <c r="AI41" i="5"/>
  <c r="AI38" i="5" s="1"/>
  <c r="AI24" i="5"/>
  <c r="AJ1" i="5"/>
  <c r="AD11" i="4"/>
  <c r="AD13" i="4" s="1"/>
  <c r="AD19" i="4"/>
  <c r="AA46" i="4"/>
  <c r="Z50" i="4" s="1"/>
  <c r="E29" i="4"/>
  <c r="E19" i="2" s="1"/>
  <c r="AE32" i="3"/>
  <c r="AE35" i="3"/>
  <c r="AE33" i="3"/>
  <c r="AH19" i="5"/>
  <c r="AE36" i="4"/>
  <c r="AE35" i="4"/>
  <c r="AE34" i="4"/>
  <c r="AE33" i="4"/>
  <c r="AE32" i="4"/>
  <c r="AE31" i="4" s="1"/>
  <c r="AE9" i="4"/>
  <c r="AE22" i="4"/>
  <c r="AE20" i="4"/>
  <c r="Y50" i="5"/>
  <c r="Z47" i="5"/>
  <c r="AE19" i="3"/>
  <c r="AE36" i="3" s="1"/>
  <c r="AE49" i="5"/>
  <c r="AD49" i="5"/>
  <c r="AF7" i="4"/>
  <c r="AG2" i="4"/>
  <c r="AJ7" i="5"/>
  <c r="AK2" i="5"/>
  <c r="AI36" i="5"/>
  <c r="AI35" i="5"/>
  <c r="AI33" i="5"/>
  <c r="AI32" i="5"/>
  <c r="AI31" i="5" s="1"/>
  <c r="AI34" i="5"/>
  <c r="AI22" i="5"/>
  <c r="AI20" i="5"/>
  <c r="AI9" i="5"/>
  <c r="AI11" i="5" s="1"/>
  <c r="AI13" i="5" s="1"/>
  <c r="AG43" i="4"/>
  <c r="AG41" i="4"/>
  <c r="AG24" i="4"/>
  <c r="AH1" i="4"/>
  <c r="D47" i="4"/>
  <c r="AG7" i="3"/>
  <c r="AH2" i="3"/>
  <c r="AC27" i="4"/>
  <c r="AC18" i="4"/>
  <c r="AC26" i="4" s="1"/>
  <c r="AC29" i="4" s="1"/>
  <c r="AC46" i="4" s="1"/>
  <c r="AB29" i="4"/>
  <c r="AB46" i="4" s="1"/>
  <c r="AF41" i="3"/>
  <c r="AF38" i="3" s="1"/>
  <c r="AF34" i="3"/>
  <c r="AF22" i="3"/>
  <c r="AF9" i="3"/>
  <c r="AF20" i="3"/>
  <c r="AF11" i="3"/>
  <c r="AF13" i="3" s="1"/>
  <c r="AF38" i="4"/>
  <c r="AE31" i="3" l="1"/>
  <c r="AD46" i="3"/>
  <c r="AC49" i="3" s="1"/>
  <c r="D47" i="3"/>
  <c r="Z50" i="3"/>
  <c r="AA47" i="3"/>
  <c r="AE18" i="3"/>
  <c r="AE26" i="3" s="1"/>
  <c r="AE27" i="3"/>
  <c r="AI19" i="5"/>
  <c r="AJ36" i="5"/>
  <c r="AJ35" i="5"/>
  <c r="AJ34" i="5"/>
  <c r="AJ33" i="5"/>
  <c r="AJ32" i="5"/>
  <c r="AJ31" i="5" s="1"/>
  <c r="AJ22" i="5"/>
  <c r="AJ20" i="5"/>
  <c r="AJ9" i="5"/>
  <c r="AJ11" i="5" s="1"/>
  <c r="AJ13" i="5" s="1"/>
  <c r="D47" i="5"/>
  <c r="Z50" i="5"/>
  <c r="AA47" i="5"/>
  <c r="AD27" i="4"/>
  <c r="AD18" i="4"/>
  <c r="AD26" i="4" s="1"/>
  <c r="AH7" i="3"/>
  <c r="AI2" i="3"/>
  <c r="AB49" i="4"/>
  <c r="AF35" i="4"/>
  <c r="AF36" i="4"/>
  <c r="AF32" i="4"/>
  <c r="AF31" i="4" s="1"/>
  <c r="AF34" i="4"/>
  <c r="AF33" i="4"/>
  <c r="AF20" i="4"/>
  <c r="AF22" i="4"/>
  <c r="AF9" i="4"/>
  <c r="AH27" i="5"/>
  <c r="AH18" i="5"/>
  <c r="AH26" i="5" s="1"/>
  <c r="AH29" i="5" s="1"/>
  <c r="AH46" i="5" s="1"/>
  <c r="AH2" i="4"/>
  <c r="AG7" i="4"/>
  <c r="AH43" i="4"/>
  <c r="AH41" i="4"/>
  <c r="AH24" i="4"/>
  <c r="AI1" i="4"/>
  <c r="AG29" i="5"/>
  <c r="AG46" i="5" s="1"/>
  <c r="AE11" i="4"/>
  <c r="AE13" i="4" s="1"/>
  <c r="AE19" i="4"/>
  <c r="AF32" i="3"/>
  <c r="AF35" i="3"/>
  <c r="AF33" i="3"/>
  <c r="AG38" i="4"/>
  <c r="AF19" i="3"/>
  <c r="AF36" i="3" s="1"/>
  <c r="AJ43" i="5"/>
  <c r="AJ41" i="5"/>
  <c r="AJ24" i="5"/>
  <c r="AK1" i="5"/>
  <c r="AJ19" i="5"/>
  <c r="AG24" i="3"/>
  <c r="AH1" i="3"/>
  <c r="AG41" i="3"/>
  <c r="AG38" i="3" s="1"/>
  <c r="AG34" i="3"/>
  <c r="AG22" i="3"/>
  <c r="AG20" i="3"/>
  <c r="AG9" i="3"/>
  <c r="AG19" i="3" s="1"/>
  <c r="AG36" i="3" s="1"/>
  <c r="AG11" i="3"/>
  <c r="AK7" i="5"/>
  <c r="AL2" i="5"/>
  <c r="E46" i="4"/>
  <c r="E20" i="2" s="1"/>
  <c r="E21" i="2" s="1"/>
  <c r="P11" i="1" s="1"/>
  <c r="AA49" i="4"/>
  <c r="AA47" i="4"/>
  <c r="AA50" i="4" s="1"/>
  <c r="Z49" i="4"/>
  <c r="AF31" i="3" l="1"/>
  <c r="AA50" i="3"/>
  <c r="AB47" i="3"/>
  <c r="AG13" i="3"/>
  <c r="AD29" i="4"/>
  <c r="AD46" i="4" s="1"/>
  <c r="AC49" i="4" s="1"/>
  <c r="AG18" i="3"/>
  <c r="AG27" i="3"/>
  <c r="AJ27" i="5"/>
  <c r="AJ18" i="5"/>
  <c r="AH24" i="3"/>
  <c r="AI1" i="3"/>
  <c r="AF18" i="3"/>
  <c r="AF26" i="3" s="1"/>
  <c r="AF27" i="3"/>
  <c r="AE27" i="4"/>
  <c r="AE18" i="4"/>
  <c r="AE26" i="4" s="1"/>
  <c r="AL7" i="5"/>
  <c r="AM2" i="5"/>
  <c r="AK36" i="5"/>
  <c r="AK35" i="5"/>
  <c r="AK34" i="5"/>
  <c r="AK33" i="5"/>
  <c r="AK32" i="5"/>
  <c r="AK31" i="5" s="1"/>
  <c r="AK22" i="5"/>
  <c r="AK20" i="5"/>
  <c r="AK9" i="5"/>
  <c r="AK11" i="5" s="1"/>
  <c r="AK13" i="5" s="1"/>
  <c r="AH38" i="4"/>
  <c r="AF11" i="4"/>
  <c r="AF13" i="4" s="1"/>
  <c r="AF19" i="4"/>
  <c r="AB47" i="4"/>
  <c r="AA50" i="5"/>
  <c r="AB47" i="5"/>
  <c r="AG35" i="3"/>
  <c r="AG33" i="3"/>
  <c r="AG32" i="3"/>
  <c r="AK43" i="5"/>
  <c r="AK41" i="5"/>
  <c r="AK24" i="5"/>
  <c r="AK19" i="5"/>
  <c r="AL1" i="5"/>
  <c r="AH7" i="4"/>
  <c r="AI2" i="4"/>
  <c r="AI7" i="3"/>
  <c r="AJ2" i="3"/>
  <c r="AI27" i="5"/>
  <c r="AI18" i="5"/>
  <c r="AI26" i="5" s="1"/>
  <c r="AI29" i="5" s="1"/>
  <c r="AI46" i="5" s="1"/>
  <c r="AG26" i="3"/>
  <c r="AG34" i="4"/>
  <c r="AG32" i="4"/>
  <c r="AG31" i="4" s="1"/>
  <c r="AG35" i="4"/>
  <c r="AG36" i="4"/>
  <c r="AG33" i="4"/>
  <c r="AG20" i="4"/>
  <c r="AG9" i="4"/>
  <c r="AG22" i="4"/>
  <c r="AJ26" i="5"/>
  <c r="AJ29" i="5" s="1"/>
  <c r="AG49" i="5"/>
  <c r="AF49" i="5"/>
  <c r="AH41" i="3"/>
  <c r="AH38" i="3" s="1"/>
  <c r="AH34" i="3"/>
  <c r="AH22" i="3"/>
  <c r="AH20" i="3"/>
  <c r="AH11" i="3"/>
  <c r="AH13" i="3" s="1"/>
  <c r="AH9" i="3"/>
  <c r="AJ38" i="5"/>
  <c r="AI43" i="4"/>
  <c r="AI41" i="4"/>
  <c r="AI38" i="4" s="1"/>
  <c r="AI24" i="4"/>
  <c r="AJ1" i="4"/>
  <c r="AE29" i="3"/>
  <c r="AG29" i="3" l="1"/>
  <c r="AG31" i="3"/>
  <c r="AE46" i="3"/>
  <c r="AD49" i="3" s="1"/>
  <c r="AB50" i="3"/>
  <c r="AC47" i="3"/>
  <c r="AE29" i="4"/>
  <c r="AE46" i="4" s="1"/>
  <c r="AL35" i="5"/>
  <c r="AL34" i="5"/>
  <c r="AL36" i="5"/>
  <c r="AL32" i="5"/>
  <c r="AL31" i="5" s="1"/>
  <c r="AL33" i="5"/>
  <c r="AL22" i="5"/>
  <c r="AL9" i="5"/>
  <c r="AL20" i="5"/>
  <c r="E20" i="5" s="1"/>
  <c r="E7" i="5"/>
  <c r="E26" i="2" s="1"/>
  <c r="AB50" i="4"/>
  <c r="AC47" i="4"/>
  <c r="AG11" i="4"/>
  <c r="AG13" i="4" s="1"/>
  <c r="AG19" i="4"/>
  <c r="AJ1" i="3"/>
  <c r="AI24" i="3"/>
  <c r="AK2" i="3"/>
  <c r="AJ7" i="3"/>
  <c r="AK38" i="5"/>
  <c r="AF27" i="4"/>
  <c r="AF18" i="4"/>
  <c r="AF26" i="4" s="1"/>
  <c r="AF29" i="4" s="1"/>
  <c r="AF46" i="4" s="1"/>
  <c r="AI49" i="5"/>
  <c r="AI7" i="4"/>
  <c r="AJ2" i="4"/>
  <c r="AH34" i="4"/>
  <c r="AH36" i="4"/>
  <c r="AH35" i="4"/>
  <c r="AH33" i="4"/>
  <c r="AH32" i="4"/>
  <c r="AH31" i="4" s="1"/>
  <c r="AH20" i="4"/>
  <c r="AH22" i="4"/>
  <c r="AH9" i="4"/>
  <c r="AK27" i="5"/>
  <c r="AK18" i="5"/>
  <c r="AK26" i="5" s="1"/>
  <c r="AK29" i="5" s="1"/>
  <c r="AK46" i="5" s="1"/>
  <c r="AH49" i="5"/>
  <c r="AJ46" i="5"/>
  <c r="AD49" i="4"/>
  <c r="AF29" i="3"/>
  <c r="AF46" i="3" s="1"/>
  <c r="AI41" i="3"/>
  <c r="AI38" i="3" s="1"/>
  <c r="AI34" i="3"/>
  <c r="AI22" i="3"/>
  <c r="AI20" i="3"/>
  <c r="AI11" i="3"/>
  <c r="AI9" i="3"/>
  <c r="AI19" i="3" s="1"/>
  <c r="AI36" i="3" s="1"/>
  <c r="AH35" i="3"/>
  <c r="AH33" i="3"/>
  <c r="AH32" i="3"/>
  <c r="AJ41" i="4"/>
  <c r="AJ43" i="4"/>
  <c r="AJ24" i="4"/>
  <c r="AK1" i="4"/>
  <c r="AG46" i="3"/>
  <c r="AL43" i="5"/>
  <c r="AL41" i="5"/>
  <c r="AL38" i="5" s="1"/>
  <c r="AL24" i="5"/>
  <c r="AL19" i="5"/>
  <c r="AM1" i="5"/>
  <c r="AB50" i="5"/>
  <c r="AC47" i="5"/>
  <c r="AM7" i="5"/>
  <c r="AN2" i="5"/>
  <c r="AH19" i="3"/>
  <c r="AH36" i="3" s="1"/>
  <c r="AE49" i="3" l="1"/>
  <c r="AF49" i="3" s="1"/>
  <c r="AH31" i="3"/>
  <c r="AC50" i="3"/>
  <c r="AD47" i="3"/>
  <c r="AE47" i="3" s="1"/>
  <c r="AI13" i="3"/>
  <c r="AN7" i="5"/>
  <c r="AO2" i="5"/>
  <c r="AI27" i="3"/>
  <c r="AI18" i="3"/>
  <c r="AI26" i="3" s="1"/>
  <c r="AM35" i="5"/>
  <c r="F35" i="5" s="1"/>
  <c r="AM34" i="5"/>
  <c r="F34" i="5" s="1"/>
  <c r="AM32" i="5"/>
  <c r="AM36" i="5"/>
  <c r="F36" i="5" s="1"/>
  <c r="AM33" i="5"/>
  <c r="F33" i="5" s="1"/>
  <c r="AM22" i="5"/>
  <c r="F22" i="5" s="1"/>
  <c r="AM20" i="5"/>
  <c r="AM9" i="5"/>
  <c r="AM11" i="5" s="1"/>
  <c r="AL11" i="5"/>
  <c r="AL13" i="5" s="1"/>
  <c r="E9" i="5"/>
  <c r="E27" i="2" s="1"/>
  <c r="AC50" i="5"/>
  <c r="AD47" i="5"/>
  <c r="AK41" i="4"/>
  <c r="AK38" i="4" s="1"/>
  <c r="AK24" i="4"/>
  <c r="AK43" i="4"/>
  <c r="AL1" i="4"/>
  <c r="AH11" i="4"/>
  <c r="AH13" i="4" s="1"/>
  <c r="AH19" i="4"/>
  <c r="AJ7" i="4"/>
  <c r="AK2" i="4"/>
  <c r="AG27" i="4"/>
  <c r="AG18" i="4"/>
  <c r="AG26" i="4" s="1"/>
  <c r="AG29" i="4" s="1"/>
  <c r="AG46" i="4" s="1"/>
  <c r="AI33" i="4"/>
  <c r="AI36" i="4"/>
  <c r="AI35" i="4"/>
  <c r="AI34" i="4"/>
  <c r="AI32" i="4"/>
  <c r="AI31" i="4" s="1"/>
  <c r="AI20" i="4"/>
  <c r="AI22" i="4"/>
  <c r="AI9" i="4"/>
  <c r="AJ24" i="3"/>
  <c r="AK1" i="3"/>
  <c r="AM43" i="5"/>
  <c r="AM41" i="5"/>
  <c r="AM24" i="5"/>
  <c r="AM19" i="5"/>
  <c r="AN1" i="5"/>
  <c r="AE49" i="4"/>
  <c r="AJ41" i="3"/>
  <c r="AJ38" i="3" s="1"/>
  <c r="AJ34" i="3"/>
  <c r="AJ20" i="3"/>
  <c r="AJ36" i="3" s="1"/>
  <c r="AJ22" i="3"/>
  <c r="AJ11" i="3"/>
  <c r="AJ13" i="3" s="1"/>
  <c r="AJ9" i="3"/>
  <c r="AJ19" i="3" s="1"/>
  <c r="AC50" i="4"/>
  <c r="AD47" i="4"/>
  <c r="AH27" i="3"/>
  <c r="AH18" i="3"/>
  <c r="AH26" i="3" s="1"/>
  <c r="AL27" i="5"/>
  <c r="AL18" i="5"/>
  <c r="AL2" i="3"/>
  <c r="AK7" i="3"/>
  <c r="AI33" i="3"/>
  <c r="AI32" i="3"/>
  <c r="AI35" i="3"/>
  <c r="AL26" i="5"/>
  <c r="AL29" i="5" s="1"/>
  <c r="AL46" i="5" s="1"/>
  <c r="AJ38" i="4"/>
  <c r="AJ49" i="5"/>
  <c r="AE50" i="3" l="1"/>
  <c r="AF47" i="3"/>
  <c r="AD50" i="3"/>
  <c r="AI31" i="3"/>
  <c r="AH29" i="3"/>
  <c r="AJ27" i="3"/>
  <c r="AJ18" i="3"/>
  <c r="AJ26" i="3" s="1"/>
  <c r="AJ29" i="3" s="1"/>
  <c r="AF49" i="4"/>
  <c r="AM26" i="5"/>
  <c r="AI11" i="4"/>
  <c r="AI13" i="4" s="1"/>
  <c r="AI19" i="4"/>
  <c r="AD50" i="4"/>
  <c r="AE47" i="4"/>
  <c r="AM38" i="5"/>
  <c r="AM13" i="5"/>
  <c r="F13" i="5" s="1"/>
  <c r="F29" i="2" s="1"/>
  <c r="F11" i="5"/>
  <c r="AK7" i="4"/>
  <c r="AL2" i="4"/>
  <c r="AI29" i="3"/>
  <c r="AK41" i="3"/>
  <c r="AK38" i="3" s="1"/>
  <c r="AK34" i="3"/>
  <c r="AK20" i="3"/>
  <c r="AK36" i="3" s="1"/>
  <c r="AK22" i="3"/>
  <c r="AK11" i="3"/>
  <c r="AK13" i="3" s="1"/>
  <c r="AK9" i="3"/>
  <c r="AJ33" i="3"/>
  <c r="AJ32" i="3"/>
  <c r="AJ35" i="3"/>
  <c r="AJ36" i="4"/>
  <c r="AJ35" i="4"/>
  <c r="AJ34" i="4"/>
  <c r="AJ33" i="4"/>
  <c r="AJ32" i="4"/>
  <c r="AJ31" i="4" s="1"/>
  <c r="AJ20" i="4"/>
  <c r="AJ22" i="4"/>
  <c r="AJ9" i="4"/>
  <c r="AD50" i="5"/>
  <c r="AE47" i="5"/>
  <c r="AP2" i="5"/>
  <c r="AO7" i="5"/>
  <c r="AN36" i="5"/>
  <c r="AN35" i="5"/>
  <c r="AN34" i="5"/>
  <c r="AN33" i="5"/>
  <c r="AN32" i="5"/>
  <c r="AN31" i="5" s="1"/>
  <c r="AN22" i="5"/>
  <c r="AN20" i="5"/>
  <c r="AN9" i="5"/>
  <c r="AN11" i="5" s="1"/>
  <c r="AN13" i="5" s="1"/>
  <c r="AM27" i="5"/>
  <c r="F27" i="5" s="1"/>
  <c r="F19" i="5"/>
  <c r="F18" i="5" s="1"/>
  <c r="AM18" i="5"/>
  <c r="AM2" i="3"/>
  <c r="AL7" i="3"/>
  <c r="AG47" i="3"/>
  <c r="AH27" i="4"/>
  <c r="AH18" i="4"/>
  <c r="AH26" i="4" s="1"/>
  <c r="AK19" i="3"/>
  <c r="AK24" i="3"/>
  <c r="AL1" i="3"/>
  <c r="AN43" i="5"/>
  <c r="AN41" i="5"/>
  <c r="AN24" i="5"/>
  <c r="AO1" i="5"/>
  <c r="AN19" i="5"/>
  <c r="AL41" i="4"/>
  <c r="AL43" i="4"/>
  <c r="AL24" i="4"/>
  <c r="AM1" i="4"/>
  <c r="F32" i="5"/>
  <c r="F31" i="5" s="1"/>
  <c r="AM31" i="5"/>
  <c r="AK49" i="5"/>
  <c r="AF50" i="3" l="1"/>
  <c r="AI46" i="3"/>
  <c r="AH46" i="3"/>
  <c r="AG50" i="3" s="1"/>
  <c r="AJ31" i="3"/>
  <c r="AJ46" i="3"/>
  <c r="AH29" i="4"/>
  <c r="AH46" i="4" s="1"/>
  <c r="AQ2" i="5"/>
  <c r="AP7" i="5"/>
  <c r="AN27" i="5"/>
  <c r="AN18" i="5"/>
  <c r="AN26" i="5" s="1"/>
  <c r="AN29" i="5" s="1"/>
  <c r="AN46" i="5" s="1"/>
  <c r="AM7" i="3"/>
  <c r="AN2" i="3"/>
  <c r="AK18" i="3"/>
  <c r="AK27" i="3"/>
  <c r="AJ11" i="4"/>
  <c r="AJ13" i="4" s="1"/>
  <c r="AJ19" i="4"/>
  <c r="AM29" i="5"/>
  <c r="F26" i="5"/>
  <c r="AO43" i="5"/>
  <c r="AO41" i="5"/>
  <c r="AO38" i="5" s="1"/>
  <c r="AO24" i="5"/>
  <c r="AP1" i="5"/>
  <c r="AM41" i="4"/>
  <c r="AM43" i="4"/>
  <c r="AM24" i="4"/>
  <c r="AN1" i="4"/>
  <c r="AE50" i="4"/>
  <c r="AF47" i="4"/>
  <c r="AG49" i="4"/>
  <c r="AN38" i="5"/>
  <c r="AL41" i="3"/>
  <c r="AL38" i="3" s="1"/>
  <c r="AL34" i="3"/>
  <c r="AL22" i="3"/>
  <c r="AL11" i="3"/>
  <c r="AL13" i="3" s="1"/>
  <c r="AL9" i="3"/>
  <c r="AL20" i="3"/>
  <c r="AO36" i="5"/>
  <c r="AO34" i="5"/>
  <c r="AO33" i="5"/>
  <c r="AO35" i="5"/>
  <c r="AO32" i="5"/>
  <c r="AO31" i="5" s="1"/>
  <c r="AO20" i="5"/>
  <c r="AO22" i="5"/>
  <c r="AO9" i="5"/>
  <c r="AO11" i="5" s="1"/>
  <c r="AO13" i="5" s="1"/>
  <c r="AK33" i="3"/>
  <c r="AK32" i="3"/>
  <c r="AK35" i="3"/>
  <c r="AL7" i="4"/>
  <c r="AM2" i="4"/>
  <c r="AK36" i="4"/>
  <c r="AK32" i="4"/>
  <c r="AK31" i="4" s="1"/>
  <c r="AK35" i="4"/>
  <c r="AK34" i="4"/>
  <c r="AK33" i="4"/>
  <c r="AK22" i="4"/>
  <c r="AK20" i="4"/>
  <c r="AK9" i="4"/>
  <c r="AI27" i="4"/>
  <c r="AI18" i="4"/>
  <c r="AI26" i="4" s="1"/>
  <c r="AI29" i="4" s="1"/>
  <c r="AI46" i="4" s="1"/>
  <c r="AH49" i="4" s="1"/>
  <c r="AL19" i="3"/>
  <c r="AL36" i="3" s="1"/>
  <c r="AL24" i="3"/>
  <c r="AM1" i="3"/>
  <c r="F28" i="2"/>
  <c r="AE50" i="5"/>
  <c r="AF47" i="5"/>
  <c r="AL38" i="4"/>
  <c r="AK26" i="3"/>
  <c r="AK29" i="3" s="1"/>
  <c r="AH47" i="3" l="1"/>
  <c r="AH50" i="3" s="1"/>
  <c r="AK31" i="3"/>
  <c r="AG49" i="3"/>
  <c r="AH49" i="3" s="1"/>
  <c r="AI49" i="3" s="1"/>
  <c r="AK46" i="3"/>
  <c r="AI47" i="3"/>
  <c r="AI50" i="3" s="1"/>
  <c r="AM24" i="3"/>
  <c r="AN1" i="3"/>
  <c r="AM46" i="5"/>
  <c r="F29" i="5"/>
  <c r="F30" i="2" s="1"/>
  <c r="AF50" i="5"/>
  <c r="AG47" i="5"/>
  <c r="AJ27" i="4"/>
  <c r="AJ18" i="4"/>
  <c r="AJ26" i="4" s="1"/>
  <c r="AM7" i="4"/>
  <c r="AN2" i="4"/>
  <c r="AN43" i="4"/>
  <c r="AN41" i="4"/>
  <c r="AN38" i="4" s="1"/>
  <c r="AN24" i="4"/>
  <c r="AO1" i="4"/>
  <c r="AO19" i="5"/>
  <c r="AP36" i="5"/>
  <c r="AP35" i="5"/>
  <c r="AP34" i="5"/>
  <c r="AP33" i="5"/>
  <c r="AP32" i="5"/>
  <c r="AP31" i="5" s="1"/>
  <c r="AP22" i="5"/>
  <c r="AP20" i="5"/>
  <c r="AP9" i="5"/>
  <c r="AP11" i="5" s="1"/>
  <c r="AP13" i="5" s="1"/>
  <c r="AL27" i="3"/>
  <c r="AL18" i="3"/>
  <c r="AL26" i="3" s="1"/>
  <c r="AP43" i="5"/>
  <c r="AP41" i="5"/>
  <c r="AP38" i="5" s="1"/>
  <c r="AP24" i="5"/>
  <c r="AP19" i="5"/>
  <c r="AQ1" i="5"/>
  <c r="AL33" i="3"/>
  <c r="AL32" i="3"/>
  <c r="AL35" i="3"/>
  <c r="AQ7" i="5"/>
  <c r="AR2" i="5"/>
  <c r="AK11" i="4"/>
  <c r="AK13" i="4" s="1"/>
  <c r="AK19" i="4"/>
  <c r="AF50" i="4"/>
  <c r="AG47" i="4"/>
  <c r="AN7" i="3"/>
  <c r="AO2" i="3"/>
  <c r="AL36" i="4"/>
  <c r="AL35" i="4"/>
  <c r="AL34" i="4"/>
  <c r="AL33" i="4"/>
  <c r="AL32" i="4"/>
  <c r="AL31" i="4" s="1"/>
  <c r="AL22" i="4"/>
  <c r="AL9" i="4"/>
  <c r="AL20" i="4"/>
  <c r="E20" i="4" s="1"/>
  <c r="E7" i="4"/>
  <c r="E15" i="2" s="1"/>
  <c r="AM38" i="4"/>
  <c r="AM41" i="3"/>
  <c r="AM34" i="3"/>
  <c r="AM22" i="3"/>
  <c r="AM20" i="3"/>
  <c r="AM36" i="3" s="1"/>
  <c r="AM11" i="3"/>
  <c r="AM9" i="3"/>
  <c r="AM19" i="3" s="1"/>
  <c r="AJ47" i="3" l="1"/>
  <c r="AK47" i="3" s="1"/>
  <c r="AJ49" i="3"/>
  <c r="AL29" i="3"/>
  <c r="AL46" i="3" s="1"/>
  <c r="AL31" i="3"/>
  <c r="AJ50" i="3"/>
  <c r="AQ43" i="5"/>
  <c r="AQ41" i="5"/>
  <c r="AQ24" i="5"/>
  <c r="AR1" i="5"/>
  <c r="AG50" i="4"/>
  <c r="AH47" i="4"/>
  <c r="AP27" i="5"/>
  <c r="AP18" i="5"/>
  <c r="AO27" i="5"/>
  <c r="AO18" i="5"/>
  <c r="AO26" i="5" s="1"/>
  <c r="AO29" i="5" s="1"/>
  <c r="AO46" i="5" s="1"/>
  <c r="AN24" i="3"/>
  <c r="AO1" i="3"/>
  <c r="AL11" i="4"/>
  <c r="AL13" i="4" s="1"/>
  <c r="E9" i="4"/>
  <c r="E16" i="2" s="1"/>
  <c r="AL19" i="4"/>
  <c r="AM36" i="4"/>
  <c r="F36" i="4" s="1"/>
  <c r="AM35" i="4"/>
  <c r="F35" i="4" s="1"/>
  <c r="AM34" i="4"/>
  <c r="F34" i="4" s="1"/>
  <c r="AM33" i="4"/>
  <c r="F33" i="4" s="1"/>
  <c r="AM32" i="4"/>
  <c r="AM22" i="4"/>
  <c r="F22" i="4" s="1"/>
  <c r="AM9" i="4"/>
  <c r="AM20" i="4"/>
  <c r="AM49" i="5"/>
  <c r="F46" i="5"/>
  <c r="F31" i="2" s="1"/>
  <c r="F32" i="2" s="1"/>
  <c r="Q13" i="1" s="1"/>
  <c r="AL49" i="5"/>
  <c r="AM38" i="3"/>
  <c r="AP26" i="5"/>
  <c r="AP29" i="5" s="1"/>
  <c r="AP46" i="5" s="1"/>
  <c r="AJ29" i="4"/>
  <c r="AJ46" i="4" s="1"/>
  <c r="AK27" i="4"/>
  <c r="AK18" i="4"/>
  <c r="AK26" i="4" s="1"/>
  <c r="AO43" i="4"/>
  <c r="AO41" i="4"/>
  <c r="AO24" i="4"/>
  <c r="AP1" i="4"/>
  <c r="AM18" i="3"/>
  <c r="AM26" i="3" s="1"/>
  <c r="AM27" i="3"/>
  <c r="AR7" i="5"/>
  <c r="AS2" i="5"/>
  <c r="AG50" i="5"/>
  <c r="AH47" i="5"/>
  <c r="AN41" i="3"/>
  <c r="AN38" i="3" s="1"/>
  <c r="AN36" i="3"/>
  <c r="AN34" i="3"/>
  <c r="AN22" i="3"/>
  <c r="AN9" i="3"/>
  <c r="AN19" i="3" s="1"/>
  <c r="AN20" i="3"/>
  <c r="AN11" i="3"/>
  <c r="AN13" i="3" s="1"/>
  <c r="AM32" i="3"/>
  <c r="AM35" i="3"/>
  <c r="AM33" i="3"/>
  <c r="AM13" i="3"/>
  <c r="AO7" i="3"/>
  <c r="AP2" i="3"/>
  <c r="AQ36" i="5"/>
  <c r="AQ35" i="5"/>
  <c r="AQ33" i="5"/>
  <c r="AQ34" i="5"/>
  <c r="AQ32" i="5"/>
  <c r="AQ31" i="5" s="1"/>
  <c r="AQ20" i="5"/>
  <c r="AQ22" i="5"/>
  <c r="AQ9" i="5"/>
  <c r="AQ11" i="5" s="1"/>
  <c r="AQ13" i="5" s="1"/>
  <c r="AN7" i="4"/>
  <c r="AO2" i="4"/>
  <c r="AK50" i="3" l="1"/>
  <c r="E46" i="3"/>
  <c r="E9" i="2" s="1"/>
  <c r="AK29" i="4"/>
  <c r="AK46" i="4" s="1"/>
  <c r="AN18" i="3"/>
  <c r="AN26" i="3" s="1"/>
  <c r="AN29" i="3" s="1"/>
  <c r="AN27" i="3"/>
  <c r="AM29" i="3"/>
  <c r="AP2" i="4"/>
  <c r="AO7" i="4"/>
  <c r="AL47" i="3"/>
  <c r="AK49" i="3"/>
  <c r="AM31" i="4"/>
  <c r="F32" i="4"/>
  <c r="F31" i="4" s="1"/>
  <c r="AH50" i="4"/>
  <c r="AI47" i="4"/>
  <c r="AI50" i="4" s="1"/>
  <c r="AN35" i="4"/>
  <c r="AN36" i="4"/>
  <c r="AN33" i="4"/>
  <c r="AN34" i="4"/>
  <c r="AN32" i="4"/>
  <c r="AN31" i="4" s="1"/>
  <c r="AN20" i="4"/>
  <c r="AN22" i="4"/>
  <c r="AN9" i="4"/>
  <c r="AM31" i="3"/>
  <c r="AH50" i="5"/>
  <c r="AI47" i="5"/>
  <c r="AO24" i="3"/>
  <c r="AP1" i="3"/>
  <c r="AR43" i="5"/>
  <c r="AR41" i="5"/>
  <c r="AR38" i="5" s="1"/>
  <c r="AR24" i="5"/>
  <c r="AS1" i="5"/>
  <c r="AQ19" i="5"/>
  <c r="AP7" i="3"/>
  <c r="AQ2" i="3"/>
  <c r="AS7" i="5"/>
  <c r="AT2" i="5"/>
  <c r="AP43" i="4"/>
  <c r="AP41" i="4"/>
  <c r="AP24" i="4"/>
  <c r="AQ1" i="4"/>
  <c r="AO49" i="5"/>
  <c r="AN49" i="5"/>
  <c r="AO41" i="3"/>
  <c r="AO34" i="3"/>
  <c r="AO36" i="3"/>
  <c r="AO22" i="3"/>
  <c r="AO20" i="3"/>
  <c r="AO9" i="3"/>
  <c r="AO19" i="3" s="1"/>
  <c r="AO11" i="3"/>
  <c r="AN32" i="3"/>
  <c r="AN35" i="3"/>
  <c r="AN33" i="3"/>
  <c r="AR36" i="5"/>
  <c r="AR35" i="5"/>
  <c r="AR34" i="5"/>
  <c r="AR33" i="5"/>
  <c r="AR32" i="5"/>
  <c r="AR31" i="5" s="1"/>
  <c r="AR20" i="5"/>
  <c r="AR22" i="5"/>
  <c r="AR9" i="5"/>
  <c r="AR11" i="5" s="1"/>
  <c r="AR13" i="5" s="1"/>
  <c r="AJ49" i="4"/>
  <c r="AI49" i="4"/>
  <c r="AQ38" i="5"/>
  <c r="AO38" i="4"/>
  <c r="AL27" i="4"/>
  <c r="AL18" i="4"/>
  <c r="AL26" i="4" s="1"/>
  <c r="AM11" i="4"/>
  <c r="AM19" i="4"/>
  <c r="AO38" i="3" l="1"/>
  <c r="AN31" i="3"/>
  <c r="AN46" i="3" s="1"/>
  <c r="AO13" i="3"/>
  <c r="AJ47" i="4"/>
  <c r="AJ50" i="4" s="1"/>
  <c r="AO18" i="3"/>
  <c r="AO26" i="3" s="1"/>
  <c r="AO27" i="3"/>
  <c r="AP38" i="4"/>
  <c r="AQ27" i="5"/>
  <c r="AQ18" i="5"/>
  <c r="AQ26" i="5" s="1"/>
  <c r="AQ29" i="5" s="1"/>
  <c r="AQ46" i="5" s="1"/>
  <c r="AO34" i="4"/>
  <c r="AO35" i="4"/>
  <c r="AO32" i="4"/>
  <c r="AO31" i="4" s="1"/>
  <c r="AO33" i="4"/>
  <c r="AO20" i="4"/>
  <c r="AO9" i="4"/>
  <c r="AO36" i="4"/>
  <c r="AO22" i="4"/>
  <c r="E47" i="3"/>
  <c r="AT7" i="5"/>
  <c r="AU2" i="5"/>
  <c r="AS43" i="5"/>
  <c r="AS41" i="5"/>
  <c r="AS24" i="5"/>
  <c r="AS19" i="5"/>
  <c r="AT1" i="5"/>
  <c r="AS36" i="5"/>
  <c r="AS35" i="5"/>
  <c r="AS34" i="5"/>
  <c r="AS33" i="5"/>
  <c r="AS32" i="5"/>
  <c r="AS31" i="5" s="1"/>
  <c r="AS20" i="5"/>
  <c r="AS22" i="5"/>
  <c r="AS9" i="5"/>
  <c r="AS11" i="5" s="1"/>
  <c r="AS13" i="5" s="1"/>
  <c r="AR19" i="5"/>
  <c r="AL29" i="4"/>
  <c r="AL46" i="4" s="1"/>
  <c r="AQ7" i="3"/>
  <c r="AR2" i="3"/>
  <c r="AM46" i="3"/>
  <c r="AM27" i="4"/>
  <c r="F27" i="4" s="1"/>
  <c r="AM18" i="4"/>
  <c r="AM26" i="4" s="1"/>
  <c r="F19" i="4"/>
  <c r="F18" i="4" s="1"/>
  <c r="AP24" i="3"/>
  <c r="AQ1" i="3"/>
  <c r="F11" i="4"/>
  <c r="AM13" i="4"/>
  <c r="F13" i="4" s="1"/>
  <c r="F18" i="2" s="1"/>
  <c r="AI50" i="5"/>
  <c r="AJ47" i="5"/>
  <c r="AQ2" i="4"/>
  <c r="AP7" i="4"/>
  <c r="AQ43" i="4"/>
  <c r="AQ41" i="4"/>
  <c r="AQ24" i="4"/>
  <c r="AR1" i="4"/>
  <c r="AP34" i="3"/>
  <c r="AP41" i="3"/>
  <c r="AP38" i="3" s="1"/>
  <c r="AP22" i="3"/>
  <c r="AP20" i="3"/>
  <c r="AP36" i="3" s="1"/>
  <c r="AP11" i="3"/>
  <c r="AP13" i="3" s="1"/>
  <c r="AP9" i="3"/>
  <c r="AP19" i="3" s="1"/>
  <c r="AO35" i="3"/>
  <c r="AO33" i="3"/>
  <c r="AO32" i="3"/>
  <c r="AN11" i="4"/>
  <c r="AN13" i="4" s="1"/>
  <c r="AN19" i="4"/>
  <c r="AO31" i="3" l="1"/>
  <c r="AO29" i="3"/>
  <c r="AK47" i="4"/>
  <c r="AK50" i="4" s="1"/>
  <c r="AP27" i="3"/>
  <c r="AP18" i="3"/>
  <c r="AP26" i="3" s="1"/>
  <c r="AP29" i="3" s="1"/>
  <c r="AM47" i="3"/>
  <c r="AL49" i="3"/>
  <c r="AM49" i="3" s="1"/>
  <c r="AS27" i="5"/>
  <c r="AS18" i="5"/>
  <c r="AR1" i="3"/>
  <c r="AQ24" i="3"/>
  <c r="AP34" i="4"/>
  <c r="AP36" i="4"/>
  <c r="AP35" i="4"/>
  <c r="AP32" i="4"/>
  <c r="AP31" i="4" s="1"/>
  <c r="AP33" i="4"/>
  <c r="AP20" i="4"/>
  <c r="AP22" i="4"/>
  <c r="AP9" i="4"/>
  <c r="AS38" i="5"/>
  <c r="AR41" i="4"/>
  <c r="AR38" i="4" s="1"/>
  <c r="AR43" i="4"/>
  <c r="AR24" i="4"/>
  <c r="AS1" i="4"/>
  <c r="AQ41" i="3"/>
  <c r="AQ34" i="3"/>
  <c r="AQ22" i="3"/>
  <c r="AQ20" i="3"/>
  <c r="AQ11" i="3"/>
  <c r="AQ13" i="3" s="1"/>
  <c r="AQ9" i="3"/>
  <c r="AU7" i="5"/>
  <c r="AV2" i="5"/>
  <c r="AS26" i="5"/>
  <c r="AS29" i="5" s="1"/>
  <c r="AQ7" i="4"/>
  <c r="AR2" i="4"/>
  <c r="AS2" i="3"/>
  <c r="AR7" i="3"/>
  <c r="AO11" i="4"/>
  <c r="AO13" i="4" s="1"/>
  <c r="AO19" i="4"/>
  <c r="AP35" i="3"/>
  <c r="AP33" i="3"/>
  <c r="AP32" i="3"/>
  <c r="AM29" i="4"/>
  <c r="F26" i="4"/>
  <c r="AL47" i="4"/>
  <c r="AK49" i="4"/>
  <c r="AT35" i="5"/>
  <c r="AT34" i="5"/>
  <c r="AT36" i="5"/>
  <c r="AT32" i="5"/>
  <c r="AT31" i="5" s="1"/>
  <c r="AT33" i="5"/>
  <c r="AT22" i="5"/>
  <c r="AT9" i="5"/>
  <c r="AT11" i="5" s="1"/>
  <c r="AT13" i="5" s="1"/>
  <c r="AT20" i="5"/>
  <c r="AJ50" i="5"/>
  <c r="AK47" i="5"/>
  <c r="AR27" i="5"/>
  <c r="AR18" i="5"/>
  <c r="AR26" i="5" s="1"/>
  <c r="AR29" i="5" s="1"/>
  <c r="AR46" i="5" s="1"/>
  <c r="AQ49" i="5"/>
  <c r="AP49" i="5"/>
  <c r="AN27" i="4"/>
  <c r="AN18" i="4"/>
  <c r="AN26" i="4" s="1"/>
  <c r="AQ38" i="4"/>
  <c r="F17" i="2"/>
  <c r="AT43" i="5"/>
  <c r="AT41" i="5"/>
  <c r="AT24" i="5"/>
  <c r="AT19" i="5"/>
  <c r="AU1" i="5"/>
  <c r="AL50" i="3"/>
  <c r="AM50" i="3" l="1"/>
  <c r="AP31" i="3"/>
  <c r="AP46" i="3" s="1"/>
  <c r="AQ38" i="3"/>
  <c r="AO46" i="3"/>
  <c r="AN47" i="3"/>
  <c r="AO27" i="4"/>
  <c r="AO18" i="4"/>
  <c r="AO26" i="4" s="1"/>
  <c r="AO29" i="4" s="1"/>
  <c r="AO46" i="4" s="1"/>
  <c r="AQ33" i="4"/>
  <c r="AQ36" i="4"/>
  <c r="AQ35" i="4"/>
  <c r="AQ34" i="4"/>
  <c r="AQ32" i="4"/>
  <c r="AQ31" i="4" s="1"/>
  <c r="AQ20" i="4"/>
  <c r="AQ22" i="4"/>
  <c r="AQ9" i="4"/>
  <c r="AS46" i="5"/>
  <c r="E47" i="4"/>
  <c r="AV7" i="5"/>
  <c r="AW2" i="5"/>
  <c r="AP11" i="4"/>
  <c r="AP13" i="4" s="1"/>
  <c r="AP19" i="4"/>
  <c r="AQ33" i="3"/>
  <c r="AQ32" i="3"/>
  <c r="AQ35" i="3"/>
  <c r="AQ19" i="3"/>
  <c r="AQ36" i="3" s="1"/>
  <c r="AM46" i="4"/>
  <c r="AL50" i="4" s="1"/>
  <c r="F29" i="4"/>
  <c r="F19" i="2" s="1"/>
  <c r="AR41" i="3"/>
  <c r="AR38" i="3" s="1"/>
  <c r="AR34" i="3"/>
  <c r="AR20" i="3"/>
  <c r="AR36" i="3" s="1"/>
  <c r="AR22" i="3"/>
  <c r="AR11" i="3"/>
  <c r="AR13" i="3" s="1"/>
  <c r="AR9" i="3"/>
  <c r="AR19" i="3" s="1"/>
  <c r="AU43" i="5"/>
  <c r="AU41" i="5"/>
  <c r="AU24" i="5"/>
  <c r="AU19" i="5"/>
  <c r="AV1" i="5"/>
  <c r="AR49" i="5"/>
  <c r="AT27" i="5"/>
  <c r="AT18" i="5"/>
  <c r="AT26" i="5" s="1"/>
  <c r="AT29" i="5" s="1"/>
  <c r="AT46" i="5" s="1"/>
  <c r="AS7" i="3"/>
  <c r="AT2" i="3"/>
  <c r="AU35" i="5"/>
  <c r="AU34" i="5"/>
  <c r="AU32" i="5"/>
  <c r="AU31" i="5" s="1"/>
  <c r="AU36" i="5"/>
  <c r="AU33" i="5"/>
  <c r="AU22" i="5"/>
  <c r="AU20" i="5"/>
  <c r="AU9" i="5"/>
  <c r="AU11" i="5" s="1"/>
  <c r="AU13" i="5" s="1"/>
  <c r="AS41" i="4"/>
  <c r="AS24" i="4"/>
  <c r="AS43" i="4"/>
  <c r="AT1" i="4"/>
  <c r="AR24" i="3"/>
  <c r="AS1" i="3"/>
  <c r="AT38" i="5"/>
  <c r="AN29" i="4"/>
  <c r="AN46" i="4" s="1"/>
  <c r="AK50" i="5"/>
  <c r="AL47" i="5"/>
  <c r="AS2" i="4"/>
  <c r="AR7" i="4"/>
  <c r="AN49" i="3" l="1"/>
  <c r="AO49" i="3" s="1"/>
  <c r="AQ31" i="3"/>
  <c r="AN50" i="3"/>
  <c r="AO47" i="3"/>
  <c r="AS7" i="4"/>
  <c r="AT2" i="4"/>
  <c r="AT41" i="4"/>
  <c r="AT38" i="4" s="1"/>
  <c r="AT43" i="4"/>
  <c r="AT24" i="4"/>
  <c r="AU1" i="4"/>
  <c r="AL50" i="5"/>
  <c r="E47" i="5"/>
  <c r="AM47" i="5"/>
  <c r="AU38" i="5"/>
  <c r="AS49" i="5"/>
  <c r="AR27" i="3"/>
  <c r="AR18" i="3"/>
  <c r="AR26" i="3" s="1"/>
  <c r="AP27" i="4"/>
  <c r="AP18" i="4"/>
  <c r="AP26" i="4" s="1"/>
  <c r="AP29" i="4" s="1"/>
  <c r="AP46" i="4" s="1"/>
  <c r="AR33" i="3"/>
  <c r="AR32" i="3"/>
  <c r="AR35" i="3"/>
  <c r="AM47" i="4"/>
  <c r="AM50" i="4" s="1"/>
  <c r="F46" i="4"/>
  <c r="F20" i="2" s="1"/>
  <c r="F21" i="2" s="1"/>
  <c r="Q11" i="1" s="1"/>
  <c r="AM49" i="4"/>
  <c r="AL49" i="4"/>
  <c r="AR36" i="4"/>
  <c r="AR35" i="4"/>
  <c r="AR34" i="4"/>
  <c r="AR33" i="4"/>
  <c r="AR20" i="4"/>
  <c r="AR22" i="4"/>
  <c r="AR9" i="4"/>
  <c r="AR32" i="4"/>
  <c r="AR31" i="4" s="1"/>
  <c r="AU27" i="5"/>
  <c r="AU18" i="5"/>
  <c r="AU26" i="5" s="1"/>
  <c r="AU29" i="5" s="1"/>
  <c r="AU46" i="5" s="1"/>
  <c r="AQ11" i="4"/>
  <c r="AQ13" i="4" s="1"/>
  <c r="AQ19" i="4"/>
  <c r="AN49" i="4"/>
  <c r="AN47" i="4"/>
  <c r="AN50" i="4" s="1"/>
  <c r="AT7" i="3"/>
  <c r="AU2" i="3"/>
  <c r="AQ27" i="3"/>
  <c r="AQ18" i="3"/>
  <c r="AQ26" i="3" s="1"/>
  <c r="AX2" i="5"/>
  <c r="AW7" i="5"/>
  <c r="AS38" i="4"/>
  <c r="AS24" i="3"/>
  <c r="AT1" i="3"/>
  <c r="AS41" i="3"/>
  <c r="AS34" i="3"/>
  <c r="AS20" i="3"/>
  <c r="AS11" i="3"/>
  <c r="AS13" i="3" s="1"/>
  <c r="AS9" i="3"/>
  <c r="AS19" i="3" s="1"/>
  <c r="AS36" i="3" s="1"/>
  <c r="AS22" i="3"/>
  <c r="AV43" i="5"/>
  <c r="AV41" i="5"/>
  <c r="AV24" i="5"/>
  <c r="AW1" i="5"/>
  <c r="AV36" i="5"/>
  <c r="AV35" i="5"/>
  <c r="AV34" i="5"/>
  <c r="AV33" i="5"/>
  <c r="AV32" i="5"/>
  <c r="AV31" i="5" s="1"/>
  <c r="AV22" i="5"/>
  <c r="AV20" i="5"/>
  <c r="AV9" i="5"/>
  <c r="AV11" i="5" s="1"/>
  <c r="AV13" i="5" s="1"/>
  <c r="AR29" i="3" l="1"/>
  <c r="AS38" i="3"/>
  <c r="AR31" i="3"/>
  <c r="AP47" i="3"/>
  <c r="AO50" i="3"/>
  <c r="AT49" i="5"/>
  <c r="AW36" i="5"/>
  <c r="AW34" i="5"/>
  <c r="AW33" i="5"/>
  <c r="AW35" i="5"/>
  <c r="AW32" i="5"/>
  <c r="AW31" i="5" s="1"/>
  <c r="AW20" i="5"/>
  <c r="AW22" i="5"/>
  <c r="AW9" i="5"/>
  <c r="AW11" i="5" s="1"/>
  <c r="AW13" i="5" s="1"/>
  <c r="AS33" i="3"/>
  <c r="AS32" i="3"/>
  <c r="AS35" i="3"/>
  <c r="AY2" i="5"/>
  <c r="AX7" i="5"/>
  <c r="AQ27" i="4"/>
  <c r="AQ18" i="4"/>
  <c r="AQ26" i="4" s="1"/>
  <c r="AQ29" i="4" s="1"/>
  <c r="AQ46" i="4" s="1"/>
  <c r="AP49" i="4" s="1"/>
  <c r="AT24" i="3"/>
  <c r="AU1" i="3"/>
  <c r="AS27" i="3"/>
  <c r="AS18" i="3"/>
  <c r="AS26" i="3" s="1"/>
  <c r="AQ29" i="3"/>
  <c r="AT41" i="3"/>
  <c r="AT38" i="3" s="1"/>
  <c r="AT34" i="3"/>
  <c r="AT22" i="3"/>
  <c r="AT11" i="3"/>
  <c r="AT20" i="3"/>
  <c r="AT9" i="3"/>
  <c r="AT19" i="3" s="1"/>
  <c r="AT36" i="3" s="1"/>
  <c r="AM50" i="5"/>
  <c r="AN47" i="5"/>
  <c r="AW43" i="5"/>
  <c r="AW41" i="5"/>
  <c r="AW24" i="5"/>
  <c r="AW19" i="5"/>
  <c r="AX1" i="5"/>
  <c r="AU7" i="3"/>
  <c r="AV2" i="3"/>
  <c r="AT7" i="4"/>
  <c r="AU2" i="4"/>
  <c r="AO47" i="4"/>
  <c r="AO50" i="4" s="1"/>
  <c r="AS36" i="4"/>
  <c r="AS32" i="4"/>
  <c r="AS31" i="4" s="1"/>
  <c r="AS35" i="4"/>
  <c r="AS33" i="4"/>
  <c r="AS22" i="4"/>
  <c r="AS34" i="4"/>
  <c r="AS20" i="4"/>
  <c r="AS9" i="4"/>
  <c r="AV38" i="5"/>
  <c r="AO49" i="4"/>
  <c r="AR11" i="4"/>
  <c r="AR13" i="4" s="1"/>
  <c r="AR19" i="4"/>
  <c r="AV19" i="5"/>
  <c r="AU41" i="4"/>
  <c r="AU43" i="4"/>
  <c r="AV1" i="4"/>
  <c r="AU24" i="4"/>
  <c r="AQ46" i="3" l="1"/>
  <c r="AS31" i="3"/>
  <c r="AT13" i="3"/>
  <c r="AR46" i="3"/>
  <c r="AS29" i="3"/>
  <c r="AS46" i="3" s="1"/>
  <c r="AT27" i="3"/>
  <c r="AT18" i="3"/>
  <c r="AT26" i="3" s="1"/>
  <c r="AU7" i="4"/>
  <c r="AV2" i="4"/>
  <c r="AW26" i="5"/>
  <c r="AW29" i="5" s="1"/>
  <c r="AS11" i="4"/>
  <c r="AS13" i="4" s="1"/>
  <c r="AS19" i="4"/>
  <c r="AX43" i="5"/>
  <c r="AX41" i="5"/>
  <c r="AX38" i="5" s="1"/>
  <c r="AX24" i="5"/>
  <c r="AY1" i="5"/>
  <c r="AW27" i="5"/>
  <c r="AW18" i="5"/>
  <c r="AU24" i="3"/>
  <c r="AV1" i="3"/>
  <c r="AV27" i="5"/>
  <c r="AV18" i="5"/>
  <c r="AV26" i="5" s="1"/>
  <c r="AV29" i="5" s="1"/>
  <c r="AV46" i="5" s="1"/>
  <c r="AT36" i="4"/>
  <c r="AT35" i="4"/>
  <c r="AT33" i="4"/>
  <c r="AT32" i="4"/>
  <c r="AT31" i="4" s="1"/>
  <c r="AT22" i="4"/>
  <c r="AT9" i="4"/>
  <c r="AT34" i="4"/>
  <c r="AT20" i="4"/>
  <c r="AW38" i="5"/>
  <c r="AV43" i="4"/>
  <c r="AV41" i="4"/>
  <c r="AV24" i="4"/>
  <c r="AW1" i="4"/>
  <c r="AP47" i="4"/>
  <c r="AP50" i="4" s="1"/>
  <c r="AN50" i="5"/>
  <c r="AO47" i="5"/>
  <c r="AU38" i="4"/>
  <c r="AR27" i="4"/>
  <c r="AR18" i="4"/>
  <c r="AR26" i="4" s="1"/>
  <c r="AQ47" i="4"/>
  <c r="AV7" i="3"/>
  <c r="AW2" i="3"/>
  <c r="AX36" i="5"/>
  <c r="AX35" i="5"/>
  <c r="AX34" i="5"/>
  <c r="AX33" i="5"/>
  <c r="AX32" i="5"/>
  <c r="AX31" i="5" s="1"/>
  <c r="AX20" i="5"/>
  <c r="F20" i="5" s="1"/>
  <c r="AX22" i="5"/>
  <c r="AX9" i="5"/>
  <c r="AX19" i="5" s="1"/>
  <c r="F7" i="5"/>
  <c r="F26" i="2" s="1"/>
  <c r="AU41" i="3"/>
  <c r="AU34" i="3"/>
  <c r="AU22" i="3"/>
  <c r="AU20" i="3"/>
  <c r="AU11" i="3"/>
  <c r="AU13" i="3" s="1"/>
  <c r="AU9" i="3"/>
  <c r="AT33" i="3"/>
  <c r="AT32" i="3"/>
  <c r="AT35" i="3"/>
  <c r="AZ2" i="5"/>
  <c r="AY7" i="5"/>
  <c r="AP49" i="3" l="1"/>
  <c r="AQ49" i="3" s="1"/>
  <c r="AR49" i="3" s="1"/>
  <c r="AQ47" i="3"/>
  <c r="AP50" i="3"/>
  <c r="AT29" i="3"/>
  <c r="AT31" i="3"/>
  <c r="AU38" i="3"/>
  <c r="AR29" i="4"/>
  <c r="AR46" i="4" s="1"/>
  <c r="AQ49" i="4" s="1"/>
  <c r="AX27" i="5"/>
  <c r="AX18" i="5"/>
  <c r="AY43" i="5"/>
  <c r="AY41" i="5"/>
  <c r="AY24" i="5"/>
  <c r="AZ1" i="5"/>
  <c r="AW46" i="5"/>
  <c r="AQ50" i="4"/>
  <c r="AU49" i="5"/>
  <c r="AV7" i="4"/>
  <c r="AW2" i="4"/>
  <c r="AX26" i="5"/>
  <c r="AX29" i="5" s="1"/>
  <c r="AX46" i="5" s="1"/>
  <c r="AU36" i="4"/>
  <c r="AU35" i="4"/>
  <c r="AU34" i="4"/>
  <c r="AU33" i="4"/>
  <c r="AU32" i="4"/>
  <c r="AU31" i="4" s="1"/>
  <c r="AU22" i="4"/>
  <c r="AU9" i="4"/>
  <c r="AU20" i="4"/>
  <c r="AV41" i="3"/>
  <c r="AV38" i="3" s="1"/>
  <c r="AV36" i="3"/>
  <c r="AV34" i="3"/>
  <c r="AV22" i="3"/>
  <c r="AV9" i="3"/>
  <c r="AV19" i="3" s="1"/>
  <c r="AV20" i="3"/>
  <c r="AV11" i="3"/>
  <c r="AV13" i="3" s="1"/>
  <c r="AU32" i="3"/>
  <c r="AU35" i="3"/>
  <c r="AU33" i="3"/>
  <c r="AT11" i="4"/>
  <c r="AT13" i="4" s="1"/>
  <c r="AT19" i="4"/>
  <c r="AV24" i="3"/>
  <c r="AW1" i="3"/>
  <c r="AW43" i="4"/>
  <c r="AW24" i="4"/>
  <c r="AW41" i="4"/>
  <c r="AX1" i="4"/>
  <c r="AQ50" i="3"/>
  <c r="AR47" i="3"/>
  <c r="AU19" i="3"/>
  <c r="AU36" i="3" s="1"/>
  <c r="AS27" i="4"/>
  <c r="AS18" i="4"/>
  <c r="AS26" i="4" s="1"/>
  <c r="AS29" i="4" s="1"/>
  <c r="AS46" i="4" s="1"/>
  <c r="AO50" i="5"/>
  <c r="AP47" i="5"/>
  <c r="AX11" i="5"/>
  <c r="AX13" i="5" s="1"/>
  <c r="F9" i="5"/>
  <c r="F27" i="2" s="1"/>
  <c r="AV38" i="4"/>
  <c r="AR47" i="4"/>
  <c r="AY36" i="5"/>
  <c r="G36" i="5" s="1"/>
  <c r="AY35" i="5"/>
  <c r="G35" i="5" s="1"/>
  <c r="AY34" i="5"/>
  <c r="G34" i="5" s="1"/>
  <c r="AY33" i="5"/>
  <c r="G33" i="5" s="1"/>
  <c r="AY32" i="5"/>
  <c r="AY20" i="5"/>
  <c r="AY22" i="5"/>
  <c r="G22" i="5" s="1"/>
  <c r="AY9" i="5"/>
  <c r="AY11" i="5" s="1"/>
  <c r="AZ7" i="5"/>
  <c r="BA2" i="5"/>
  <c r="AX2" i="3"/>
  <c r="AW7" i="3"/>
  <c r="AT46" i="3"/>
  <c r="AU31" i="3" l="1"/>
  <c r="AV18" i="3"/>
  <c r="AV27" i="3"/>
  <c r="AS49" i="3"/>
  <c r="AR50" i="3"/>
  <c r="AS47" i="3"/>
  <c r="AS50" i="3" s="1"/>
  <c r="AZ43" i="5"/>
  <c r="AZ41" i="5"/>
  <c r="AZ24" i="5"/>
  <c r="BA1" i="5"/>
  <c r="G32" i="5"/>
  <c r="G31" i="5" s="1"/>
  <c r="AY31" i="5"/>
  <c r="AW41" i="3"/>
  <c r="AW34" i="3"/>
  <c r="AW22" i="3"/>
  <c r="AW20" i="3"/>
  <c r="AW9" i="3"/>
  <c r="AW11" i="3"/>
  <c r="AW13" i="3" s="1"/>
  <c r="AW24" i="3"/>
  <c r="AX1" i="3"/>
  <c r="AU11" i="4"/>
  <c r="AU13" i="4" s="1"/>
  <c r="AU19" i="4"/>
  <c r="AW7" i="4"/>
  <c r="AX2" i="4"/>
  <c r="AY19" i="5"/>
  <c r="AW49" i="5"/>
  <c r="AP50" i="5"/>
  <c r="AQ47" i="5"/>
  <c r="AV35" i="4"/>
  <c r="AV36" i="4"/>
  <c r="AV33" i="4"/>
  <c r="AV32" i="4"/>
  <c r="AV31" i="4" s="1"/>
  <c r="AV34" i="4"/>
  <c r="AV22" i="4"/>
  <c r="AV20" i="4"/>
  <c r="AV9" i="4"/>
  <c r="AV26" i="3"/>
  <c r="AV29" i="3" s="1"/>
  <c r="AV32" i="3"/>
  <c r="AV35" i="3"/>
  <c r="AV33" i="3"/>
  <c r="AY38" i="5"/>
  <c r="AZ36" i="5"/>
  <c r="AZ35" i="5"/>
  <c r="AZ34" i="5"/>
  <c r="AZ33" i="5"/>
  <c r="AZ32" i="5"/>
  <c r="AZ31" i="5" s="1"/>
  <c r="AZ20" i="5"/>
  <c r="AZ22" i="5"/>
  <c r="AZ9" i="5"/>
  <c r="AZ11" i="5" s="1"/>
  <c r="AZ13" i="5" s="1"/>
  <c r="AS47" i="4"/>
  <c r="AX43" i="4"/>
  <c r="AX41" i="4"/>
  <c r="AX38" i="4" s="1"/>
  <c r="AY1" i="4"/>
  <c r="AX24" i="4"/>
  <c r="AT18" i="4"/>
  <c r="AT26" i="4" s="1"/>
  <c r="AT27" i="4"/>
  <c r="G11" i="5"/>
  <c r="AY13" i="5"/>
  <c r="G13" i="5" s="1"/>
  <c r="G29" i="2" s="1"/>
  <c r="AR50" i="4"/>
  <c r="AV49" i="5"/>
  <c r="AX7" i="3"/>
  <c r="AY2" i="3"/>
  <c r="BA7" i="5"/>
  <c r="BB2" i="5"/>
  <c r="AR49" i="4"/>
  <c r="AU18" i="3"/>
  <c r="AU26" i="3" s="1"/>
  <c r="AU27" i="3"/>
  <c r="AW38" i="4"/>
  <c r="AV31" i="3" l="1"/>
  <c r="AV46" i="3" s="1"/>
  <c r="AW38" i="3"/>
  <c r="F41" i="3"/>
  <c r="AU29" i="3"/>
  <c r="AT29" i="4"/>
  <c r="AT46" i="4" s="1"/>
  <c r="AS49" i="4" s="1"/>
  <c r="BB7" i="5"/>
  <c r="BC2" i="5"/>
  <c r="AX7" i="4"/>
  <c r="AY2" i="4"/>
  <c r="AW35" i="3"/>
  <c r="AW33" i="3"/>
  <c r="AW32" i="3"/>
  <c r="AZ19" i="5"/>
  <c r="AW34" i="4"/>
  <c r="AW33" i="4"/>
  <c r="AW32" i="4"/>
  <c r="AW31" i="4" s="1"/>
  <c r="AW36" i="4"/>
  <c r="AW35" i="4"/>
  <c r="AW20" i="4"/>
  <c r="AW22" i="4"/>
  <c r="AW9" i="4"/>
  <c r="BA43" i="5"/>
  <c r="BA41" i="5"/>
  <c r="BA24" i="5"/>
  <c r="BB1" i="5"/>
  <c r="G28" i="2"/>
  <c r="AY7" i="3"/>
  <c r="AZ2" i="3"/>
  <c r="AU27" i="4"/>
  <c r="AU18" i="4"/>
  <c r="AU26" i="4" s="1"/>
  <c r="AU29" i="4" s="1"/>
  <c r="AU46" i="4" s="1"/>
  <c r="AT47" i="3"/>
  <c r="BA36" i="5"/>
  <c r="BA35" i="5"/>
  <c r="BA34" i="5"/>
  <c r="BA33" i="5"/>
  <c r="BA32" i="5"/>
  <c r="BA31" i="5" s="1"/>
  <c r="BA20" i="5"/>
  <c r="BA22" i="5"/>
  <c r="BA9" i="5"/>
  <c r="BA11" i="5" s="1"/>
  <c r="BA13" i="5" s="1"/>
  <c r="AY43" i="4"/>
  <c r="AY41" i="4"/>
  <c r="AY24" i="4"/>
  <c r="AZ1" i="4"/>
  <c r="AV11" i="4"/>
  <c r="AV13" i="4" s="1"/>
  <c r="AV19" i="4"/>
  <c r="AQ50" i="5"/>
  <c r="AR47" i="5"/>
  <c r="AZ38" i="5"/>
  <c r="AY27" i="5"/>
  <c r="G27" i="5" s="1"/>
  <c r="G19" i="5"/>
  <c r="G18" i="5" s="1"/>
  <c r="AY18" i="5"/>
  <c r="AY26" i="5" s="1"/>
  <c r="AX24" i="3"/>
  <c r="AY1" i="3"/>
  <c r="AX34" i="3"/>
  <c r="AX41" i="3"/>
  <c r="AX38" i="3" s="1"/>
  <c r="AX22" i="3"/>
  <c r="AX20" i="3"/>
  <c r="AX11" i="3"/>
  <c r="AX13" i="3" s="1"/>
  <c r="AX9" i="3"/>
  <c r="AW19" i="3"/>
  <c r="AW36" i="3" s="1"/>
  <c r="AW31" i="3" l="1"/>
  <c r="AU46" i="3"/>
  <c r="AT50" i="3" s="1"/>
  <c r="AT47" i="4"/>
  <c r="AT49" i="4"/>
  <c r="AS50" i="4"/>
  <c r="AW11" i="4"/>
  <c r="AW13" i="4" s="1"/>
  <c r="AW19" i="4"/>
  <c r="AT50" i="4"/>
  <c r="AV27" i="4"/>
  <c r="AV18" i="4"/>
  <c r="AV26" i="4" s="1"/>
  <c r="BC7" i="5"/>
  <c r="BD2" i="5"/>
  <c r="AZ27" i="5"/>
  <c r="AZ18" i="5"/>
  <c r="AZ26" i="5" s="1"/>
  <c r="AZ29" i="5" s="1"/>
  <c r="AZ46" i="5" s="1"/>
  <c r="BB43" i="5"/>
  <c r="BB41" i="5"/>
  <c r="BB24" i="5"/>
  <c r="BB19" i="5"/>
  <c r="BC1" i="5"/>
  <c r="AU47" i="4"/>
  <c r="BB35" i="5"/>
  <c r="BB34" i="5"/>
  <c r="BB36" i="5"/>
  <c r="BB32" i="5"/>
  <c r="BB31" i="5" s="1"/>
  <c r="BB33" i="5"/>
  <c r="BB22" i="5"/>
  <c r="BB9" i="5"/>
  <c r="BB11" i="5" s="1"/>
  <c r="BB13" i="5" s="1"/>
  <c r="BB20" i="5"/>
  <c r="BA19" i="5"/>
  <c r="AU47" i="3"/>
  <c r="AU50" i="3" s="1"/>
  <c r="AX35" i="3"/>
  <c r="AX33" i="3"/>
  <c r="AX32" i="3"/>
  <c r="AZ1" i="3"/>
  <c r="AY24" i="3"/>
  <c r="AR50" i="5"/>
  <c r="AS47" i="5"/>
  <c r="AX34" i="4"/>
  <c r="AX36" i="4"/>
  <c r="AX35" i="4"/>
  <c r="AX32" i="4"/>
  <c r="AX31" i="4" s="1"/>
  <c r="AX33" i="4"/>
  <c r="AX20" i="4"/>
  <c r="F20" i="4" s="1"/>
  <c r="AX9" i="4"/>
  <c r="AX22" i="4"/>
  <c r="F7" i="4"/>
  <c r="F15" i="2" s="1"/>
  <c r="AY29" i="5"/>
  <c r="G26" i="5"/>
  <c r="AZ41" i="4"/>
  <c r="AZ43" i="4"/>
  <c r="AZ24" i="4"/>
  <c r="BA1" i="4"/>
  <c r="AW18" i="3"/>
  <c r="AW26" i="3" s="1"/>
  <c r="AW27" i="3"/>
  <c r="BA2" i="3"/>
  <c r="AZ7" i="3"/>
  <c r="AX19" i="3"/>
  <c r="AX36" i="3" s="1"/>
  <c r="AY38" i="4"/>
  <c r="AY41" i="3"/>
  <c r="AY34" i="3"/>
  <c r="AY22" i="3"/>
  <c r="AY20" i="3"/>
  <c r="AY11" i="3"/>
  <c r="AY9" i="3"/>
  <c r="AY19" i="3" s="1"/>
  <c r="AY36" i="3" s="1"/>
  <c r="BA38" i="5"/>
  <c r="AY7" i="4"/>
  <c r="AZ2" i="4"/>
  <c r="AX31" i="3" l="1"/>
  <c r="AT49" i="3"/>
  <c r="AU49" i="3" s="1"/>
  <c r="AW29" i="3"/>
  <c r="AW46" i="3" s="1"/>
  <c r="AV29" i="4"/>
  <c r="AV46" i="4" s="1"/>
  <c r="AU49" i="4" s="1"/>
  <c r="AY27" i="3"/>
  <c r="AY18" i="3"/>
  <c r="AY26" i="3" s="1"/>
  <c r="BA41" i="4"/>
  <c r="BA43" i="4"/>
  <c r="BA24" i="4"/>
  <c r="BB1" i="4"/>
  <c r="AS50" i="5"/>
  <c r="AT47" i="5"/>
  <c r="BA2" i="4"/>
  <c r="AZ7" i="4"/>
  <c r="AX11" i="4"/>
  <c r="AX13" i="4" s="1"/>
  <c r="F9" i="4"/>
  <c r="F16" i="2" s="1"/>
  <c r="AX19" i="4"/>
  <c r="BB38" i="5"/>
  <c r="BB2" i="3"/>
  <c r="BA7" i="3"/>
  <c r="AZ24" i="3"/>
  <c r="BA1" i="3"/>
  <c r="AY33" i="4"/>
  <c r="G33" i="4" s="1"/>
  <c r="AY36" i="4"/>
  <c r="G36" i="4" s="1"/>
  <c r="AY32" i="4"/>
  <c r="AY34" i="4"/>
  <c r="G34" i="4" s="1"/>
  <c r="AY20" i="4"/>
  <c r="AY35" i="4"/>
  <c r="G35" i="4" s="1"/>
  <c r="AY9" i="4"/>
  <c r="AY22" i="4"/>
  <c r="G22" i="4" s="1"/>
  <c r="AZ41" i="3"/>
  <c r="AZ38" i="3" s="1"/>
  <c r="AZ34" i="3"/>
  <c r="AZ20" i="3"/>
  <c r="AZ22" i="3"/>
  <c r="AZ11" i="3"/>
  <c r="AZ13" i="3" s="1"/>
  <c r="AZ9" i="3"/>
  <c r="BA27" i="5"/>
  <c r="BA18" i="5"/>
  <c r="BA26" i="5" s="1"/>
  <c r="AV47" i="3"/>
  <c r="AZ38" i="4"/>
  <c r="AW27" i="4"/>
  <c r="AW18" i="4"/>
  <c r="AW26" i="4" s="1"/>
  <c r="AY33" i="3"/>
  <c r="AY32" i="3"/>
  <c r="AY35" i="3"/>
  <c r="BD7" i="5"/>
  <c r="BE2" i="5"/>
  <c r="AY38" i="3"/>
  <c r="AY13" i="3"/>
  <c r="AX27" i="3"/>
  <c r="AX18" i="3"/>
  <c r="AX26" i="3" s="1"/>
  <c r="AY46" i="5"/>
  <c r="G29" i="5"/>
  <c r="G30" i="2" s="1"/>
  <c r="BC43" i="5"/>
  <c r="BC41" i="5"/>
  <c r="BC24" i="5"/>
  <c r="BD1" i="5"/>
  <c r="BC35" i="5"/>
  <c r="BC34" i="5"/>
  <c r="BC32" i="5"/>
  <c r="BC31" i="5" s="1"/>
  <c r="BC36" i="5"/>
  <c r="BC22" i="5"/>
  <c r="BC33" i="5"/>
  <c r="BC20" i="5"/>
  <c r="BC9" i="5"/>
  <c r="BC11" i="5" s="1"/>
  <c r="BC13" i="5" s="1"/>
  <c r="BB27" i="5"/>
  <c r="BB18" i="5"/>
  <c r="BB26" i="5" s="1"/>
  <c r="BB29" i="5" s="1"/>
  <c r="BB46" i="5" s="1"/>
  <c r="AV49" i="3" l="1"/>
  <c r="AV50" i="3"/>
  <c r="AW47" i="3"/>
  <c r="AX29" i="3"/>
  <c r="AX46" i="3" s="1"/>
  <c r="AV47" i="4"/>
  <c r="AW29" i="4"/>
  <c r="AW46" i="4" s="1"/>
  <c r="AV49" i="4" s="1"/>
  <c r="AU50" i="4"/>
  <c r="BC19" i="5"/>
  <c r="BA24" i="3"/>
  <c r="BB1" i="3"/>
  <c r="BF2" i="5"/>
  <c r="BE7" i="5"/>
  <c r="AZ33" i="3"/>
  <c r="AZ32" i="3"/>
  <c r="AZ35" i="3"/>
  <c r="AY11" i="4"/>
  <c r="AY19" i="4"/>
  <c r="AY31" i="3"/>
  <c r="AZ36" i="4"/>
  <c r="AZ35" i="4"/>
  <c r="AZ34" i="4"/>
  <c r="AZ32" i="4"/>
  <c r="AZ31" i="4" s="1"/>
  <c r="AZ33" i="4"/>
  <c r="AZ20" i="4"/>
  <c r="AZ22" i="4"/>
  <c r="AZ9" i="4"/>
  <c r="BC38" i="5"/>
  <c r="BA29" i="5"/>
  <c r="BA46" i="5" s="1"/>
  <c r="AZ19" i="3"/>
  <c r="AZ36" i="3" s="1"/>
  <c r="BA7" i="4"/>
  <c r="BB2" i="4"/>
  <c r="BA38" i="4"/>
  <c r="AY31" i="4"/>
  <c r="G32" i="4"/>
  <c r="G31" i="4" s="1"/>
  <c r="BA41" i="3"/>
  <c r="BA34" i="3"/>
  <c r="BA20" i="3"/>
  <c r="BA11" i="3"/>
  <c r="BA9" i="3"/>
  <c r="BA22" i="3"/>
  <c r="G46" i="5"/>
  <c r="G31" i="2" s="1"/>
  <c r="G32" i="2" s="1"/>
  <c r="R13" i="1" s="1"/>
  <c r="AY49" i="5"/>
  <c r="AX49" i="5"/>
  <c r="BD36" i="5"/>
  <c r="BD35" i="5"/>
  <c r="BD33" i="5"/>
  <c r="BD34" i="5"/>
  <c r="BD32" i="5"/>
  <c r="BD31" i="5" s="1"/>
  <c r="BD22" i="5"/>
  <c r="BD20" i="5"/>
  <c r="BD9" i="5"/>
  <c r="BD11" i="5" s="1"/>
  <c r="BD13" i="5" s="1"/>
  <c r="BD43" i="5"/>
  <c r="BD41" i="5"/>
  <c r="BD38" i="5" s="1"/>
  <c r="BD24" i="5"/>
  <c r="BE1" i="5"/>
  <c r="BD19" i="5"/>
  <c r="AV50" i="4"/>
  <c r="AY29" i="3"/>
  <c r="BC2" i="3"/>
  <c r="BB7" i="3"/>
  <c r="AT50" i="5"/>
  <c r="AU47" i="5"/>
  <c r="AW47" i="4"/>
  <c r="AX27" i="4"/>
  <c r="AX18" i="4"/>
  <c r="AX26" i="4" s="1"/>
  <c r="AX29" i="4" s="1"/>
  <c r="AX46" i="4" s="1"/>
  <c r="BB41" i="4"/>
  <c r="BB38" i="4" s="1"/>
  <c r="BB43" i="4"/>
  <c r="BB24" i="4"/>
  <c r="BC1" i="4"/>
  <c r="AX47" i="3" l="1"/>
  <c r="AZ31" i="3"/>
  <c r="AW50" i="3"/>
  <c r="BA38" i="3"/>
  <c r="BA13" i="3"/>
  <c r="AW49" i="3"/>
  <c r="F46" i="3"/>
  <c r="F9" i="2" s="1"/>
  <c r="BB41" i="3"/>
  <c r="BB38" i="3" s="1"/>
  <c r="BB34" i="3"/>
  <c r="BB22" i="3"/>
  <c r="BB20" i="3"/>
  <c r="BB11" i="3"/>
  <c r="BB13" i="3" s="1"/>
  <c r="BB9" i="3"/>
  <c r="BB19" i="3" s="1"/>
  <c r="BB36" i="3" s="1"/>
  <c r="AZ11" i="4"/>
  <c r="AZ13" i="4" s="1"/>
  <c r="AZ19" i="4"/>
  <c r="BB7" i="4"/>
  <c r="BC2" i="4"/>
  <c r="AY27" i="4"/>
  <c r="G27" i="4" s="1"/>
  <c r="AY18" i="4"/>
  <c r="AY26" i="4" s="1"/>
  <c r="G19" i="4"/>
  <c r="G18" i="4" s="1"/>
  <c r="BC41" i="4"/>
  <c r="BC38" i="4" s="1"/>
  <c r="BC43" i="4"/>
  <c r="BC24" i="4"/>
  <c r="BD1" i="4"/>
  <c r="AY46" i="3"/>
  <c r="BA36" i="4"/>
  <c r="BA32" i="4"/>
  <c r="BA31" i="4" s="1"/>
  <c r="BA35" i="4"/>
  <c r="BA34" i="4"/>
  <c r="BA33" i="4"/>
  <c r="BA22" i="4"/>
  <c r="BA20" i="4"/>
  <c r="BA9" i="4"/>
  <c r="AY13" i="4"/>
  <c r="G13" i="4" s="1"/>
  <c r="G18" i="2" s="1"/>
  <c r="G11" i="4"/>
  <c r="BB24" i="3"/>
  <c r="BC1" i="3"/>
  <c r="BC7" i="3"/>
  <c r="BD2" i="3"/>
  <c r="F47" i="3"/>
  <c r="AX50" i="3"/>
  <c r="AW50" i="4"/>
  <c r="AZ27" i="3"/>
  <c r="AZ18" i="3"/>
  <c r="AZ26" i="3" s="1"/>
  <c r="BD26" i="5"/>
  <c r="BD29" i="5" s="1"/>
  <c r="BD46" i="5" s="1"/>
  <c r="BA33" i="3"/>
  <c r="BA32" i="3"/>
  <c r="BA35" i="3"/>
  <c r="BD27" i="5"/>
  <c r="BD18" i="5"/>
  <c r="BA49" i="5"/>
  <c r="AZ49" i="5"/>
  <c r="BA19" i="3"/>
  <c r="BA36" i="3" s="1"/>
  <c r="AX47" i="4"/>
  <c r="AW49" i="4"/>
  <c r="AU50" i="5"/>
  <c r="AV47" i="5"/>
  <c r="BE43" i="5"/>
  <c r="BE41" i="5"/>
  <c r="BE38" i="5" s="1"/>
  <c r="BE24" i="5"/>
  <c r="BF1" i="5"/>
  <c r="BC27" i="5"/>
  <c r="BC18" i="5"/>
  <c r="BC26" i="5" s="1"/>
  <c r="BC29" i="5" s="1"/>
  <c r="BC46" i="5" s="1"/>
  <c r="BE36" i="5"/>
  <c r="BE35" i="5"/>
  <c r="BE33" i="5"/>
  <c r="BE34" i="5"/>
  <c r="BE32" i="5"/>
  <c r="BE31" i="5" s="1"/>
  <c r="BE22" i="5"/>
  <c r="BE20" i="5"/>
  <c r="BE9" i="5"/>
  <c r="BE11" i="5" s="1"/>
  <c r="BE13" i="5" s="1"/>
  <c r="BG2" i="5"/>
  <c r="BF7" i="5"/>
  <c r="AZ29" i="3" l="1"/>
  <c r="BA31" i="3"/>
  <c r="BB27" i="3"/>
  <c r="BB18" i="3"/>
  <c r="BB26" i="3" s="1"/>
  <c r="BA11" i="4"/>
  <c r="BA13" i="4" s="1"/>
  <c r="BA19" i="4"/>
  <c r="AY29" i="4"/>
  <c r="G26" i="4"/>
  <c r="BC49" i="5"/>
  <c r="BB49" i="5"/>
  <c r="BC41" i="3"/>
  <c r="BC38" i="3" s="1"/>
  <c r="BC36" i="3"/>
  <c r="BC34" i="3"/>
  <c r="BC22" i="3"/>
  <c r="BC20" i="3"/>
  <c r="BC11" i="3"/>
  <c r="BC13" i="3" s="1"/>
  <c r="BC9" i="3"/>
  <c r="BC19" i="3" s="1"/>
  <c r="BD43" i="4"/>
  <c r="BD41" i="4"/>
  <c r="BD24" i="4"/>
  <c r="BE1" i="4"/>
  <c r="BC7" i="4"/>
  <c r="BD2" i="4"/>
  <c r="BD7" i="3"/>
  <c r="BE2" i="3"/>
  <c r="AY47" i="3"/>
  <c r="AX49" i="3"/>
  <c r="BC24" i="3"/>
  <c r="BD1" i="3"/>
  <c r="BB36" i="4"/>
  <c r="BB35" i="4"/>
  <c r="BB34" i="4"/>
  <c r="BB33" i="4"/>
  <c r="BB9" i="4"/>
  <c r="BB22" i="4"/>
  <c r="BB32" i="4"/>
  <c r="BB31" i="4" s="1"/>
  <c r="BB20" i="4"/>
  <c r="G17" i="2"/>
  <c r="AZ27" i="4"/>
  <c r="AZ18" i="4"/>
  <c r="AZ26" i="4" s="1"/>
  <c r="AV50" i="5"/>
  <c r="AW47" i="5"/>
  <c r="BF43" i="5"/>
  <c r="BF41" i="5"/>
  <c r="BF38" i="5" s="1"/>
  <c r="BF24" i="5"/>
  <c r="BG1" i="5"/>
  <c r="BF36" i="5"/>
  <c r="BF35" i="5"/>
  <c r="BF34" i="5"/>
  <c r="BF33" i="5"/>
  <c r="BF32" i="5"/>
  <c r="BF31" i="5" s="1"/>
  <c r="BF22" i="5"/>
  <c r="BF20" i="5"/>
  <c r="BF9" i="5"/>
  <c r="BF11" i="5" s="1"/>
  <c r="BF13" i="5" s="1"/>
  <c r="BE19" i="5"/>
  <c r="BG7" i="5"/>
  <c r="BH2" i="5"/>
  <c r="F47" i="4"/>
  <c r="BA27" i="3"/>
  <c r="BA18" i="3"/>
  <c r="BA26" i="3" s="1"/>
  <c r="BB33" i="3"/>
  <c r="BB32" i="3"/>
  <c r="BB35" i="3"/>
  <c r="BB29" i="3" l="1"/>
  <c r="BB31" i="3"/>
  <c r="AZ46" i="3"/>
  <c r="AZ47" i="3" s="1"/>
  <c r="BA29" i="3"/>
  <c r="BA46" i="3" s="1"/>
  <c r="BC18" i="3"/>
  <c r="BC27" i="3"/>
  <c r="BD41" i="3"/>
  <c r="BD38" i="3" s="1"/>
  <c r="BD34" i="3"/>
  <c r="BD22" i="3"/>
  <c r="BD20" i="3"/>
  <c r="BD9" i="3"/>
  <c r="BD11" i="3"/>
  <c r="BC32" i="3"/>
  <c r="BC35" i="3"/>
  <c r="BC33" i="3"/>
  <c r="BH7" i="5"/>
  <c r="BI2" i="5"/>
  <c r="AW50" i="5"/>
  <c r="AX47" i="5"/>
  <c r="BB11" i="4"/>
  <c r="BB13" i="4" s="1"/>
  <c r="BB19" i="4"/>
  <c r="BD7" i="4"/>
  <c r="BE2" i="4"/>
  <c r="BG36" i="5"/>
  <c r="BG35" i="5"/>
  <c r="BG33" i="5"/>
  <c r="BG32" i="5"/>
  <c r="BG31" i="5" s="1"/>
  <c r="BG34" i="5"/>
  <c r="BG20" i="5"/>
  <c r="BG22" i="5"/>
  <c r="BG9" i="5"/>
  <c r="BG11" i="5" s="1"/>
  <c r="BG13" i="5" s="1"/>
  <c r="BE27" i="5"/>
  <c r="BE18" i="5"/>
  <c r="BE26" i="5" s="1"/>
  <c r="BE29" i="5" s="1"/>
  <c r="BE46" i="5" s="1"/>
  <c r="AZ29" i="4"/>
  <c r="AZ46" i="4" s="1"/>
  <c r="AY46" i="4"/>
  <c r="G29" i="4"/>
  <c r="G19" i="2" s="1"/>
  <c r="BE43" i="4"/>
  <c r="BE41" i="4"/>
  <c r="BE24" i="4"/>
  <c r="BF1" i="4"/>
  <c r="BA27" i="4"/>
  <c r="BA18" i="4"/>
  <c r="BA26" i="4" s="1"/>
  <c r="BA29" i="4" s="1"/>
  <c r="BA46" i="4" s="1"/>
  <c r="BG43" i="5"/>
  <c r="BG41" i="5"/>
  <c r="BG38" i="5" s="1"/>
  <c r="BG24" i="5"/>
  <c r="BG19" i="5"/>
  <c r="BH1" i="5"/>
  <c r="BF19" i="5"/>
  <c r="BB46" i="3"/>
  <c r="BD24" i="3"/>
  <c r="BD19" i="3"/>
  <c r="BD36" i="3" s="1"/>
  <c r="BE1" i="3"/>
  <c r="BD38" i="4"/>
  <c r="BC26" i="3"/>
  <c r="BC29" i="3" s="1"/>
  <c r="BE7" i="3"/>
  <c r="BF2" i="3"/>
  <c r="BC36" i="4"/>
  <c r="BC35" i="4"/>
  <c r="BC34" i="4"/>
  <c r="BC33" i="4"/>
  <c r="BC32" i="4"/>
  <c r="BC31" i="4" s="1"/>
  <c r="BC9" i="4"/>
  <c r="BC22" i="4"/>
  <c r="BC20" i="4"/>
  <c r="BA49" i="3" l="1"/>
  <c r="BA47" i="3"/>
  <c r="BC31" i="3"/>
  <c r="BC46" i="3" s="1"/>
  <c r="BB49" i="3" s="1"/>
  <c r="BD13" i="3"/>
  <c r="AY49" i="3"/>
  <c r="AZ49" i="3"/>
  <c r="AY50" i="3"/>
  <c r="AZ50" i="3" s="1"/>
  <c r="AY47" i="4"/>
  <c r="AY50" i="4" s="1"/>
  <c r="AY49" i="4"/>
  <c r="G46" i="4"/>
  <c r="G20" i="2" s="1"/>
  <c r="G21" i="2" s="1"/>
  <c r="R11" i="1" s="1"/>
  <c r="AX49" i="4"/>
  <c r="AX50" i="4"/>
  <c r="BD18" i="3"/>
  <c r="BD26" i="3" s="1"/>
  <c r="BD27" i="3"/>
  <c r="BH43" i="5"/>
  <c r="BH41" i="5"/>
  <c r="BH38" i="5" s="1"/>
  <c r="BH24" i="5"/>
  <c r="BH19" i="5"/>
  <c r="BI1" i="5"/>
  <c r="AZ49" i="4"/>
  <c r="F47" i="5"/>
  <c r="AX50" i="5"/>
  <c r="AY47" i="5"/>
  <c r="BD32" i="3"/>
  <c r="BD35" i="3"/>
  <c r="BD33" i="3"/>
  <c r="BF7" i="3"/>
  <c r="BG2" i="3"/>
  <c r="BD49" i="5"/>
  <c r="BE41" i="3"/>
  <c r="BE38" i="3" s="1"/>
  <c r="BE34" i="3"/>
  <c r="BE22" i="3"/>
  <c r="BE20" i="3"/>
  <c r="BE9" i="3"/>
  <c r="BE11" i="3"/>
  <c r="BE13" i="3" s="1"/>
  <c r="BI7" i="5"/>
  <c r="BJ2" i="5"/>
  <c r="BE7" i="4"/>
  <c r="BF2" i="4"/>
  <c r="BH36" i="5"/>
  <c r="BH35" i="5"/>
  <c r="BH34" i="5"/>
  <c r="BH33" i="5"/>
  <c r="BH32" i="5"/>
  <c r="BH31" i="5" s="1"/>
  <c r="BH20" i="5"/>
  <c r="BH22" i="5"/>
  <c r="BH9" i="5"/>
  <c r="BH11" i="5" s="1"/>
  <c r="BH13" i="5" s="1"/>
  <c r="BG27" i="5"/>
  <c r="BG18" i="5"/>
  <c r="BG26" i="5" s="1"/>
  <c r="BG29" i="5" s="1"/>
  <c r="BG46" i="5" s="1"/>
  <c r="BF43" i="4"/>
  <c r="BF41" i="4"/>
  <c r="BF24" i="4"/>
  <c r="BG1" i="4"/>
  <c r="BC11" i="4"/>
  <c r="BC13" i="4" s="1"/>
  <c r="BC19" i="4"/>
  <c r="BE38" i="4"/>
  <c r="BD35" i="4"/>
  <c r="BD36" i="4"/>
  <c r="BD34" i="4"/>
  <c r="BD33" i="4"/>
  <c r="BD32" i="4"/>
  <c r="BD31" i="4" s="1"/>
  <c r="BD22" i="4"/>
  <c r="BD20" i="4"/>
  <c r="BD9" i="4"/>
  <c r="BB18" i="4"/>
  <c r="BB26" i="4" s="1"/>
  <c r="BB27" i="4"/>
  <c r="BE24" i="3"/>
  <c r="BF1" i="3"/>
  <c r="BF27" i="5"/>
  <c r="BF18" i="5"/>
  <c r="BF26" i="5" s="1"/>
  <c r="BA50" i="3" l="1"/>
  <c r="BD31" i="3"/>
  <c r="BB47" i="3"/>
  <c r="BB50" i="3" s="1"/>
  <c r="BD29" i="3"/>
  <c r="AZ47" i="4"/>
  <c r="AZ50" i="4" s="1"/>
  <c r="BE35" i="3"/>
  <c r="BE33" i="3"/>
  <c r="BE32" i="3"/>
  <c r="BG7" i="3"/>
  <c r="BH2" i="3"/>
  <c r="BD11" i="4"/>
  <c r="BD13" i="4" s="1"/>
  <c r="BD19" i="4"/>
  <c r="BF38" i="4"/>
  <c r="BJ7" i="5"/>
  <c r="BK2" i="5"/>
  <c r="BF41" i="3"/>
  <c r="BF38" i="3" s="1"/>
  <c r="BF34" i="3"/>
  <c r="BF22" i="3"/>
  <c r="BF20" i="3"/>
  <c r="BF11" i="3"/>
  <c r="BF9" i="3"/>
  <c r="BF19" i="3" s="1"/>
  <c r="BF36" i="3" s="1"/>
  <c r="BE34" i="4"/>
  <c r="BE33" i="4"/>
  <c r="BE32" i="4"/>
  <c r="BE31" i="4" s="1"/>
  <c r="BE36" i="4"/>
  <c r="BE35" i="4"/>
  <c r="BE22" i="4"/>
  <c r="BE20" i="4"/>
  <c r="BE9" i="4"/>
  <c r="BF29" i="5"/>
  <c r="BF46" i="5" s="1"/>
  <c r="BI36" i="5"/>
  <c r="BI35" i="5"/>
  <c r="BI34" i="5"/>
  <c r="BI33" i="5"/>
  <c r="BI20" i="5"/>
  <c r="BI22" i="5"/>
  <c r="BI9" i="5"/>
  <c r="BI11" i="5" s="1"/>
  <c r="BI13" i="5" s="1"/>
  <c r="BI32" i="5"/>
  <c r="BI31" i="5" s="1"/>
  <c r="BI43" i="5"/>
  <c r="BI41" i="5"/>
  <c r="BI38" i="5" s="1"/>
  <c r="BI24" i="5"/>
  <c r="BJ1" i="5"/>
  <c r="BH18" i="5"/>
  <c r="BH26" i="5" s="1"/>
  <c r="BH29" i="5" s="1"/>
  <c r="BH46" i="5" s="1"/>
  <c r="BH27" i="5"/>
  <c r="BF24" i="3"/>
  <c r="BG1" i="3"/>
  <c r="BC27" i="4"/>
  <c r="BC18" i="4"/>
  <c r="BC26" i="4" s="1"/>
  <c r="AY50" i="5"/>
  <c r="AZ47" i="5"/>
  <c r="BB29" i="4"/>
  <c r="BB46" i="4" s="1"/>
  <c r="BE19" i="3"/>
  <c r="BE36" i="3" s="1"/>
  <c r="BG43" i="4"/>
  <c r="BG41" i="4"/>
  <c r="BG24" i="4"/>
  <c r="BH1" i="4"/>
  <c r="BG2" i="4"/>
  <c r="BF7" i="4"/>
  <c r="BA47" i="4"/>
  <c r="BE31" i="3" l="1"/>
  <c r="BC47" i="3"/>
  <c r="BF13" i="3"/>
  <c r="BD46" i="3"/>
  <c r="BA50" i="4"/>
  <c r="BG49" i="5"/>
  <c r="BK7" i="5"/>
  <c r="BL2" i="5"/>
  <c r="BG38" i="4"/>
  <c r="BC29" i="4"/>
  <c r="BC46" i="4" s="1"/>
  <c r="BE11" i="4"/>
  <c r="BE13" i="4" s="1"/>
  <c r="BE19" i="4"/>
  <c r="BF35" i="3"/>
  <c r="BF33" i="3"/>
  <c r="BF32" i="3"/>
  <c r="BF31" i="3" s="1"/>
  <c r="BJ35" i="5"/>
  <c r="BJ34" i="5"/>
  <c r="BJ36" i="5"/>
  <c r="BJ32" i="5"/>
  <c r="BJ31" i="5" s="1"/>
  <c r="BJ33" i="5"/>
  <c r="BJ22" i="5"/>
  <c r="BJ9" i="5"/>
  <c r="BJ20" i="5"/>
  <c r="G20" i="5" s="1"/>
  <c r="G7" i="5"/>
  <c r="G26" i="2" s="1"/>
  <c r="BJ43" i="5"/>
  <c r="BJ41" i="5"/>
  <c r="BJ38" i="5" s="1"/>
  <c r="BJ24" i="5"/>
  <c r="BJ19" i="5"/>
  <c r="BK1" i="5"/>
  <c r="BH1" i="3"/>
  <c r="BG24" i="3"/>
  <c r="BI19" i="5"/>
  <c r="BF34" i="4"/>
  <c r="BF36" i="4"/>
  <c r="BF35" i="4"/>
  <c r="BF33" i="4"/>
  <c r="BF32" i="4"/>
  <c r="BF31" i="4" s="1"/>
  <c r="BF20" i="4"/>
  <c r="BF22" i="4"/>
  <c r="BF9" i="4"/>
  <c r="BD27" i="4"/>
  <c r="BD18" i="4"/>
  <c r="BD26" i="4" s="1"/>
  <c r="BF49" i="5"/>
  <c r="BE49" i="5"/>
  <c r="BG7" i="4"/>
  <c r="BH2" i="4"/>
  <c r="BE18" i="3"/>
  <c r="BE26" i="3" s="1"/>
  <c r="BE27" i="3"/>
  <c r="BF27" i="3"/>
  <c r="BF18" i="3"/>
  <c r="BF26" i="3" s="1"/>
  <c r="BH41" i="4"/>
  <c r="BH38" i="4" s="1"/>
  <c r="BH43" i="4"/>
  <c r="BH24" i="4"/>
  <c r="BI1" i="4"/>
  <c r="BB47" i="4"/>
  <c r="BA49" i="4"/>
  <c r="BI2" i="3"/>
  <c r="BH7" i="3"/>
  <c r="AZ50" i="5"/>
  <c r="BA47" i="5"/>
  <c r="BG41" i="3"/>
  <c r="BG38" i="3" s="1"/>
  <c r="BG34" i="3"/>
  <c r="BG22" i="3"/>
  <c r="BG20" i="3"/>
  <c r="BG9" i="3"/>
  <c r="BG11" i="3"/>
  <c r="BG13" i="3" s="1"/>
  <c r="BF29" i="3" l="1"/>
  <c r="BF46" i="3" s="1"/>
  <c r="BC50" i="3"/>
  <c r="BD47" i="3"/>
  <c r="BC49" i="3"/>
  <c r="BE29" i="3"/>
  <c r="BA50" i="5"/>
  <c r="BB47" i="5"/>
  <c r="BC47" i="4"/>
  <c r="BI7" i="3"/>
  <c r="BJ2" i="3"/>
  <c r="BI2" i="4"/>
  <c r="BH7" i="4"/>
  <c r="BG33" i="3"/>
  <c r="BG32" i="3"/>
  <c r="BG35" i="3"/>
  <c r="BH41" i="3"/>
  <c r="BH38" i="3" s="1"/>
  <c r="BH34" i="3"/>
  <c r="BH20" i="3"/>
  <c r="BH22" i="3"/>
  <c r="BH11" i="3"/>
  <c r="BH9" i="3"/>
  <c r="BH19" i="3" s="1"/>
  <c r="BH36" i="3" s="1"/>
  <c r="BG33" i="4"/>
  <c r="BG36" i="4"/>
  <c r="BG34" i="4"/>
  <c r="BG32" i="4"/>
  <c r="BG31" i="4" s="1"/>
  <c r="BG35" i="4"/>
  <c r="BG20" i="4"/>
  <c r="BG22" i="4"/>
  <c r="BG9" i="4"/>
  <c r="BF11" i="4"/>
  <c r="BF13" i="4" s="1"/>
  <c r="BF19" i="4"/>
  <c r="BI27" i="5"/>
  <c r="BI18" i="5"/>
  <c r="BI26" i="5" s="1"/>
  <c r="BI29" i="5" s="1"/>
  <c r="BI46" i="5" s="1"/>
  <c r="BK35" i="5"/>
  <c r="H35" i="5" s="1"/>
  <c r="BK34" i="5"/>
  <c r="H34" i="5" s="1"/>
  <c r="BK32" i="5"/>
  <c r="BK36" i="5"/>
  <c r="H36" i="5" s="1"/>
  <c r="BK33" i="5"/>
  <c r="H33" i="5" s="1"/>
  <c r="BK22" i="5"/>
  <c r="H22" i="5" s="1"/>
  <c r="BK20" i="5"/>
  <c r="BK9" i="5"/>
  <c r="BK11" i="5" s="1"/>
  <c r="BL7" i="5"/>
  <c r="BM2" i="5"/>
  <c r="BH24" i="3"/>
  <c r="BI1" i="3"/>
  <c r="BG19" i="3"/>
  <c r="BG36" i="3" s="1"/>
  <c r="BJ11" i="5"/>
  <c r="BJ13" i="5" s="1"/>
  <c r="G9" i="5"/>
  <c r="G27" i="2" s="1"/>
  <c r="BB50" i="4"/>
  <c r="BB49" i="4"/>
  <c r="BK43" i="5"/>
  <c r="BK41" i="5"/>
  <c r="BK24" i="5"/>
  <c r="BK19" i="5"/>
  <c r="BL1" i="5"/>
  <c r="BI41" i="4"/>
  <c r="BI43" i="4"/>
  <c r="BI24" i="4"/>
  <c r="BJ1" i="4"/>
  <c r="BD29" i="4"/>
  <c r="BD46" i="4" s="1"/>
  <c r="BC49" i="4" s="1"/>
  <c r="BJ27" i="5"/>
  <c r="BJ18" i="5"/>
  <c r="BJ26" i="5" s="1"/>
  <c r="BJ29" i="5" s="1"/>
  <c r="BJ46" i="5" s="1"/>
  <c r="BE27" i="4"/>
  <c r="BE18" i="4"/>
  <c r="BE26" i="4" s="1"/>
  <c r="BE29" i="4" s="1"/>
  <c r="BE46" i="4" s="1"/>
  <c r="BG31" i="3" l="1"/>
  <c r="BE46" i="3"/>
  <c r="BH13" i="3"/>
  <c r="BL36" i="5"/>
  <c r="BL35" i="5"/>
  <c r="BL34" i="5"/>
  <c r="BL33" i="5"/>
  <c r="BL32" i="5"/>
  <c r="BL31" i="5" s="1"/>
  <c r="BL22" i="5"/>
  <c r="BL20" i="5"/>
  <c r="BL9" i="5"/>
  <c r="BL11" i="5" s="1"/>
  <c r="BL13" i="5" s="1"/>
  <c r="BI38" i="4"/>
  <c r="BH36" i="4"/>
  <c r="BH35" i="4"/>
  <c r="BH34" i="4"/>
  <c r="BH32" i="4"/>
  <c r="BH31" i="4" s="1"/>
  <c r="BH33" i="4"/>
  <c r="BH20" i="4"/>
  <c r="BH9" i="4"/>
  <c r="BH22" i="4"/>
  <c r="BC50" i="4"/>
  <c r="BK13" i="5"/>
  <c r="H13" i="5" s="1"/>
  <c r="H29" i="2" s="1"/>
  <c r="H11" i="5"/>
  <c r="BL43" i="5"/>
  <c r="BL41" i="5"/>
  <c r="BL38" i="5" s="1"/>
  <c r="BM1" i="5"/>
  <c r="BL24" i="5"/>
  <c r="BL19" i="5"/>
  <c r="BJ2" i="4"/>
  <c r="BI7" i="4"/>
  <c r="BK27" i="5"/>
  <c r="H27" i="5" s="1"/>
  <c r="H19" i="5"/>
  <c r="H18" i="5" s="1"/>
  <c r="BK18" i="5"/>
  <c r="BG27" i="3"/>
  <c r="BG18" i="3"/>
  <c r="BG26" i="3" s="1"/>
  <c r="BI49" i="5"/>
  <c r="BH49" i="5"/>
  <c r="BD49" i="4"/>
  <c r="BD47" i="4"/>
  <c r="BD50" i="4" s="1"/>
  <c r="BK26" i="5"/>
  <c r="BI24" i="3"/>
  <c r="BJ1" i="3"/>
  <c r="BB50" i="5"/>
  <c r="BC47" i="5"/>
  <c r="BN2" i="5"/>
  <c r="BM7" i="5"/>
  <c r="BJ41" i="4"/>
  <c r="BJ38" i="4" s="1"/>
  <c r="BJ43" i="4"/>
  <c r="BJ24" i="4"/>
  <c r="BK1" i="4"/>
  <c r="BK38" i="5"/>
  <c r="BF27" i="4"/>
  <c r="BF18" i="4"/>
  <c r="BF26" i="4" s="1"/>
  <c r="BH27" i="3"/>
  <c r="BH18" i="3"/>
  <c r="BH26" i="3" s="1"/>
  <c r="H32" i="5"/>
  <c r="H31" i="5" s="1"/>
  <c r="BK31" i="5"/>
  <c r="BK2" i="3"/>
  <c r="BJ7" i="3"/>
  <c r="BG11" i="4"/>
  <c r="BG13" i="4" s="1"/>
  <c r="BG19" i="4"/>
  <c r="BH33" i="3"/>
  <c r="BH32" i="3"/>
  <c r="BH35" i="3"/>
  <c r="BI41" i="3"/>
  <c r="BI38" i="3" s="1"/>
  <c r="BI34" i="3"/>
  <c r="BI20" i="3"/>
  <c r="BI11" i="3"/>
  <c r="BI13" i="3" s="1"/>
  <c r="BI9" i="3"/>
  <c r="BI19" i="3" s="1"/>
  <c r="BI36" i="3" s="1"/>
  <c r="BI22" i="3"/>
  <c r="BH31" i="3" l="1"/>
  <c r="BH46" i="3" s="1"/>
  <c r="BH29" i="3"/>
  <c r="BD50" i="3"/>
  <c r="BE47" i="3"/>
  <c r="BE49" i="3"/>
  <c r="BD49" i="3"/>
  <c r="BI27" i="3"/>
  <c r="BI18" i="3"/>
  <c r="BI26" i="3" s="1"/>
  <c r="BG27" i="4"/>
  <c r="BG18" i="4"/>
  <c r="BG26" i="4" s="1"/>
  <c r="BG29" i="4" s="1"/>
  <c r="BG46" i="4" s="1"/>
  <c r="BJ24" i="3"/>
  <c r="BK1" i="3"/>
  <c r="BK2" i="4"/>
  <c r="BJ7" i="4"/>
  <c r="BE47" i="4"/>
  <c r="BK41" i="4"/>
  <c r="BK43" i="4"/>
  <c r="BK24" i="4"/>
  <c r="BL1" i="4"/>
  <c r="BL27" i="5"/>
  <c r="BL18" i="5"/>
  <c r="BF29" i="4"/>
  <c r="BF46" i="4" s="1"/>
  <c r="BG29" i="3"/>
  <c r="BL26" i="5"/>
  <c r="BL29" i="5" s="1"/>
  <c r="BL46" i="5" s="1"/>
  <c r="BI33" i="3"/>
  <c r="BI32" i="3"/>
  <c r="BI35" i="3"/>
  <c r="BI36" i="4"/>
  <c r="BI32" i="4"/>
  <c r="BI31" i="4" s="1"/>
  <c r="BI35" i="4"/>
  <c r="BI22" i="4"/>
  <c r="BI34" i="4"/>
  <c r="BI33" i="4"/>
  <c r="BI20" i="4"/>
  <c r="BI9" i="4"/>
  <c r="BJ41" i="3"/>
  <c r="BJ38" i="3" s="1"/>
  <c r="BJ34" i="3"/>
  <c r="BJ22" i="3"/>
  <c r="BJ11" i="3"/>
  <c r="BJ13" i="3" s="1"/>
  <c r="BJ9" i="3"/>
  <c r="BJ19" i="3" s="1"/>
  <c r="BJ20" i="3"/>
  <c r="BJ36" i="3" s="1"/>
  <c r="BK29" i="5"/>
  <c r="H26" i="5"/>
  <c r="BM43" i="5"/>
  <c r="BM41" i="5"/>
  <c r="BM24" i="5"/>
  <c r="BN1" i="5"/>
  <c r="BK7" i="3"/>
  <c r="BL2" i="3"/>
  <c r="BM36" i="5"/>
  <c r="BM35" i="5"/>
  <c r="BM34" i="5"/>
  <c r="BM33" i="5"/>
  <c r="BM32" i="5"/>
  <c r="BM31" i="5" s="1"/>
  <c r="BM22" i="5"/>
  <c r="BM20" i="5"/>
  <c r="BM9" i="5"/>
  <c r="BM11" i="5" s="1"/>
  <c r="BM13" i="5" s="1"/>
  <c r="BH11" i="4"/>
  <c r="BH13" i="4" s="1"/>
  <c r="BH19" i="4"/>
  <c r="BO2" i="5"/>
  <c r="BN7" i="5"/>
  <c r="BC50" i="5"/>
  <c r="BD47" i="5"/>
  <c r="H28" i="2"/>
  <c r="BI31" i="3" l="1"/>
  <c r="BE50" i="3"/>
  <c r="BF47" i="3"/>
  <c r="BF50" i="3" s="1"/>
  <c r="BG46" i="3"/>
  <c r="G29" i="3"/>
  <c r="G8" i="2" s="1"/>
  <c r="BI29" i="3"/>
  <c r="BM38" i="5"/>
  <c r="BH27" i="4"/>
  <c r="BH18" i="4"/>
  <c r="BH26" i="4" s="1"/>
  <c r="BF47" i="4"/>
  <c r="BF50" i="4" s="1"/>
  <c r="BF49" i="4"/>
  <c r="BE49" i="4"/>
  <c r="BK38" i="4"/>
  <c r="BE50" i="4"/>
  <c r="BJ27" i="3"/>
  <c r="BJ18" i="3"/>
  <c r="BJ26" i="3" s="1"/>
  <c r="BJ29" i="3" s="1"/>
  <c r="BL7" i="3"/>
  <c r="BM2" i="3"/>
  <c r="BJ36" i="4"/>
  <c r="BJ35" i="4"/>
  <c r="BJ33" i="4"/>
  <c r="BJ32" i="4"/>
  <c r="BJ31" i="4" s="1"/>
  <c r="BJ9" i="4"/>
  <c r="BJ22" i="4"/>
  <c r="BJ34" i="4"/>
  <c r="BJ20" i="4"/>
  <c r="G20" i="4" s="1"/>
  <c r="G7" i="4"/>
  <c r="G15" i="2" s="1"/>
  <c r="BO7" i="5"/>
  <c r="BP2" i="5"/>
  <c r="BK41" i="3"/>
  <c r="BK34" i="3"/>
  <c r="BK22" i="3"/>
  <c r="BK20" i="3"/>
  <c r="BK11" i="3"/>
  <c r="BK9" i="3"/>
  <c r="BK19" i="3" s="1"/>
  <c r="BK36" i="3" s="1"/>
  <c r="BI11" i="4"/>
  <c r="BI13" i="4" s="1"/>
  <c r="BI19" i="4"/>
  <c r="BL2" i="4"/>
  <c r="BK7" i="4"/>
  <c r="BK46" i="5"/>
  <c r="H29" i="5"/>
  <c r="H30" i="2" s="1"/>
  <c r="BD50" i="5"/>
  <c r="BE47" i="5"/>
  <c r="BN43" i="5"/>
  <c r="BN41" i="5"/>
  <c r="BN38" i="5" s="1"/>
  <c r="BN24" i="5"/>
  <c r="BN19" i="5"/>
  <c r="BO1" i="5"/>
  <c r="BL43" i="4"/>
  <c r="BL41" i="4"/>
  <c r="BL38" i="4" s="1"/>
  <c r="BL24" i="4"/>
  <c r="BM1" i="4"/>
  <c r="BK24" i="3"/>
  <c r="BL1" i="3"/>
  <c r="BN36" i="5"/>
  <c r="BN35" i="5"/>
  <c r="BN34" i="5"/>
  <c r="BN33" i="5"/>
  <c r="BN32" i="5"/>
  <c r="BN31" i="5" s="1"/>
  <c r="BN22" i="5"/>
  <c r="BN20" i="5"/>
  <c r="BN9" i="5"/>
  <c r="BN11" i="5" s="1"/>
  <c r="BN13" i="5" s="1"/>
  <c r="BM19" i="5"/>
  <c r="BJ33" i="3"/>
  <c r="BJ32" i="3"/>
  <c r="BJ35" i="3"/>
  <c r="BI46" i="3" l="1"/>
  <c r="BH49" i="3" s="1"/>
  <c r="BG47" i="3"/>
  <c r="BJ31" i="3"/>
  <c r="BJ46" i="3" s="1"/>
  <c r="BF49" i="3"/>
  <c r="BG49" i="3" s="1"/>
  <c r="BH29" i="4"/>
  <c r="BH46" i="4" s="1"/>
  <c r="BG49" i="4" s="1"/>
  <c r="BG47" i="4"/>
  <c r="BK27" i="3"/>
  <c r="BK18" i="3"/>
  <c r="BK26" i="3" s="1"/>
  <c r="BM7" i="3"/>
  <c r="BN2" i="3"/>
  <c r="BG50" i="4"/>
  <c r="BM27" i="5"/>
  <c r="BM18" i="5"/>
  <c r="BM26" i="5" s="1"/>
  <c r="BL24" i="3"/>
  <c r="BM1" i="3"/>
  <c r="BO43" i="5"/>
  <c r="BO41" i="5"/>
  <c r="BO24" i="5"/>
  <c r="BO19" i="5"/>
  <c r="BP1" i="5"/>
  <c r="BK49" i="5"/>
  <c r="H46" i="5"/>
  <c r="H31" i="2" s="1"/>
  <c r="H32" i="2" s="1"/>
  <c r="S13" i="1" s="1"/>
  <c r="BJ49" i="5"/>
  <c r="BL41" i="3"/>
  <c r="BL38" i="3" s="1"/>
  <c r="BL34" i="3"/>
  <c r="BL22" i="3"/>
  <c r="BL9" i="3"/>
  <c r="BL20" i="3"/>
  <c r="BL11" i="3"/>
  <c r="BL13" i="3" s="1"/>
  <c r="BK13" i="3"/>
  <c r="BJ11" i="4"/>
  <c r="BJ13" i="4" s="1"/>
  <c r="G9" i="4"/>
  <c r="G16" i="2" s="1"/>
  <c r="BJ19" i="4"/>
  <c r="BN27" i="5"/>
  <c r="BN18" i="5"/>
  <c r="BI27" i="4"/>
  <c r="BI18" i="4"/>
  <c r="BI26" i="4" s="1"/>
  <c r="BK38" i="3"/>
  <c r="BG50" i="3"/>
  <c r="BH47" i="3"/>
  <c r="BH47" i="4"/>
  <c r="BK36" i="4"/>
  <c r="H36" i="4" s="1"/>
  <c r="BK35" i="4"/>
  <c r="H35" i="4" s="1"/>
  <c r="BK34" i="4"/>
  <c r="H34" i="4" s="1"/>
  <c r="BK33" i="4"/>
  <c r="H33" i="4" s="1"/>
  <c r="BK9" i="4"/>
  <c r="BK22" i="4"/>
  <c r="H22" i="4" s="1"/>
  <c r="BK32" i="4"/>
  <c r="BK20" i="4"/>
  <c r="BN26" i="5"/>
  <c r="BN29" i="5" s="1"/>
  <c r="BN46" i="5" s="1"/>
  <c r="BL7" i="4"/>
  <c r="BM2" i="4"/>
  <c r="BM43" i="4"/>
  <c r="BM41" i="4"/>
  <c r="BM24" i="4"/>
  <c r="BN1" i="4"/>
  <c r="BP7" i="5"/>
  <c r="BQ2" i="5"/>
  <c r="BE50" i="5"/>
  <c r="BF47" i="5"/>
  <c r="BK32" i="3"/>
  <c r="BK35" i="3"/>
  <c r="BK33" i="3"/>
  <c r="BO36" i="5"/>
  <c r="BO35" i="5"/>
  <c r="BO34" i="5"/>
  <c r="BO33" i="5"/>
  <c r="BO32" i="5"/>
  <c r="BO31" i="5" s="1"/>
  <c r="BO22" i="5"/>
  <c r="BO20" i="5"/>
  <c r="BO9" i="5"/>
  <c r="BO11" i="5" s="1"/>
  <c r="BO13" i="5" s="1"/>
  <c r="BI49" i="3" l="1"/>
  <c r="BI29" i="4"/>
  <c r="BI46" i="4" s="1"/>
  <c r="BH49" i="4" s="1"/>
  <c r="BP36" i="5"/>
  <c r="BP35" i="5"/>
  <c r="BP34" i="5"/>
  <c r="BP33" i="5"/>
  <c r="BP32" i="5"/>
  <c r="BP31" i="5" s="1"/>
  <c r="BP22" i="5"/>
  <c r="BP20" i="5"/>
  <c r="BP9" i="5"/>
  <c r="BP11" i="5" s="1"/>
  <c r="BP13" i="5" s="1"/>
  <c r="BM7" i="4"/>
  <c r="BN2" i="4"/>
  <c r="BL32" i="3"/>
  <c r="BL35" i="3"/>
  <c r="BL33" i="3"/>
  <c r="BH50" i="3"/>
  <c r="BI47" i="3"/>
  <c r="BJ18" i="4"/>
  <c r="BJ26" i="4" s="1"/>
  <c r="BJ27" i="4"/>
  <c r="BM24" i="3"/>
  <c r="BN1" i="3"/>
  <c r="BQ7" i="5"/>
  <c r="BR2" i="5"/>
  <c r="BL35" i="4"/>
  <c r="BL36" i="4"/>
  <c r="BL33" i="4"/>
  <c r="BL34" i="4"/>
  <c r="BL32" i="4"/>
  <c r="BL31" i="4" s="1"/>
  <c r="BL22" i="4"/>
  <c r="BL20" i="4"/>
  <c r="BL9" i="4"/>
  <c r="BP43" i="5"/>
  <c r="BP41" i="5"/>
  <c r="BP38" i="5" s="1"/>
  <c r="BP24" i="5"/>
  <c r="BQ1" i="5"/>
  <c r="BM29" i="5"/>
  <c r="BM46" i="5" s="1"/>
  <c r="BK31" i="4"/>
  <c r="H32" i="4"/>
  <c r="H31" i="4" s="1"/>
  <c r="BO38" i="5"/>
  <c r="BK31" i="3"/>
  <c r="BN7" i="3"/>
  <c r="BO2" i="3"/>
  <c r="BO27" i="5"/>
  <c r="BO18" i="5"/>
  <c r="BO26" i="5" s="1"/>
  <c r="BO29" i="5" s="1"/>
  <c r="BO46" i="5" s="1"/>
  <c r="BN43" i="4"/>
  <c r="BN41" i="4"/>
  <c r="BN24" i="4"/>
  <c r="BO1" i="4"/>
  <c r="BK29" i="3"/>
  <c r="BF50" i="5"/>
  <c r="BG47" i="5"/>
  <c r="BM38" i="4"/>
  <c r="BK11" i="4"/>
  <c r="BK19" i="4"/>
  <c r="BL19" i="3"/>
  <c r="BL36" i="3" s="1"/>
  <c r="BM41" i="3"/>
  <c r="BM34" i="3"/>
  <c r="BM22" i="3"/>
  <c r="BM20" i="3"/>
  <c r="BM9" i="3"/>
  <c r="BM19" i="3" s="1"/>
  <c r="BM36" i="3" s="1"/>
  <c r="BM11" i="3"/>
  <c r="BL31" i="3" l="1"/>
  <c r="BM13" i="3"/>
  <c r="BM38" i="3"/>
  <c r="BI47" i="4"/>
  <c r="BH50" i="4"/>
  <c r="BJ29" i="4"/>
  <c r="BJ46" i="4" s="1"/>
  <c r="BJ47" i="4" s="1"/>
  <c r="BN49" i="5"/>
  <c r="BM18" i="3"/>
  <c r="BM27" i="3"/>
  <c r="BK27" i="4"/>
  <c r="H27" i="4" s="1"/>
  <c r="BK18" i="4"/>
  <c r="BK26" i="4" s="1"/>
  <c r="H19" i="4"/>
  <c r="H18" i="4" s="1"/>
  <c r="BK13" i="4"/>
  <c r="H13" i="4" s="1"/>
  <c r="H18" i="2" s="1"/>
  <c r="H11" i="4"/>
  <c r="BM49" i="5"/>
  <c r="BL49" i="5"/>
  <c r="BN24" i="3"/>
  <c r="BO1" i="3"/>
  <c r="BQ43" i="5"/>
  <c r="BQ41" i="5"/>
  <c r="BQ24" i="5"/>
  <c r="BR1" i="5"/>
  <c r="BP19" i="5"/>
  <c r="BM26" i="3"/>
  <c r="BN38" i="4"/>
  <c r="BG50" i="5"/>
  <c r="BH47" i="5"/>
  <c r="BL18" i="3"/>
  <c r="BL26" i="3" s="1"/>
  <c r="BL27" i="3"/>
  <c r="BK46" i="3"/>
  <c r="BO7" i="3"/>
  <c r="BP2" i="3"/>
  <c r="BI50" i="3"/>
  <c r="BJ47" i="3"/>
  <c r="BN7" i="4"/>
  <c r="BO2" i="4"/>
  <c r="BM35" i="3"/>
  <c r="BM33" i="3"/>
  <c r="BM32" i="3"/>
  <c r="BO43" i="4"/>
  <c r="BO41" i="4"/>
  <c r="BO38" i="4" s="1"/>
  <c r="BO24" i="4"/>
  <c r="BP1" i="4"/>
  <c r="BN41" i="3"/>
  <c r="BN38" i="3" s="1"/>
  <c r="BN34" i="3"/>
  <c r="BN22" i="3"/>
  <c r="BN20" i="3"/>
  <c r="BN11" i="3"/>
  <c r="BN13" i="3" s="1"/>
  <c r="BN9" i="3"/>
  <c r="BN19" i="3" s="1"/>
  <c r="BN36" i="3" s="1"/>
  <c r="BL11" i="4"/>
  <c r="BL13" i="4" s="1"/>
  <c r="BL19" i="4"/>
  <c r="BR7" i="5"/>
  <c r="BS2" i="5"/>
  <c r="BM35" i="4"/>
  <c r="BM34" i="4"/>
  <c r="BM36" i="4"/>
  <c r="BM33" i="4"/>
  <c r="BM32" i="4"/>
  <c r="BM31" i="4" s="1"/>
  <c r="BM22" i="4"/>
  <c r="BM20" i="4"/>
  <c r="BM9" i="4"/>
  <c r="BQ36" i="5"/>
  <c r="BQ35" i="5"/>
  <c r="BQ34" i="5"/>
  <c r="BQ33" i="5"/>
  <c r="BQ32" i="5"/>
  <c r="BQ31" i="5" s="1"/>
  <c r="BQ20" i="5"/>
  <c r="BQ22" i="5"/>
  <c r="BQ9" i="5"/>
  <c r="BQ11" i="5" s="1"/>
  <c r="BQ13" i="5" s="1"/>
  <c r="BM29" i="3" l="1"/>
  <c r="BM31" i="3"/>
  <c r="BI50" i="4"/>
  <c r="BI49" i="4"/>
  <c r="BN27" i="3"/>
  <c r="BN18" i="3"/>
  <c r="BR35" i="5"/>
  <c r="BR34" i="5"/>
  <c r="BR36" i="5"/>
  <c r="BR32" i="5"/>
  <c r="BR31" i="5" s="1"/>
  <c r="BR33" i="5"/>
  <c r="BR22" i="5"/>
  <c r="BR9" i="5"/>
  <c r="BR11" i="5" s="1"/>
  <c r="BR13" i="5" s="1"/>
  <c r="BR20" i="5"/>
  <c r="BQ2" i="3"/>
  <c r="BP7" i="3"/>
  <c r="BH50" i="5"/>
  <c r="BI47" i="5"/>
  <c r="BR43" i="5"/>
  <c r="BR41" i="5"/>
  <c r="BR24" i="5"/>
  <c r="BR19" i="5"/>
  <c r="BS1" i="5"/>
  <c r="BN26" i="3"/>
  <c r="BN29" i="3" s="1"/>
  <c r="BL27" i="4"/>
  <c r="BL18" i="4"/>
  <c r="BL26" i="4" s="1"/>
  <c r="BQ19" i="5"/>
  <c r="BM11" i="4"/>
  <c r="BM13" i="4" s="1"/>
  <c r="BM19" i="4"/>
  <c r="BK29" i="4"/>
  <c r="H26" i="4"/>
  <c r="BP41" i="4"/>
  <c r="BP43" i="4"/>
  <c r="BP24" i="4"/>
  <c r="BQ1" i="4"/>
  <c r="BO7" i="4"/>
  <c r="BP2" i="4"/>
  <c r="BN35" i="3"/>
  <c r="BN33" i="3"/>
  <c r="BN32" i="3"/>
  <c r="BN34" i="4"/>
  <c r="BN36" i="4"/>
  <c r="BN35" i="4"/>
  <c r="BN33" i="4"/>
  <c r="BN32" i="4"/>
  <c r="BN31" i="4" s="1"/>
  <c r="BN22" i="4"/>
  <c r="BN20" i="4"/>
  <c r="BN9" i="4"/>
  <c r="BO41" i="3"/>
  <c r="BO38" i="3" s="1"/>
  <c r="BO34" i="3"/>
  <c r="BO22" i="3"/>
  <c r="BO20" i="3"/>
  <c r="BO11" i="3"/>
  <c r="BO13" i="3" s="1"/>
  <c r="BO9" i="3"/>
  <c r="BO24" i="3"/>
  <c r="BP1" i="3"/>
  <c r="BK47" i="3"/>
  <c r="BJ49" i="3"/>
  <c r="BJ50" i="3"/>
  <c r="G47" i="3"/>
  <c r="BL29" i="3"/>
  <c r="BQ38" i="5"/>
  <c r="G47" i="4"/>
  <c r="H17" i="2"/>
  <c r="BS7" i="5"/>
  <c r="BT2" i="5"/>
  <c r="BP27" i="5"/>
  <c r="BP18" i="5"/>
  <c r="BP26" i="5" s="1"/>
  <c r="BP29" i="5" s="1"/>
  <c r="BP46" i="5" s="1"/>
  <c r="BM46" i="3" l="1"/>
  <c r="BN31" i="3"/>
  <c r="BL46" i="3"/>
  <c r="BL47" i="3" s="1"/>
  <c r="BL29" i="4"/>
  <c r="BL46" i="4" s="1"/>
  <c r="BO33" i="3"/>
  <c r="BO32" i="3"/>
  <c r="BO35" i="3"/>
  <c r="BN11" i="4"/>
  <c r="BN13" i="4" s="1"/>
  <c r="BN19" i="4"/>
  <c r="BP38" i="4"/>
  <c r="BT7" i="5"/>
  <c r="BU2" i="5"/>
  <c r="BI50" i="5"/>
  <c r="BJ47" i="5"/>
  <c r="BN46" i="3"/>
  <c r="BP41" i="3"/>
  <c r="BP38" i="3" s="1"/>
  <c r="BP34" i="3"/>
  <c r="BP20" i="3"/>
  <c r="BP22" i="3"/>
  <c r="BP11" i="3"/>
  <c r="BP13" i="3" s="1"/>
  <c r="BP9" i="3"/>
  <c r="BS35" i="5"/>
  <c r="BS34" i="5"/>
  <c r="BS32" i="5"/>
  <c r="BS31" i="5" s="1"/>
  <c r="BS36" i="5"/>
  <c r="BS33" i="5"/>
  <c r="BS22" i="5"/>
  <c r="BS20" i="5"/>
  <c r="BS9" i="5"/>
  <c r="BS11" i="5" s="1"/>
  <c r="BS13" i="5" s="1"/>
  <c r="BQ2" i="4"/>
  <c r="BP7" i="4"/>
  <c r="BK46" i="4"/>
  <c r="H29" i="4"/>
  <c r="H19" i="2" s="1"/>
  <c r="BS43" i="5"/>
  <c r="BS41" i="5"/>
  <c r="BS24" i="5"/>
  <c r="BT1" i="5"/>
  <c r="BQ7" i="3"/>
  <c r="BR2" i="3"/>
  <c r="BP24" i="3"/>
  <c r="BQ1" i="3"/>
  <c r="BO33" i="4"/>
  <c r="BO36" i="4"/>
  <c r="BO32" i="4"/>
  <c r="BO31" i="4" s="1"/>
  <c r="BO35" i="4"/>
  <c r="BO34" i="4"/>
  <c r="BO20" i="4"/>
  <c r="BO22" i="4"/>
  <c r="BO9" i="4"/>
  <c r="BM27" i="4"/>
  <c r="BM18" i="4"/>
  <c r="BM26" i="4" s="1"/>
  <c r="BR27" i="5"/>
  <c r="BR18" i="5"/>
  <c r="BR26" i="5" s="1"/>
  <c r="BR29" i="5" s="1"/>
  <c r="BR46" i="5" s="1"/>
  <c r="BO49" i="5"/>
  <c r="BQ41" i="4"/>
  <c r="BQ43" i="4"/>
  <c r="BQ24" i="4"/>
  <c r="BR1" i="4"/>
  <c r="BO19" i="3"/>
  <c r="BO36" i="3" s="1"/>
  <c r="BQ27" i="5"/>
  <c r="BQ18" i="5"/>
  <c r="BQ26" i="5" s="1"/>
  <c r="BR38" i="5"/>
  <c r="BK50" i="3" l="1"/>
  <c r="BK49" i="3"/>
  <c r="BL49" i="3" s="1"/>
  <c r="BO31" i="3"/>
  <c r="BM29" i="4"/>
  <c r="BM46" i="4" s="1"/>
  <c r="BR7" i="3"/>
  <c r="BS2" i="3"/>
  <c r="BK47" i="4"/>
  <c r="BK49" i="4"/>
  <c r="H46" i="4"/>
  <c r="H20" i="2" s="1"/>
  <c r="H21" i="2" s="1"/>
  <c r="S11" i="1" s="1"/>
  <c r="BJ49" i="4"/>
  <c r="BJ50" i="4"/>
  <c r="BT36" i="5"/>
  <c r="BT35" i="5"/>
  <c r="BT34" i="5"/>
  <c r="BT33" i="5"/>
  <c r="BT32" i="5"/>
  <c r="BT31" i="5" s="1"/>
  <c r="BT20" i="5"/>
  <c r="BT22" i="5"/>
  <c r="BT9" i="5"/>
  <c r="BT11" i="5" s="1"/>
  <c r="BT13" i="5" s="1"/>
  <c r="BQ41" i="3"/>
  <c r="BQ36" i="3"/>
  <c r="BQ34" i="3"/>
  <c r="BQ20" i="3"/>
  <c r="BQ11" i="3"/>
  <c r="BQ13" i="3" s="1"/>
  <c r="BQ22" i="3"/>
  <c r="BQ9" i="3"/>
  <c r="BQ19" i="3" s="1"/>
  <c r="BP36" i="4"/>
  <c r="BP35" i="4"/>
  <c r="BP34" i="4"/>
  <c r="BP33" i="4"/>
  <c r="BP32" i="4"/>
  <c r="BP31" i="4" s="1"/>
  <c r="BP20" i="4"/>
  <c r="BP9" i="4"/>
  <c r="BP22" i="4"/>
  <c r="BQ29" i="5"/>
  <c r="BQ46" i="5" s="1"/>
  <c r="BQ38" i="4"/>
  <c r="BT43" i="5"/>
  <c r="BT41" i="5"/>
  <c r="BT38" i="5" s="1"/>
  <c r="BT24" i="5"/>
  <c r="BT19" i="5"/>
  <c r="BU1" i="5"/>
  <c r="BR2" i="4"/>
  <c r="BQ7" i="4"/>
  <c r="BM49" i="3"/>
  <c r="BN27" i="4"/>
  <c r="BN18" i="4"/>
  <c r="BN26" i="4" s="1"/>
  <c r="BP33" i="3"/>
  <c r="BP32" i="3"/>
  <c r="BP35" i="3"/>
  <c r="BJ50" i="5"/>
  <c r="G47" i="5"/>
  <c r="BK47" i="5"/>
  <c r="BO11" i="4"/>
  <c r="BO13" i="4" s="1"/>
  <c r="BO19" i="4"/>
  <c r="BO27" i="3"/>
  <c r="BO18" i="3"/>
  <c r="BO26" i="3" s="1"/>
  <c r="BQ24" i="3"/>
  <c r="BR1" i="3"/>
  <c r="BS19" i="5"/>
  <c r="BP19" i="3"/>
  <c r="BP36" i="3" s="1"/>
  <c r="BS38" i="5"/>
  <c r="BR41" i="4"/>
  <c r="BR43" i="4"/>
  <c r="BR24" i="4"/>
  <c r="BS1" i="4"/>
  <c r="BL49" i="4"/>
  <c r="BL50" i="3"/>
  <c r="BM47" i="3"/>
  <c r="BM50" i="3" s="1"/>
  <c r="BV2" i="5"/>
  <c r="BU7" i="5"/>
  <c r="BQ38" i="3" l="1"/>
  <c r="BP31" i="3"/>
  <c r="BO29" i="3"/>
  <c r="BR38" i="4"/>
  <c r="BN47" i="3"/>
  <c r="BK50" i="5"/>
  <c r="BL47" i="5"/>
  <c r="BP27" i="3"/>
  <c r="BP18" i="3"/>
  <c r="BP26" i="3" s="1"/>
  <c r="BQ36" i="4"/>
  <c r="BQ32" i="4"/>
  <c r="BQ31" i="4" s="1"/>
  <c r="BQ35" i="4"/>
  <c r="BQ33" i="4"/>
  <c r="BQ34" i="4"/>
  <c r="BQ22" i="4"/>
  <c r="BQ20" i="4"/>
  <c r="BQ9" i="4"/>
  <c r="BS7" i="3"/>
  <c r="BT2" i="3"/>
  <c r="BS41" i="4"/>
  <c r="BS43" i="4"/>
  <c r="BS24" i="4"/>
  <c r="BT1" i="4"/>
  <c r="BS27" i="5"/>
  <c r="BS18" i="5"/>
  <c r="BS26" i="5" s="1"/>
  <c r="BS2" i="4"/>
  <c r="BR7" i="4"/>
  <c r="BQ49" i="5"/>
  <c r="BP49" i="5"/>
  <c r="BR41" i="3"/>
  <c r="BR38" i="3" s="1"/>
  <c r="BR34" i="3"/>
  <c r="BR22" i="3"/>
  <c r="BR11" i="3"/>
  <c r="BR9" i="3"/>
  <c r="BR19" i="3" s="1"/>
  <c r="BR36" i="3" s="1"/>
  <c r="BR20" i="3"/>
  <c r="BU36" i="5"/>
  <c r="BU34" i="5"/>
  <c r="BU35" i="5"/>
  <c r="BU33" i="5"/>
  <c r="BU32" i="5"/>
  <c r="BU31" i="5" s="1"/>
  <c r="BU22" i="5"/>
  <c r="BU20" i="5"/>
  <c r="BU9" i="5"/>
  <c r="BU11" i="5" s="1"/>
  <c r="BU13" i="5" s="1"/>
  <c r="BR24" i="3"/>
  <c r="BS1" i="3"/>
  <c r="BU43" i="5"/>
  <c r="BU41" i="5"/>
  <c r="BU24" i="5"/>
  <c r="BU19" i="5"/>
  <c r="BV1" i="5"/>
  <c r="BQ33" i="3"/>
  <c r="BQ32" i="3"/>
  <c r="BQ35" i="3"/>
  <c r="BW2" i="5"/>
  <c r="BV7" i="5"/>
  <c r="BK50" i="4"/>
  <c r="BL47" i="4"/>
  <c r="BO27" i="4"/>
  <c r="BO18" i="4"/>
  <c r="BO26" i="4" s="1"/>
  <c r="BN29" i="4"/>
  <c r="BN46" i="4" s="1"/>
  <c r="BT27" i="5"/>
  <c r="BT18" i="5"/>
  <c r="BP11" i="4"/>
  <c r="BP13" i="4" s="1"/>
  <c r="BP19" i="4"/>
  <c r="BQ27" i="3"/>
  <c r="BQ18" i="3"/>
  <c r="BQ26" i="3" s="1"/>
  <c r="BQ29" i="3" s="1"/>
  <c r="BT26" i="5"/>
  <c r="BT29" i="5" s="1"/>
  <c r="BT46" i="5" s="1"/>
  <c r="BP29" i="3" l="1"/>
  <c r="BP46" i="3" s="1"/>
  <c r="BQ31" i="3"/>
  <c r="BQ46" i="3" s="1"/>
  <c r="BO46" i="3"/>
  <c r="BR13" i="3"/>
  <c r="BN50" i="3"/>
  <c r="BO47" i="3"/>
  <c r="BO50" i="3" s="1"/>
  <c r="BO29" i="4"/>
  <c r="BO46" i="4" s="1"/>
  <c r="BT2" i="4"/>
  <c r="BS7" i="4"/>
  <c r="BR27" i="3"/>
  <c r="BR18" i="3"/>
  <c r="BR26" i="3" s="1"/>
  <c r="BS29" i="5"/>
  <c r="BS46" i="5" s="1"/>
  <c r="BS41" i="3"/>
  <c r="BS36" i="3"/>
  <c r="BS34" i="3"/>
  <c r="BS22" i="3"/>
  <c r="BS20" i="3"/>
  <c r="BS11" i="3"/>
  <c r="BS13" i="3" s="1"/>
  <c r="BS9" i="3"/>
  <c r="BS19" i="3" s="1"/>
  <c r="BQ11" i="4"/>
  <c r="BQ13" i="4" s="1"/>
  <c r="BQ19" i="4"/>
  <c r="BP47" i="3"/>
  <c r="BU27" i="5"/>
  <c r="BU18" i="5"/>
  <c r="BT43" i="4"/>
  <c r="BT41" i="4"/>
  <c r="BT24" i="4"/>
  <c r="BU1" i="4"/>
  <c r="BU26" i="5"/>
  <c r="BU29" i="5" s="1"/>
  <c r="BL50" i="5"/>
  <c r="BM47" i="5"/>
  <c r="BV36" i="5"/>
  <c r="BV35" i="5"/>
  <c r="BV34" i="5"/>
  <c r="BV33" i="5"/>
  <c r="BV32" i="5"/>
  <c r="BV31" i="5" s="1"/>
  <c r="BV22" i="5"/>
  <c r="BV20" i="5"/>
  <c r="H20" i="5" s="1"/>
  <c r="BV9" i="5"/>
  <c r="H7" i="5"/>
  <c r="H26" i="2" s="1"/>
  <c r="BU38" i="5"/>
  <c r="BV43" i="5"/>
  <c r="BV41" i="5"/>
  <c r="BV24" i="5"/>
  <c r="BV19" i="5"/>
  <c r="BW1" i="5"/>
  <c r="BL50" i="4"/>
  <c r="BM47" i="4"/>
  <c r="BM50" i="4" s="1"/>
  <c r="BW7" i="5"/>
  <c r="BX2" i="5"/>
  <c r="BR33" i="3"/>
  <c r="BR32" i="3"/>
  <c r="BR35" i="3"/>
  <c r="BT7" i="3"/>
  <c r="BU2" i="3"/>
  <c r="BP27" i="4"/>
  <c r="BP18" i="4"/>
  <c r="BP26" i="4" s="1"/>
  <c r="BN47" i="4"/>
  <c r="BN50" i="4" s="1"/>
  <c r="BN49" i="4"/>
  <c r="BM49" i="4"/>
  <c r="BS24" i="3"/>
  <c r="BT1" i="3"/>
  <c r="BR36" i="4"/>
  <c r="BR35" i="4"/>
  <c r="BR33" i="4"/>
  <c r="BR32" i="4"/>
  <c r="BR31" i="4" s="1"/>
  <c r="BR34" i="4"/>
  <c r="BR9" i="4"/>
  <c r="BR20" i="4"/>
  <c r="BR22" i="4"/>
  <c r="BS38" i="4"/>
  <c r="BR29" i="3" l="1"/>
  <c r="BS38" i="3"/>
  <c r="BR31" i="3"/>
  <c r="BR46" i="3" s="1"/>
  <c r="BQ49" i="3" s="1"/>
  <c r="BN49" i="3"/>
  <c r="BO49" i="3" s="1"/>
  <c r="BR11" i="4"/>
  <c r="BR13" i="4" s="1"/>
  <c r="BR19" i="4"/>
  <c r="BU43" i="4"/>
  <c r="BU41" i="4"/>
  <c r="BU38" i="4" s="1"/>
  <c r="BU24" i="4"/>
  <c r="BV1" i="4"/>
  <c r="D24" i="5"/>
  <c r="E24" i="5"/>
  <c r="F24" i="5"/>
  <c r="G24" i="5"/>
  <c r="H24" i="5"/>
  <c r="BM50" i="5"/>
  <c r="BN47" i="5"/>
  <c r="BS49" i="5"/>
  <c r="BR49" i="5"/>
  <c r="BW43" i="5"/>
  <c r="BW41" i="5"/>
  <c r="BW24" i="5"/>
  <c r="BX1" i="5"/>
  <c r="BS27" i="3"/>
  <c r="BS18" i="3"/>
  <c r="BS26" i="3" s="1"/>
  <c r="BV38" i="5"/>
  <c r="E41" i="5"/>
  <c r="F41" i="5"/>
  <c r="G41" i="5"/>
  <c r="H41" i="5"/>
  <c r="BT38" i="4"/>
  <c r="BS32" i="3"/>
  <c r="BS35" i="3"/>
  <c r="BS33" i="3"/>
  <c r="BQ27" i="4"/>
  <c r="BQ18" i="4"/>
  <c r="BQ26" i="4" s="1"/>
  <c r="BX7" i="5"/>
  <c r="BY2" i="5"/>
  <c r="D43" i="5"/>
  <c r="E43" i="5"/>
  <c r="F43" i="5"/>
  <c r="G43" i="5"/>
  <c r="H43" i="5"/>
  <c r="BP29" i="4"/>
  <c r="BP46" i="4" s="1"/>
  <c r="BW36" i="5"/>
  <c r="I36" i="5" s="1"/>
  <c r="BW35" i="5"/>
  <c r="I35" i="5" s="1"/>
  <c r="BW33" i="5"/>
  <c r="I33" i="5" s="1"/>
  <c r="BW32" i="5"/>
  <c r="BW34" i="5"/>
  <c r="I34" i="5" s="1"/>
  <c r="BW22" i="5"/>
  <c r="I22" i="5" s="1"/>
  <c r="BW20" i="5"/>
  <c r="BW9" i="5"/>
  <c r="BW11" i="5" s="1"/>
  <c r="BU46" i="5"/>
  <c r="BS36" i="4"/>
  <c r="BS35" i="4"/>
  <c r="BS34" i="4"/>
  <c r="BS33" i="4"/>
  <c r="BS32" i="4"/>
  <c r="BS31" i="4" s="1"/>
  <c r="BS9" i="4"/>
  <c r="BS22" i="4"/>
  <c r="BS20" i="4"/>
  <c r="BT7" i="4"/>
  <c r="BU2" i="4"/>
  <c r="BT41" i="3"/>
  <c r="BT38" i="3" s="1"/>
  <c r="BT34" i="3"/>
  <c r="BT22" i="3"/>
  <c r="BT9" i="3"/>
  <c r="BT20" i="3"/>
  <c r="BT11" i="3"/>
  <c r="BT13" i="3" s="1"/>
  <c r="BV27" i="5"/>
  <c r="BV18" i="5"/>
  <c r="BV26" i="5" s="1"/>
  <c r="BV29" i="5" s="1"/>
  <c r="BV46" i="5" s="1"/>
  <c r="BT24" i="3"/>
  <c r="BU1" i="3"/>
  <c r="BU7" i="3"/>
  <c r="BV2" i="3"/>
  <c r="BV11" i="5"/>
  <c r="BV13" i="5" s="1"/>
  <c r="H9" i="5"/>
  <c r="H27" i="2" s="1"/>
  <c r="BQ47" i="3"/>
  <c r="BO47" i="4"/>
  <c r="BP50" i="3"/>
  <c r="BP49" i="3"/>
  <c r="BQ50" i="3" l="1"/>
  <c r="BS31" i="3"/>
  <c r="BS29" i="3"/>
  <c r="BO50" i="4"/>
  <c r="BV49" i="5"/>
  <c r="I11" i="5"/>
  <c r="BW13" i="5"/>
  <c r="I13" i="5" s="1"/>
  <c r="I29" i="2" s="1"/>
  <c r="BP49" i="4"/>
  <c r="BP47" i="4"/>
  <c r="BO49" i="4"/>
  <c r="BY7" i="5"/>
  <c r="BZ2" i="5"/>
  <c r="BW19" i="5"/>
  <c r="BN50" i="5"/>
  <c r="BO47" i="5"/>
  <c r="BV43" i="4"/>
  <c r="BV41" i="4"/>
  <c r="BV24" i="4"/>
  <c r="BW1" i="4"/>
  <c r="BU24" i="3"/>
  <c r="BV1" i="3"/>
  <c r="BS11" i="4"/>
  <c r="BS13" i="4" s="1"/>
  <c r="BS19" i="4"/>
  <c r="BR47" i="3"/>
  <c r="BX36" i="5"/>
  <c r="BX35" i="5"/>
  <c r="BX34" i="5"/>
  <c r="BX33" i="5"/>
  <c r="BX32" i="5"/>
  <c r="BX31" i="5" s="1"/>
  <c r="BX22" i="5"/>
  <c r="BX20" i="5"/>
  <c r="BX9" i="5"/>
  <c r="BX11" i="5" s="1"/>
  <c r="BX13" i="5" s="1"/>
  <c r="BT32" i="3"/>
  <c r="BT35" i="3"/>
  <c r="BT33" i="3"/>
  <c r="BT19" i="3"/>
  <c r="BT36" i="3" s="1"/>
  <c r="BQ29" i="4"/>
  <c r="BQ46" i="4" s="1"/>
  <c r="BW38" i="5"/>
  <c r="I32" i="5"/>
  <c r="I31" i="5" s="1"/>
  <c r="BW31" i="5"/>
  <c r="D38" i="5"/>
  <c r="E38" i="5"/>
  <c r="F38" i="5"/>
  <c r="G38" i="5"/>
  <c r="H38" i="5"/>
  <c r="BU41" i="3"/>
  <c r="BU38" i="3" s="1"/>
  <c r="BU34" i="3"/>
  <c r="BU36" i="3"/>
  <c r="BU22" i="3"/>
  <c r="BU20" i="3"/>
  <c r="BU9" i="3"/>
  <c r="BU19" i="3" s="1"/>
  <c r="BU11" i="3"/>
  <c r="BU13" i="3" s="1"/>
  <c r="BR18" i="4"/>
  <c r="BR26" i="4" s="1"/>
  <c r="BR27" i="4"/>
  <c r="BU7" i="4"/>
  <c r="BV2" i="4"/>
  <c r="BT35" i="4"/>
  <c r="BT36" i="4"/>
  <c r="BT34" i="4"/>
  <c r="BT22" i="4"/>
  <c r="BT32" i="4"/>
  <c r="BT31" i="4" s="1"/>
  <c r="BT20" i="4"/>
  <c r="BT9" i="4"/>
  <c r="BT33" i="4"/>
  <c r="BV7" i="3"/>
  <c r="BW2" i="3"/>
  <c r="BU49" i="5"/>
  <c r="BT49" i="5"/>
  <c r="BX43" i="5"/>
  <c r="BX41" i="5"/>
  <c r="BX38" i="5" s="1"/>
  <c r="BX24" i="5"/>
  <c r="BY1" i="5"/>
  <c r="BX19" i="5"/>
  <c r="BT31" i="3" l="1"/>
  <c r="BS46" i="3"/>
  <c r="BR50" i="3"/>
  <c r="BU18" i="3"/>
  <c r="BU26" i="3" s="1"/>
  <c r="BU27" i="3"/>
  <c r="BV24" i="3"/>
  <c r="BW1" i="3"/>
  <c r="BO50" i="5"/>
  <c r="BP47" i="5"/>
  <c r="I28" i="2"/>
  <c r="BT27" i="3"/>
  <c r="BT18" i="3"/>
  <c r="BT26" i="3" s="1"/>
  <c r="BT11" i="4"/>
  <c r="BT13" i="4" s="1"/>
  <c r="BT19" i="4"/>
  <c r="BR29" i="4"/>
  <c r="BR46" i="4" s="1"/>
  <c r="BW27" i="5"/>
  <c r="I27" i="5" s="1"/>
  <c r="I19" i="5"/>
  <c r="I18" i="5" s="1"/>
  <c r="BW18" i="5"/>
  <c r="BW26" i="5" s="1"/>
  <c r="BW2" i="4"/>
  <c r="BV7" i="4"/>
  <c r="D43" i="4"/>
  <c r="E43" i="4"/>
  <c r="F43" i="4"/>
  <c r="G43" i="4"/>
  <c r="H43" i="4"/>
  <c r="BW43" i="4"/>
  <c r="BW41" i="4"/>
  <c r="BW24" i="4"/>
  <c r="BX1" i="4"/>
  <c r="BZ7" i="5"/>
  <c r="CA2" i="5"/>
  <c r="BU35" i="4"/>
  <c r="BU34" i="4"/>
  <c r="BU36" i="4"/>
  <c r="BU33" i="4"/>
  <c r="BU32" i="4"/>
  <c r="BU31" i="4" s="1"/>
  <c r="BU22" i="4"/>
  <c r="BU20" i="4"/>
  <c r="BU9" i="4"/>
  <c r="BU35" i="3"/>
  <c r="BU33" i="3"/>
  <c r="BU32" i="3"/>
  <c r="BY36" i="5"/>
  <c r="BY35" i="5"/>
  <c r="BY34" i="5"/>
  <c r="BY33" i="5"/>
  <c r="BY32" i="5"/>
  <c r="BY31" i="5" s="1"/>
  <c r="BY22" i="5"/>
  <c r="BY20" i="5"/>
  <c r="BY9" i="5"/>
  <c r="BY11" i="5" s="1"/>
  <c r="BY13" i="5" s="1"/>
  <c r="BX27" i="5"/>
  <c r="BX18" i="5"/>
  <c r="BX26" i="5" s="1"/>
  <c r="BX29" i="5" s="1"/>
  <c r="BX46" i="5" s="1"/>
  <c r="BW7" i="3"/>
  <c r="BX2" i="3"/>
  <c r="E24" i="4"/>
  <c r="F24" i="4"/>
  <c r="G24" i="4"/>
  <c r="H24" i="4"/>
  <c r="BS47" i="3"/>
  <c r="BY43" i="5"/>
  <c r="BY41" i="5"/>
  <c r="BY38" i="5" s="1"/>
  <c r="BY24" i="5"/>
  <c r="BY19" i="5"/>
  <c r="BZ1" i="5"/>
  <c r="BV34" i="3"/>
  <c r="BV22" i="3"/>
  <c r="BV20" i="3"/>
  <c r="BV41" i="3"/>
  <c r="BV11" i="3"/>
  <c r="BV9" i="3"/>
  <c r="BQ49" i="4"/>
  <c r="BQ47" i="4"/>
  <c r="BQ50" i="4" s="1"/>
  <c r="BS27" i="4"/>
  <c r="BS18" i="4"/>
  <c r="BS26" i="4" s="1"/>
  <c r="BV38" i="4"/>
  <c r="D41" i="4"/>
  <c r="E41" i="4"/>
  <c r="F41" i="4"/>
  <c r="G41" i="4"/>
  <c r="H41" i="4"/>
  <c r="BP50" i="4"/>
  <c r="BU29" i="3" l="1"/>
  <c r="BV13" i="3"/>
  <c r="E11" i="3"/>
  <c r="F11" i="3"/>
  <c r="G11" i="3"/>
  <c r="H11" i="3"/>
  <c r="H20" i="3"/>
  <c r="D34" i="3"/>
  <c r="E34" i="3"/>
  <c r="F34" i="3"/>
  <c r="G34" i="3"/>
  <c r="H34" i="3"/>
  <c r="D36" i="3"/>
  <c r="E36" i="3"/>
  <c r="F36" i="3"/>
  <c r="G36" i="3"/>
  <c r="BV38" i="3"/>
  <c r="D41" i="3"/>
  <c r="E41" i="3"/>
  <c r="G41" i="3"/>
  <c r="H41" i="3"/>
  <c r="D22" i="3"/>
  <c r="E22" i="3"/>
  <c r="F22" i="3"/>
  <c r="G22" i="3"/>
  <c r="H22" i="3"/>
  <c r="BU31" i="3"/>
  <c r="BR49" i="3"/>
  <c r="BT29" i="3"/>
  <c r="BX49" i="5"/>
  <c r="BW7" i="4"/>
  <c r="BX2" i="4"/>
  <c r="BV35" i="3"/>
  <c r="BV33" i="3"/>
  <c r="BV32" i="3"/>
  <c r="H9" i="3"/>
  <c r="H5" i="2" s="1"/>
  <c r="BY27" i="5"/>
  <c r="BY18" i="5"/>
  <c r="BY26" i="5" s="1"/>
  <c r="BY29" i="5" s="1"/>
  <c r="BY46" i="5" s="1"/>
  <c r="BW38" i="4"/>
  <c r="D38" i="4"/>
  <c r="E38" i="4"/>
  <c r="F38" i="4"/>
  <c r="G38" i="4"/>
  <c r="H38" i="4"/>
  <c r="BW29" i="5"/>
  <c r="I26" i="5"/>
  <c r="BV19" i="3"/>
  <c r="BV36" i="3" s="1"/>
  <c r="H36" i="3" s="1"/>
  <c r="BV34" i="4"/>
  <c r="BV36" i="4"/>
  <c r="BV35" i="4"/>
  <c r="BV33" i="4"/>
  <c r="BV32" i="4"/>
  <c r="BV31" i="4" s="1"/>
  <c r="BV22" i="4"/>
  <c r="BV20" i="4"/>
  <c r="H20" i="4" s="1"/>
  <c r="BV9" i="4"/>
  <c r="H7" i="4"/>
  <c r="H15" i="2" s="1"/>
  <c r="BP50" i="5"/>
  <c r="BQ47" i="5"/>
  <c r="BS29" i="4"/>
  <c r="BS46" i="4" s="1"/>
  <c r="BR49" i="4" s="1"/>
  <c r="BY2" i="3"/>
  <c r="BX7" i="3"/>
  <c r="BU11" i="4"/>
  <c r="BU13" i="4" s="1"/>
  <c r="BU19" i="4"/>
  <c r="CA7" i="5"/>
  <c r="CB2" i="5"/>
  <c r="BX1" i="3"/>
  <c r="BW24" i="3"/>
  <c r="BW41" i="3"/>
  <c r="BW34" i="3"/>
  <c r="BW36" i="3"/>
  <c r="BW22" i="3"/>
  <c r="BW20" i="3"/>
  <c r="BW11" i="3"/>
  <c r="BW9" i="3"/>
  <c r="BZ35" i="5"/>
  <c r="BZ34" i="5"/>
  <c r="BZ36" i="5"/>
  <c r="BZ32" i="5"/>
  <c r="BZ31" i="5" s="1"/>
  <c r="BZ33" i="5"/>
  <c r="BZ22" i="5"/>
  <c r="BZ9" i="5"/>
  <c r="BZ11" i="5" s="1"/>
  <c r="BZ13" i="5" s="1"/>
  <c r="BZ20" i="5"/>
  <c r="D24" i="3"/>
  <c r="E24" i="3"/>
  <c r="F24" i="3"/>
  <c r="G24" i="3"/>
  <c r="H24" i="3"/>
  <c r="BX41" i="4"/>
  <c r="BX43" i="4"/>
  <c r="BX24" i="4"/>
  <c r="BY1" i="4"/>
  <c r="BU46" i="3"/>
  <c r="BR47" i="4"/>
  <c r="BZ43" i="5"/>
  <c r="BZ41" i="5"/>
  <c r="BZ38" i="5" s="1"/>
  <c r="BZ24" i="5"/>
  <c r="CA1" i="5"/>
  <c r="BT27" i="4"/>
  <c r="BT18" i="4"/>
  <c r="BT26" i="4" s="1"/>
  <c r="BT29" i="4" s="1"/>
  <c r="BT46" i="4" s="1"/>
  <c r="BV31" i="3" l="1"/>
  <c r="D32" i="3"/>
  <c r="E32" i="3"/>
  <c r="F32" i="3"/>
  <c r="G32" i="3"/>
  <c r="BT46" i="3"/>
  <c r="D35" i="3"/>
  <c r="E35" i="3"/>
  <c r="F35" i="3"/>
  <c r="G35" i="3"/>
  <c r="H35" i="3"/>
  <c r="H6" i="2"/>
  <c r="H7" i="3"/>
  <c r="H4" i="2" s="1"/>
  <c r="D33" i="3"/>
  <c r="E33" i="3"/>
  <c r="F33" i="3"/>
  <c r="G33" i="3"/>
  <c r="H33" i="3"/>
  <c r="H32" i="3"/>
  <c r="G6" i="2"/>
  <c r="G7" i="3"/>
  <c r="G4" i="2" s="1"/>
  <c r="G20" i="3"/>
  <c r="G9" i="3"/>
  <c r="G5" i="2" s="1"/>
  <c r="D19" i="3"/>
  <c r="D18" i="3" s="1"/>
  <c r="E19" i="3"/>
  <c r="F19" i="3"/>
  <c r="G19" i="3"/>
  <c r="H19" i="3"/>
  <c r="H18" i="3" s="1"/>
  <c r="F6" i="2"/>
  <c r="F7" i="3"/>
  <c r="F4" i="2" s="1"/>
  <c r="F20" i="3"/>
  <c r="F9" i="3"/>
  <c r="F5" i="2" s="1"/>
  <c r="E6" i="2"/>
  <c r="E7" i="3"/>
  <c r="E4" i="2" s="1"/>
  <c r="E20" i="3"/>
  <c r="E9" i="3"/>
  <c r="E5" i="2" s="1"/>
  <c r="D38" i="3"/>
  <c r="E38" i="3"/>
  <c r="F38" i="3"/>
  <c r="G38" i="3"/>
  <c r="H38" i="3"/>
  <c r="D13" i="3"/>
  <c r="D7" i="2" s="1"/>
  <c r="E13" i="3"/>
  <c r="E7" i="2" s="1"/>
  <c r="F13" i="3"/>
  <c r="F7" i="2" s="1"/>
  <c r="G13" i="3"/>
  <c r="G7" i="2" s="1"/>
  <c r="H13" i="3"/>
  <c r="H7" i="2" s="1"/>
  <c r="BY49" i="5"/>
  <c r="BW33" i="3"/>
  <c r="BW32" i="3"/>
  <c r="BW35" i="3"/>
  <c r="BX38" i="4"/>
  <c r="BW13" i="3"/>
  <c r="BW19" i="3"/>
  <c r="BQ50" i="5"/>
  <c r="BR47" i="5"/>
  <c r="BW33" i="4"/>
  <c r="I33" i="4" s="1"/>
  <c r="BW36" i="4"/>
  <c r="I36" i="4" s="1"/>
  <c r="BW34" i="4"/>
  <c r="I34" i="4" s="1"/>
  <c r="BW35" i="4"/>
  <c r="I35" i="4" s="1"/>
  <c r="BW32" i="4"/>
  <c r="BW22" i="4"/>
  <c r="I22" i="4" s="1"/>
  <c r="BW20" i="4"/>
  <c r="BW9" i="4"/>
  <c r="BR50" i="4"/>
  <c r="CB7" i="5"/>
  <c r="CC2" i="5"/>
  <c r="BY2" i="4"/>
  <c r="BX7" i="4"/>
  <c r="BU27" i="4"/>
  <c r="BU18" i="4"/>
  <c r="BU26" i="4" s="1"/>
  <c r="BV11" i="4"/>
  <c r="BV13" i="4" s="1"/>
  <c r="H9" i="4"/>
  <c r="H16" i="2" s="1"/>
  <c r="BV19" i="4"/>
  <c r="BV27" i="3"/>
  <c r="BV18" i="3"/>
  <c r="BV26" i="3" s="1"/>
  <c r="BS47" i="4"/>
  <c r="BS50" i="4" s="1"/>
  <c r="BS49" i="4"/>
  <c r="CA43" i="5"/>
  <c r="CA41" i="5"/>
  <c r="CA24" i="5"/>
  <c r="CB1" i="5"/>
  <c r="BY41" i="4"/>
  <c r="BY43" i="4"/>
  <c r="BY24" i="4"/>
  <c r="BZ1" i="4"/>
  <c r="BZ19" i="5"/>
  <c r="BW38" i="3"/>
  <c r="BX41" i="3"/>
  <c r="BX38" i="3" s="1"/>
  <c r="BX34" i="3"/>
  <c r="BX36" i="3"/>
  <c r="BX20" i="3"/>
  <c r="BX22" i="3"/>
  <c r="BX11" i="3"/>
  <c r="BX13" i="3" s="1"/>
  <c r="BX9" i="3"/>
  <c r="BX19" i="3" s="1"/>
  <c r="BW46" i="5"/>
  <c r="I29" i="5"/>
  <c r="I30" i="2" s="1"/>
  <c r="BX24" i="3"/>
  <c r="BY1" i="3"/>
  <c r="CA35" i="5"/>
  <c r="CA34" i="5"/>
  <c r="CA32" i="5"/>
  <c r="CA31" i="5" s="1"/>
  <c r="CA36" i="5"/>
  <c r="CA22" i="5"/>
  <c r="CA33" i="5"/>
  <c r="CA20" i="5"/>
  <c r="CA9" i="5"/>
  <c r="CA11" i="5" s="1"/>
  <c r="CA13" i="5" s="1"/>
  <c r="BZ2" i="3"/>
  <c r="BY7" i="3"/>
  <c r="BS50" i="3" l="1"/>
  <c r="BT47" i="3"/>
  <c r="BS49" i="3"/>
  <c r="BT49" i="3" s="1"/>
  <c r="D27" i="3"/>
  <c r="E27" i="3"/>
  <c r="F27" i="3"/>
  <c r="G27" i="3"/>
  <c r="H27" i="3"/>
  <c r="G18" i="3"/>
  <c r="G31" i="3"/>
  <c r="F18" i="3"/>
  <c r="H31" i="3"/>
  <c r="F31" i="3"/>
  <c r="D26" i="3"/>
  <c r="E26" i="3"/>
  <c r="F26" i="3"/>
  <c r="G26" i="3"/>
  <c r="H26" i="3"/>
  <c r="E18" i="3"/>
  <c r="E31" i="3"/>
  <c r="D31" i="3"/>
  <c r="BU29" i="4"/>
  <c r="BU46" i="4" s="1"/>
  <c r="BT49" i="4" s="1"/>
  <c r="CB43" i="5"/>
  <c r="CB41" i="5"/>
  <c r="CB24" i="5"/>
  <c r="CC1" i="5"/>
  <c r="CB19" i="5"/>
  <c r="BW31" i="3"/>
  <c r="CD2" i="5"/>
  <c r="CC7" i="5"/>
  <c r="CA19" i="5"/>
  <c r="BW11" i="4"/>
  <c r="BW19" i="4"/>
  <c r="BR50" i="5"/>
  <c r="BS47" i="5"/>
  <c r="I46" i="5"/>
  <c r="I31" i="2" s="1"/>
  <c r="I32" i="2" s="1"/>
  <c r="T13" i="1" s="1"/>
  <c r="BW49" i="5"/>
  <c r="BX33" i="3"/>
  <c r="BX32" i="3"/>
  <c r="BX35" i="3"/>
  <c r="BY24" i="3"/>
  <c r="BZ1" i="3"/>
  <c r="BZ27" i="5"/>
  <c r="BZ18" i="5"/>
  <c r="BZ26" i="5" s="1"/>
  <c r="BZ29" i="5" s="1"/>
  <c r="BZ46" i="5" s="1"/>
  <c r="BT47" i="4"/>
  <c r="BT50" i="4" s="1"/>
  <c r="BY38" i="4"/>
  <c r="BZ41" i="4"/>
  <c r="BZ43" i="4"/>
  <c r="BZ24" i="4"/>
  <c r="CA1" i="4"/>
  <c r="CA38" i="5"/>
  <c r="BV29" i="3"/>
  <c r="BW27" i="3"/>
  <c r="BW18" i="3"/>
  <c r="BW26" i="3" s="1"/>
  <c r="CB36" i="5"/>
  <c r="CB35" i="5"/>
  <c r="CB33" i="5"/>
  <c r="CB34" i="5"/>
  <c r="CB32" i="5"/>
  <c r="CB31" i="5" s="1"/>
  <c r="CB22" i="5"/>
  <c r="CB20" i="5"/>
  <c r="CB9" i="5"/>
  <c r="CB11" i="5" s="1"/>
  <c r="CB13" i="5" s="1"/>
  <c r="BY41" i="3"/>
  <c r="BY38" i="3" s="1"/>
  <c r="BY36" i="3"/>
  <c r="BY34" i="3"/>
  <c r="BY20" i="3"/>
  <c r="BY11" i="3"/>
  <c r="BY22" i="3"/>
  <c r="BY9" i="3"/>
  <c r="BX27" i="3"/>
  <c r="BX18" i="3"/>
  <c r="BX26" i="3" s="1"/>
  <c r="BX36" i="4"/>
  <c r="BX35" i="4"/>
  <c r="BX34" i="4"/>
  <c r="BX32" i="4"/>
  <c r="BX31" i="4" s="1"/>
  <c r="BX33" i="4"/>
  <c r="BX20" i="4"/>
  <c r="BX9" i="4"/>
  <c r="BX22" i="4"/>
  <c r="I32" i="4"/>
  <c r="I31" i="4" s="1"/>
  <c r="BW31" i="4"/>
  <c r="CA2" i="3"/>
  <c r="BZ7" i="3"/>
  <c r="BV27" i="4"/>
  <c r="BV18" i="4"/>
  <c r="BV26" i="4" s="1"/>
  <c r="BV29" i="4" s="1"/>
  <c r="BV46" i="4" s="1"/>
  <c r="BY7" i="4"/>
  <c r="BZ2" i="4"/>
  <c r="BX29" i="3" l="1"/>
  <c r="BU47" i="3"/>
  <c r="BT50" i="3"/>
  <c r="BX31" i="3"/>
  <c r="BX46" i="3" s="1"/>
  <c r="BY13" i="3"/>
  <c r="BV46" i="3"/>
  <c r="BV49" i="3" s="1"/>
  <c r="D29" i="3"/>
  <c r="D8" i="2" s="1"/>
  <c r="E29" i="3"/>
  <c r="E8" i="2" s="1"/>
  <c r="E10" i="2" s="1"/>
  <c r="P9" i="1" s="1"/>
  <c r="F29" i="3"/>
  <c r="F8" i="2" s="1"/>
  <c r="F10" i="2" s="1"/>
  <c r="Q9" i="1" s="1"/>
  <c r="H29" i="3"/>
  <c r="H8" i="2" s="1"/>
  <c r="BY36" i="4"/>
  <c r="BY32" i="4"/>
  <c r="BY31" i="4" s="1"/>
  <c r="BY35" i="4"/>
  <c r="BY33" i="4"/>
  <c r="BY22" i="4"/>
  <c r="BY34" i="4"/>
  <c r="BY20" i="4"/>
  <c r="BY9" i="4"/>
  <c r="BV49" i="4"/>
  <c r="BW27" i="4"/>
  <c r="I27" i="4" s="1"/>
  <c r="I19" i="4"/>
  <c r="I18" i="4" s="1"/>
  <c r="BW18" i="4"/>
  <c r="BW26" i="4" s="1"/>
  <c r="BU49" i="4"/>
  <c r="BZ7" i="4"/>
  <c r="CA2" i="4"/>
  <c r="CB27" i="5"/>
  <c r="CB18" i="5"/>
  <c r="CB26" i="5" s="1"/>
  <c r="CB29" i="5" s="1"/>
  <c r="CB46" i="5" s="1"/>
  <c r="BZ36" i="3"/>
  <c r="BZ41" i="3"/>
  <c r="BZ38" i="3" s="1"/>
  <c r="BZ22" i="3"/>
  <c r="BZ34" i="3"/>
  <c r="BZ11" i="3"/>
  <c r="BZ13" i="3" s="1"/>
  <c r="BZ20" i="3"/>
  <c r="BZ9" i="3"/>
  <c r="CA41" i="4"/>
  <c r="CA43" i="4"/>
  <c r="CA24" i="4"/>
  <c r="CB1" i="4"/>
  <c r="CA27" i="5"/>
  <c r="CA18" i="5"/>
  <c r="CA26" i="5" s="1"/>
  <c r="CC43" i="5"/>
  <c r="CC41" i="5"/>
  <c r="CC38" i="5" s="1"/>
  <c r="CC24" i="5"/>
  <c r="CC19" i="5"/>
  <c r="CD1" i="5"/>
  <c r="BW13" i="4"/>
  <c r="I13" i="4" s="1"/>
  <c r="I18" i="2" s="1"/>
  <c r="I11" i="4"/>
  <c r="CA7" i="3"/>
  <c r="CB2" i="3"/>
  <c r="BX11" i="4"/>
  <c r="BX13" i="4" s="1"/>
  <c r="BX19" i="4"/>
  <c r="BU50" i="3"/>
  <c r="BZ49" i="5"/>
  <c r="CC36" i="5"/>
  <c r="CC35" i="5"/>
  <c r="CC33" i="5"/>
  <c r="CC34" i="5"/>
  <c r="CC32" i="5"/>
  <c r="CC31" i="5" s="1"/>
  <c r="CC20" i="5"/>
  <c r="CC22" i="5"/>
  <c r="CC9" i="5"/>
  <c r="CC11" i="5" s="1"/>
  <c r="CC13" i="5" s="1"/>
  <c r="BY33" i="3"/>
  <c r="BY32" i="3"/>
  <c r="BY35" i="3"/>
  <c r="BW29" i="3"/>
  <c r="CE2" i="5"/>
  <c r="CD7" i="5"/>
  <c r="CB38" i="5"/>
  <c r="BZ19" i="3"/>
  <c r="BZ24" i="3"/>
  <c r="CA1" i="3"/>
  <c r="BZ38" i="4"/>
  <c r="BS50" i="5"/>
  <c r="BT47" i="5"/>
  <c r="BY19" i="3"/>
  <c r="BU47" i="4"/>
  <c r="BU50" i="4" s="1"/>
  <c r="BU49" i="3" l="1"/>
  <c r="D49" i="3" s="1"/>
  <c r="O11" i="2" s="1"/>
  <c r="BY31" i="3"/>
  <c r="D46" i="3"/>
  <c r="D9" i="2" s="1"/>
  <c r="G46" i="3"/>
  <c r="G9" i="2" s="1"/>
  <c r="G10" i="2" s="1"/>
  <c r="R9" i="1" s="1"/>
  <c r="H46" i="3"/>
  <c r="H9" i="2" s="1"/>
  <c r="H10" i="2" s="1"/>
  <c r="S9" i="1" s="1"/>
  <c r="BV47" i="3"/>
  <c r="BV50" i="3" s="1"/>
  <c r="D50" i="3" s="1"/>
  <c r="CB49" i="5"/>
  <c r="BX27" i="4"/>
  <c r="BX18" i="4"/>
  <c r="BX26" i="4" s="1"/>
  <c r="BX29" i="4" s="1"/>
  <c r="BX46" i="4" s="1"/>
  <c r="CA38" i="4"/>
  <c r="BY11" i="4"/>
  <c r="BY13" i="4" s="1"/>
  <c r="BY19" i="4"/>
  <c r="CB7" i="3"/>
  <c r="CC2" i="3"/>
  <c r="BZ33" i="3"/>
  <c r="BZ32" i="3"/>
  <c r="BZ35" i="3"/>
  <c r="CD36" i="5"/>
  <c r="CD35" i="5"/>
  <c r="CD34" i="5"/>
  <c r="CD33" i="5"/>
  <c r="CD32" i="5"/>
  <c r="CD31" i="5" s="1"/>
  <c r="CD20" i="5"/>
  <c r="CD9" i="5"/>
  <c r="CD11" i="5" s="1"/>
  <c r="CD13" i="5" s="1"/>
  <c r="CD22" i="5"/>
  <c r="CA41" i="3"/>
  <c r="CA38" i="3" s="1"/>
  <c r="CA36" i="3"/>
  <c r="CA34" i="3"/>
  <c r="CA22" i="3"/>
  <c r="CA20" i="3"/>
  <c r="CA11" i="3"/>
  <c r="CA13" i="3" s="1"/>
  <c r="CA9" i="3"/>
  <c r="CA19" i="3" s="1"/>
  <c r="CA29" i="5"/>
  <c r="CA46" i="5" s="1"/>
  <c r="CB2" i="4"/>
  <c r="CA7" i="4"/>
  <c r="H47" i="3"/>
  <c r="BX49" i="3"/>
  <c r="CC27" i="5"/>
  <c r="CC18" i="5"/>
  <c r="CC26" i="5" s="1"/>
  <c r="CC29" i="5" s="1"/>
  <c r="CC46" i="5" s="1"/>
  <c r="BZ27" i="3"/>
  <c r="BZ18" i="3"/>
  <c r="BZ26" i="3" s="1"/>
  <c r="CF2" i="5"/>
  <c r="CE7" i="5"/>
  <c r="I17" i="2"/>
  <c r="BZ36" i="4"/>
  <c r="BZ35" i="4"/>
  <c r="BZ33" i="4"/>
  <c r="BZ32" i="4"/>
  <c r="BZ31" i="4" s="1"/>
  <c r="BZ9" i="4"/>
  <c r="BZ34" i="4"/>
  <c r="BZ20" i="4"/>
  <c r="BZ22" i="4"/>
  <c r="BT50" i="5"/>
  <c r="BU47" i="5"/>
  <c r="CB43" i="4"/>
  <c r="CB41" i="4"/>
  <c r="CB38" i="4" s="1"/>
  <c r="CB24" i="4"/>
  <c r="CC1" i="4"/>
  <c r="BY27" i="3"/>
  <c r="BY18" i="3"/>
  <c r="BY26" i="3" s="1"/>
  <c r="CA24" i="3"/>
  <c r="CB1" i="3"/>
  <c r="BW46" i="3"/>
  <c r="CD43" i="5"/>
  <c r="CD41" i="5"/>
  <c r="CD24" i="5"/>
  <c r="CD19" i="5"/>
  <c r="CE1" i="5"/>
  <c r="I26" i="4"/>
  <c r="BW29" i="4"/>
  <c r="BV47" i="4"/>
  <c r="BZ31" i="3" l="1"/>
  <c r="D10" i="2"/>
  <c r="O9" i="1" s="1"/>
  <c r="BY29" i="3"/>
  <c r="BZ29" i="3"/>
  <c r="CC49" i="5"/>
  <c r="CA32" i="3"/>
  <c r="CA35" i="3"/>
  <c r="CA33" i="3"/>
  <c r="BV50" i="4"/>
  <c r="H47" i="4"/>
  <c r="BX49" i="4"/>
  <c r="BW49" i="3"/>
  <c r="BW47" i="3"/>
  <c r="CD2" i="3"/>
  <c r="CC7" i="3"/>
  <c r="BW46" i="4"/>
  <c r="I29" i="4"/>
  <c r="I19" i="2" s="1"/>
  <c r="CC43" i="4"/>
  <c r="CC41" i="4"/>
  <c r="CC38" i="4" s="1"/>
  <c r="CC24" i="4"/>
  <c r="CD1" i="4"/>
  <c r="CE43" i="5"/>
  <c r="CE41" i="5"/>
  <c r="CE38" i="5" s="1"/>
  <c r="CE24" i="5"/>
  <c r="CF1" i="5"/>
  <c r="CD27" i="5"/>
  <c r="CD18" i="5"/>
  <c r="CA27" i="3"/>
  <c r="CA18" i="3"/>
  <c r="CA26" i="3" s="1"/>
  <c r="CA29" i="3" s="1"/>
  <c r="CD26" i="5"/>
  <c r="CD29" i="5" s="1"/>
  <c r="CD46" i="5" s="1"/>
  <c r="CF7" i="5"/>
  <c r="CG2" i="5"/>
  <c r="CB41" i="3"/>
  <c r="CB38" i="3" s="1"/>
  <c r="CB36" i="3"/>
  <c r="CB34" i="3"/>
  <c r="CB22" i="3"/>
  <c r="CB9" i="3"/>
  <c r="CB19" i="3" s="1"/>
  <c r="CB20" i="3"/>
  <c r="CB11" i="3"/>
  <c r="CA49" i="5"/>
  <c r="CB24" i="3"/>
  <c r="CC1" i="3"/>
  <c r="BZ11" i="4"/>
  <c r="BZ13" i="4" s="1"/>
  <c r="BZ19" i="4"/>
  <c r="CE36" i="5"/>
  <c r="CE35" i="5"/>
  <c r="CE33" i="5"/>
  <c r="CE34" i="5"/>
  <c r="CE32" i="5"/>
  <c r="CE31" i="5" s="1"/>
  <c r="CE20" i="5"/>
  <c r="CE22" i="5"/>
  <c r="CE9" i="5"/>
  <c r="CE11" i="5" s="1"/>
  <c r="CE13" i="5" s="1"/>
  <c r="CD38" i="5"/>
  <c r="BU50" i="5"/>
  <c r="BV47" i="5"/>
  <c r="CA36" i="4"/>
  <c r="CA35" i="4"/>
  <c r="CA34" i="4"/>
  <c r="CA32" i="4"/>
  <c r="CA31" i="4" s="1"/>
  <c r="CA33" i="4"/>
  <c r="CA9" i="4"/>
  <c r="CA20" i="4"/>
  <c r="CA22" i="4"/>
  <c r="BY27" i="4"/>
  <c r="BY18" i="4"/>
  <c r="BY26" i="4" s="1"/>
  <c r="CB7" i="4"/>
  <c r="CC2" i="4"/>
  <c r="BZ46" i="3" l="1"/>
  <c r="BZ49" i="3" s="1"/>
  <c r="CA31" i="3"/>
  <c r="BY46" i="3"/>
  <c r="CA46" i="3"/>
  <c r="CA49" i="3" s="1"/>
  <c r="CB13" i="3"/>
  <c r="CB27" i="3"/>
  <c r="CB18" i="3"/>
  <c r="CB26" i="3" s="1"/>
  <c r="H47" i="5"/>
  <c r="BV50" i="5"/>
  <c r="BW47" i="5"/>
  <c r="CD43" i="4"/>
  <c r="CD41" i="4"/>
  <c r="CD24" i="4"/>
  <c r="CE1" i="4"/>
  <c r="CD7" i="3"/>
  <c r="CE2" i="3"/>
  <c r="CC41" i="3"/>
  <c r="CC38" i="3" s="1"/>
  <c r="CC34" i="3"/>
  <c r="CC36" i="3"/>
  <c r="CC22" i="3"/>
  <c r="CC20" i="3"/>
  <c r="CC9" i="3"/>
  <c r="CC11" i="3"/>
  <c r="CC13" i="3" s="1"/>
  <c r="CA11" i="4"/>
  <c r="CA13" i="4" s="1"/>
  <c r="CA19" i="4"/>
  <c r="BW50" i="3"/>
  <c r="BX47" i="3"/>
  <c r="CB32" i="3"/>
  <c r="CB35" i="3"/>
  <c r="CB33" i="3"/>
  <c r="CC24" i="3"/>
  <c r="CC19" i="3"/>
  <c r="CD1" i="3"/>
  <c r="CC7" i="4"/>
  <c r="CD2" i="4"/>
  <c r="CF43" i="5"/>
  <c r="CF41" i="5"/>
  <c r="CF24" i="5"/>
  <c r="CF19" i="5"/>
  <c r="CG1" i="5"/>
  <c r="CG7" i="5"/>
  <c r="CH2" i="5"/>
  <c r="BZ18" i="4"/>
  <c r="BZ26" i="4" s="1"/>
  <c r="BZ27" i="4"/>
  <c r="CF36" i="5"/>
  <c r="CF35" i="5"/>
  <c r="CF34" i="5"/>
  <c r="CF33" i="5"/>
  <c r="CF32" i="5"/>
  <c r="CF31" i="5" s="1"/>
  <c r="CF20" i="5"/>
  <c r="CF22" i="5"/>
  <c r="CF9" i="5"/>
  <c r="CF11" i="5" s="1"/>
  <c r="CF13" i="5" s="1"/>
  <c r="CE19" i="5"/>
  <c r="CD49" i="5"/>
  <c r="CB35" i="4"/>
  <c r="CB36" i="4"/>
  <c r="CB33" i="4"/>
  <c r="CB34" i="4"/>
  <c r="CB32" i="4"/>
  <c r="CB31" i="4" s="1"/>
  <c r="CB22" i="4"/>
  <c r="CB20" i="4"/>
  <c r="CB9" i="4"/>
  <c r="BY29" i="4"/>
  <c r="BY46" i="4" s="1"/>
  <c r="BW49" i="4"/>
  <c r="BW47" i="4"/>
  <c r="I46" i="4"/>
  <c r="I20" i="2" s="1"/>
  <c r="I21" i="2" s="1"/>
  <c r="T11" i="1" s="1"/>
  <c r="CB31" i="3" l="1"/>
  <c r="CB29" i="3"/>
  <c r="BY49" i="3"/>
  <c r="CG43" i="5"/>
  <c r="CG41" i="5"/>
  <c r="CG38" i="5" s="1"/>
  <c r="CG24" i="5"/>
  <c r="CH1" i="5"/>
  <c r="CF27" i="5"/>
  <c r="CF18" i="5"/>
  <c r="CF26" i="5"/>
  <c r="CF29" i="5" s="1"/>
  <c r="CF46" i="5" s="1"/>
  <c r="CA27" i="4"/>
  <c r="CA18" i="4"/>
  <c r="CA26" i="4" s="1"/>
  <c r="BW50" i="5"/>
  <c r="BX47" i="5"/>
  <c r="CE27" i="5"/>
  <c r="CE18" i="5"/>
  <c r="CE26" i="5" s="1"/>
  <c r="CF38" i="5"/>
  <c r="CE7" i="3"/>
  <c r="CF2" i="3"/>
  <c r="CC27" i="3"/>
  <c r="CC18" i="3"/>
  <c r="CC26" i="3" s="1"/>
  <c r="CC35" i="3"/>
  <c r="CC33" i="3"/>
  <c r="CC32" i="3"/>
  <c r="CE43" i="4"/>
  <c r="CE41" i="4"/>
  <c r="CE24" i="4"/>
  <c r="CF1" i="4"/>
  <c r="BW50" i="4"/>
  <c r="BX47" i="4"/>
  <c r="BX50" i="4" s="1"/>
  <c r="BZ29" i="4"/>
  <c r="BZ46" i="4" s="1"/>
  <c r="CH7" i="5"/>
  <c r="CI2" i="5"/>
  <c r="CE2" i="4"/>
  <c r="CD7" i="4"/>
  <c r="BX50" i="3"/>
  <c r="BY47" i="3"/>
  <c r="CD34" i="3"/>
  <c r="CD41" i="3"/>
  <c r="CD38" i="3" s="1"/>
  <c r="CD22" i="3"/>
  <c r="CD20" i="3"/>
  <c r="CD36" i="3"/>
  <c r="CD11" i="3"/>
  <c r="CD9" i="3"/>
  <c r="CD19" i="3" s="1"/>
  <c r="BY49" i="4"/>
  <c r="BY47" i="4"/>
  <c r="BY50" i="4" s="1"/>
  <c r="CG36" i="5"/>
  <c r="CG35" i="5"/>
  <c r="CG34" i="5"/>
  <c r="CG33" i="5"/>
  <c r="CG32" i="5"/>
  <c r="CG31" i="5" s="1"/>
  <c r="CG20" i="5"/>
  <c r="CG22" i="5"/>
  <c r="CG9" i="5"/>
  <c r="CG11" i="5" s="1"/>
  <c r="CG13" i="5" s="1"/>
  <c r="CC35" i="4"/>
  <c r="CC34" i="4"/>
  <c r="CC36" i="4"/>
  <c r="CC33" i="4"/>
  <c r="CC32" i="4"/>
  <c r="CC31" i="4" s="1"/>
  <c r="CC22" i="4"/>
  <c r="CC20" i="4"/>
  <c r="CC9" i="4"/>
  <c r="CB11" i="4"/>
  <c r="CB13" i="4" s="1"/>
  <c r="CB19" i="4"/>
  <c r="CD24" i="3"/>
  <c r="CE1" i="3"/>
  <c r="CD38" i="4"/>
  <c r="CB46" i="3" l="1"/>
  <c r="CB49" i="3" s="1"/>
  <c r="CC31" i="3"/>
  <c r="CD13" i="3"/>
  <c r="CC29" i="3"/>
  <c r="CC46" i="3" s="1"/>
  <c r="CC49" i="3" s="1"/>
  <c r="BY50" i="3"/>
  <c r="BZ47" i="3"/>
  <c r="CE29" i="5"/>
  <c r="CE46" i="5" s="1"/>
  <c r="CD27" i="3"/>
  <c r="CD18" i="3"/>
  <c r="CD26" i="3" s="1"/>
  <c r="CD35" i="3"/>
  <c r="CD33" i="3"/>
  <c r="CD32" i="3"/>
  <c r="CF49" i="5"/>
  <c r="CF1" i="3"/>
  <c r="CE24" i="3"/>
  <c r="CD34" i="4"/>
  <c r="CD36" i="4"/>
  <c r="CD35" i="4"/>
  <c r="CD32" i="4"/>
  <c r="CD31" i="4" s="1"/>
  <c r="CD22" i="4"/>
  <c r="CD20" i="4"/>
  <c r="CD33" i="4"/>
  <c r="CD9" i="4"/>
  <c r="BX50" i="5"/>
  <c r="BY47" i="5"/>
  <c r="CH43" i="5"/>
  <c r="CH41" i="5"/>
  <c r="CH38" i="5" s="1"/>
  <c r="CH24" i="5"/>
  <c r="CI1" i="5"/>
  <c r="CC11" i="4"/>
  <c r="CC13" i="4" s="1"/>
  <c r="CC19" i="4"/>
  <c r="CB27" i="4"/>
  <c r="CB18" i="4"/>
  <c r="CB26" i="4" s="1"/>
  <c r="CE7" i="4"/>
  <c r="CF2" i="4"/>
  <c r="CF41" i="4"/>
  <c r="CF43" i="4"/>
  <c r="CF24" i="4"/>
  <c r="CG1" i="4"/>
  <c r="CG19" i="5"/>
  <c r="CI7" i="5"/>
  <c r="CJ2" i="5"/>
  <c r="CA29" i="4"/>
  <c r="CA46" i="4" s="1"/>
  <c r="CG2" i="3"/>
  <c r="CF7" i="3"/>
  <c r="CH35" i="5"/>
  <c r="CH34" i="5"/>
  <c r="CH36" i="5"/>
  <c r="CH32" i="5"/>
  <c r="CH31" i="5" s="1"/>
  <c r="CH33" i="5"/>
  <c r="CH22" i="5"/>
  <c r="CH9" i="5"/>
  <c r="CH19" i="5" s="1"/>
  <c r="CH20" i="5"/>
  <c r="I20" i="5" s="1"/>
  <c r="I7" i="5"/>
  <c r="I26" i="2" s="1"/>
  <c r="BZ49" i="4"/>
  <c r="BZ47" i="4"/>
  <c r="BZ50" i="4" s="1"/>
  <c r="CE38" i="4"/>
  <c r="CE41" i="3"/>
  <c r="CE38" i="3" s="1"/>
  <c r="CE34" i="3"/>
  <c r="CE36" i="3"/>
  <c r="CE22" i="3"/>
  <c r="CE20" i="3"/>
  <c r="CE9" i="3"/>
  <c r="CE19" i="3" s="1"/>
  <c r="CE11" i="3"/>
  <c r="CE13" i="3" s="1"/>
  <c r="CD31" i="3" l="1"/>
  <c r="CD29" i="3"/>
  <c r="CD46" i="3"/>
  <c r="CD49" i="3" s="1"/>
  <c r="CE27" i="3"/>
  <c r="CE18" i="3"/>
  <c r="CE26" i="3" s="1"/>
  <c r="CH27" i="5"/>
  <c r="CH18" i="5"/>
  <c r="CA47" i="4"/>
  <c r="CA50" i="4" s="1"/>
  <c r="CA49" i="4"/>
  <c r="CF38" i="4"/>
  <c r="CD11" i="4"/>
  <c r="CD13" i="4" s="1"/>
  <c r="CD19" i="4"/>
  <c r="CC27" i="4"/>
  <c r="CC18" i="4"/>
  <c r="CC26" i="4" s="1"/>
  <c r="CC29" i="4" s="1"/>
  <c r="CC46" i="4" s="1"/>
  <c r="CJ7" i="5"/>
  <c r="CK2" i="5"/>
  <c r="CG2" i="4"/>
  <c r="CF7" i="4"/>
  <c r="CI43" i="5"/>
  <c r="CI41" i="5"/>
  <c r="CI24" i="5"/>
  <c r="CI19" i="5"/>
  <c r="CJ1" i="5"/>
  <c r="CF24" i="3"/>
  <c r="CG1" i="3"/>
  <c r="CI35" i="5"/>
  <c r="J35" i="5" s="1"/>
  <c r="CI34" i="5"/>
  <c r="J34" i="5" s="1"/>
  <c r="CI36" i="5"/>
  <c r="J36" i="5" s="1"/>
  <c r="CI32" i="5"/>
  <c r="CI22" i="5"/>
  <c r="J22" i="5" s="1"/>
  <c r="CI33" i="5"/>
  <c r="J33" i="5" s="1"/>
  <c r="CI20" i="5"/>
  <c r="CI9" i="5"/>
  <c r="CI11" i="5" s="1"/>
  <c r="CE33" i="4"/>
  <c r="CE36" i="4"/>
  <c r="CE35" i="4"/>
  <c r="CE34" i="4"/>
  <c r="CE32" i="4"/>
  <c r="CE31" i="4" s="1"/>
  <c r="CE22" i="4"/>
  <c r="CE20" i="4"/>
  <c r="CE9" i="4"/>
  <c r="CE49" i="5"/>
  <c r="CG27" i="5"/>
  <c r="CG18" i="5"/>
  <c r="CG26" i="5" s="1"/>
  <c r="CB29" i="4"/>
  <c r="CB46" i="4" s="1"/>
  <c r="CH26" i="5"/>
  <c r="CH29" i="5" s="1"/>
  <c r="CH46" i="5" s="1"/>
  <c r="BZ50" i="3"/>
  <c r="CA47" i="3"/>
  <c r="CE33" i="3"/>
  <c r="CE32" i="3"/>
  <c r="CE35" i="3"/>
  <c r="CF41" i="3"/>
  <c r="CF38" i="3" s="1"/>
  <c r="CF34" i="3"/>
  <c r="CF36" i="3"/>
  <c r="CF20" i="3"/>
  <c r="CF22" i="3"/>
  <c r="CF11" i="3"/>
  <c r="CF9" i="3"/>
  <c r="CF19" i="3" s="1"/>
  <c r="CG41" i="4"/>
  <c r="CG24" i="4"/>
  <c r="CG43" i="4"/>
  <c r="CH1" i="4"/>
  <c r="CH11" i="5"/>
  <c r="CH13" i="5" s="1"/>
  <c r="I9" i="5"/>
  <c r="I27" i="2" s="1"/>
  <c r="CG7" i="3"/>
  <c r="CH2" i="3"/>
  <c r="BY50" i="5"/>
  <c r="BZ47" i="5"/>
  <c r="CE29" i="3" l="1"/>
  <c r="CE31" i="3"/>
  <c r="CF13" i="3"/>
  <c r="CH49" i="5"/>
  <c r="CJ43" i="5"/>
  <c r="CJ41" i="5"/>
  <c r="CJ24" i="5"/>
  <c r="CK1" i="5"/>
  <c r="CJ36" i="5"/>
  <c r="CJ35" i="5"/>
  <c r="CJ34" i="5"/>
  <c r="CJ33" i="5"/>
  <c r="CJ32" i="5"/>
  <c r="CJ31" i="5" s="1"/>
  <c r="CJ22" i="5"/>
  <c r="CJ20" i="5"/>
  <c r="CJ9" i="5"/>
  <c r="CJ11" i="5" s="1"/>
  <c r="CJ13" i="5" s="1"/>
  <c r="CL2" i="5"/>
  <c r="CK7" i="5"/>
  <c r="CB49" i="4"/>
  <c r="CB47" i="4"/>
  <c r="CB50" i="4" s="1"/>
  <c r="CG29" i="5"/>
  <c r="CG46" i="5" s="1"/>
  <c r="J32" i="5"/>
  <c r="J31" i="5" s="1"/>
  <c r="CI31" i="5"/>
  <c r="CI27" i="5"/>
  <c r="J27" i="5" s="1"/>
  <c r="J19" i="5"/>
  <c r="J18" i="5" s="1"/>
  <c r="CI18" i="5"/>
  <c r="CC49" i="4"/>
  <c r="CI26" i="5"/>
  <c r="BZ50" i="5"/>
  <c r="CA47" i="5"/>
  <c r="CH7" i="3"/>
  <c r="CI2" i="3"/>
  <c r="CI38" i="5"/>
  <c r="CD27" i="4"/>
  <c r="CD18" i="4"/>
  <c r="CD26" i="4" s="1"/>
  <c r="CD29" i="4" s="1"/>
  <c r="CD46" i="4" s="1"/>
  <c r="CF27" i="3"/>
  <c r="CF18" i="3"/>
  <c r="CA50" i="3"/>
  <c r="CB47" i="3"/>
  <c r="CE11" i="4"/>
  <c r="CE13" i="4" s="1"/>
  <c r="CE19" i="4"/>
  <c r="J11" i="5"/>
  <c r="CI13" i="5"/>
  <c r="J13" i="5" s="1"/>
  <c r="J29" i="2" s="1"/>
  <c r="CG24" i="3"/>
  <c r="CH1" i="3"/>
  <c r="CF36" i="4"/>
  <c r="CF35" i="4"/>
  <c r="CF34" i="4"/>
  <c r="CF32" i="4"/>
  <c r="CF31" i="4" s="1"/>
  <c r="CF33" i="4"/>
  <c r="CF22" i="4"/>
  <c r="CF20" i="4"/>
  <c r="CF9" i="4"/>
  <c r="CG38" i="4"/>
  <c r="CG41" i="3"/>
  <c r="CG38" i="3" s="1"/>
  <c r="CG36" i="3"/>
  <c r="CG34" i="3"/>
  <c r="CG20" i="3"/>
  <c r="CG22" i="3"/>
  <c r="CG11" i="3"/>
  <c r="CG13" i="3" s="1"/>
  <c r="CG9" i="3"/>
  <c r="CG19" i="3" s="1"/>
  <c r="CF33" i="3"/>
  <c r="CF32" i="3"/>
  <c r="CF35" i="3"/>
  <c r="CH41" i="4"/>
  <c r="CH43" i="4"/>
  <c r="CH24" i="4"/>
  <c r="CI1" i="4"/>
  <c r="CF26" i="3"/>
  <c r="CH2" i="4"/>
  <c r="CG7" i="4"/>
  <c r="CE46" i="3" l="1"/>
  <c r="CF31" i="3"/>
  <c r="CH38" i="4"/>
  <c r="J28" i="2"/>
  <c r="CJ19" i="5"/>
  <c r="CI29" i="5"/>
  <c r="J26" i="5"/>
  <c r="CK43" i="5"/>
  <c r="CK41" i="5"/>
  <c r="CK24" i="5"/>
  <c r="CL1" i="5"/>
  <c r="CC47" i="4"/>
  <c r="CC50" i="4" s="1"/>
  <c r="CJ38" i="5"/>
  <c r="CA50" i="5"/>
  <c r="CB47" i="5"/>
  <c r="CG36" i="4"/>
  <c r="CG32" i="4"/>
  <c r="CG31" i="4" s="1"/>
  <c r="CG35" i="4"/>
  <c r="CG34" i="4"/>
  <c r="CG33" i="4"/>
  <c r="CG22" i="4"/>
  <c r="CG20" i="4"/>
  <c r="CG9" i="4"/>
  <c r="CD47" i="4"/>
  <c r="CD50" i="4" s="1"/>
  <c r="CD49" i="4"/>
  <c r="CM2" i="5"/>
  <c r="CL7" i="5"/>
  <c r="CE27" i="4"/>
  <c r="CE18" i="4"/>
  <c r="CE26" i="4" s="1"/>
  <c r="CH7" i="4"/>
  <c r="CI2" i="4"/>
  <c r="CE49" i="3"/>
  <c r="CG49" i="5"/>
  <c r="CF29" i="3"/>
  <c r="CF46" i="3" s="1"/>
  <c r="CB50" i="3"/>
  <c r="CC47" i="3"/>
  <c r="CI41" i="4"/>
  <c r="CI43" i="4"/>
  <c r="CI24" i="4"/>
  <c r="CJ1" i="4"/>
  <c r="CG33" i="3"/>
  <c r="CG32" i="3"/>
  <c r="CG35" i="3"/>
  <c r="CF11" i="4"/>
  <c r="CF13" i="4" s="1"/>
  <c r="CF19" i="4"/>
  <c r="CH24" i="3"/>
  <c r="CI1" i="3"/>
  <c r="CG26" i="3"/>
  <c r="CI7" i="3"/>
  <c r="CJ2" i="3"/>
  <c r="CG27" i="3"/>
  <c r="CG18" i="3"/>
  <c r="CH36" i="3"/>
  <c r="CH41" i="3"/>
  <c r="CH38" i="3" s="1"/>
  <c r="CH22" i="3"/>
  <c r="CH34" i="3"/>
  <c r="CH20" i="3"/>
  <c r="CH11" i="3"/>
  <c r="CH13" i="3" s="1"/>
  <c r="CH9" i="3"/>
  <c r="CK36" i="5"/>
  <c r="CK35" i="5"/>
  <c r="CK34" i="5"/>
  <c r="CK33" i="5"/>
  <c r="CK32" i="5"/>
  <c r="CK31" i="5" s="1"/>
  <c r="CK22" i="5"/>
  <c r="CK20" i="5"/>
  <c r="CK9" i="5"/>
  <c r="CK11" i="5" s="1"/>
  <c r="CK13" i="5" s="1"/>
  <c r="CG31" i="3" l="1"/>
  <c r="CH33" i="3"/>
  <c r="CH32" i="3"/>
  <c r="CH35" i="3"/>
  <c r="CF27" i="4"/>
  <c r="CF18" i="4"/>
  <c r="CF26" i="4" s="1"/>
  <c r="CG29" i="3"/>
  <c r="CG46" i="3" s="1"/>
  <c r="CF49" i="3"/>
  <c r="CI24" i="3"/>
  <c r="CJ1" i="3"/>
  <c r="CJ43" i="4"/>
  <c r="CJ41" i="4"/>
  <c r="CJ24" i="4"/>
  <c r="CK1" i="4"/>
  <c r="CL36" i="5"/>
  <c r="CL35" i="5"/>
  <c r="CL34" i="5"/>
  <c r="CL33" i="5"/>
  <c r="CL32" i="5"/>
  <c r="CL31" i="5" s="1"/>
  <c r="CL22" i="5"/>
  <c r="CL20" i="5"/>
  <c r="CL9" i="5"/>
  <c r="CL11" i="5" s="1"/>
  <c r="CL13" i="5" s="1"/>
  <c r="CI46" i="5"/>
  <c r="J29" i="5"/>
  <c r="J30" i="2" s="1"/>
  <c r="CM7" i="5"/>
  <c r="CN2" i="5"/>
  <c r="CJ27" i="5"/>
  <c r="CJ18" i="5"/>
  <c r="CJ26" i="5" s="1"/>
  <c r="CJ29" i="5" s="1"/>
  <c r="CJ46" i="5" s="1"/>
  <c r="CH19" i="3"/>
  <c r="CL43" i="5"/>
  <c r="CL41" i="5"/>
  <c r="CL24" i="5"/>
  <c r="CL19" i="5"/>
  <c r="CM1" i="5"/>
  <c r="CK19" i="5"/>
  <c r="CI38" i="4"/>
  <c r="CI7" i="4"/>
  <c r="CJ2" i="4"/>
  <c r="CG11" i="4"/>
  <c r="CG13" i="4" s="1"/>
  <c r="CG19" i="4"/>
  <c r="CB50" i="5"/>
  <c r="CC47" i="5"/>
  <c r="CJ7" i="3"/>
  <c r="CK2" i="3"/>
  <c r="CC50" i="3"/>
  <c r="CD47" i="3"/>
  <c r="CK38" i="5"/>
  <c r="CH36" i="4"/>
  <c r="CH35" i="4"/>
  <c r="CH33" i="4"/>
  <c r="CH34" i="4"/>
  <c r="CH32" i="4"/>
  <c r="CH31" i="4" s="1"/>
  <c r="CH9" i="4"/>
  <c r="CH22" i="4"/>
  <c r="CH20" i="4"/>
  <c r="I20" i="4" s="1"/>
  <c r="I7" i="4"/>
  <c r="I15" i="2" s="1"/>
  <c r="CI41" i="3"/>
  <c r="CI36" i="3"/>
  <c r="CI34" i="3"/>
  <c r="CI22" i="3"/>
  <c r="CI20" i="3"/>
  <c r="CI11" i="3"/>
  <c r="CI9" i="3"/>
  <c r="CE29" i="4"/>
  <c r="CE46" i="4" s="1"/>
  <c r="CH31" i="3" l="1"/>
  <c r="CE47" i="4"/>
  <c r="CE50" i="4" s="1"/>
  <c r="CE49" i="4"/>
  <c r="CH11" i="4"/>
  <c r="CH13" i="4" s="1"/>
  <c r="I9" i="4"/>
  <c r="I16" i="2" s="1"/>
  <c r="CH19" i="4"/>
  <c r="CD50" i="3"/>
  <c r="CE47" i="3"/>
  <c r="CG27" i="4"/>
  <c r="CG18" i="4"/>
  <c r="CG26" i="4" s="1"/>
  <c r="CL27" i="5"/>
  <c r="CL18" i="5"/>
  <c r="CG49" i="3"/>
  <c r="CM43" i="5"/>
  <c r="CM41" i="5"/>
  <c r="CM24" i="5"/>
  <c r="CN1" i="5"/>
  <c r="CK43" i="4"/>
  <c r="CK41" i="4"/>
  <c r="CK24" i="4"/>
  <c r="CL1" i="4"/>
  <c r="CK7" i="3"/>
  <c r="CL2" i="3"/>
  <c r="CL26" i="5"/>
  <c r="CN7" i="5"/>
  <c r="CO2" i="5"/>
  <c r="CJ38" i="4"/>
  <c r="CF29" i="4"/>
  <c r="CF46" i="4" s="1"/>
  <c r="CI38" i="3"/>
  <c r="CI36" i="4"/>
  <c r="J36" i="4" s="1"/>
  <c r="CI35" i="4"/>
  <c r="J35" i="4" s="1"/>
  <c r="CI34" i="4"/>
  <c r="J34" i="4" s="1"/>
  <c r="CI32" i="4"/>
  <c r="CI33" i="4"/>
  <c r="J33" i="4" s="1"/>
  <c r="CI9" i="4"/>
  <c r="CI20" i="4"/>
  <c r="CI22" i="4"/>
  <c r="J22" i="4" s="1"/>
  <c r="CJ49" i="5"/>
  <c r="CJ41" i="3"/>
  <c r="CJ38" i="3" s="1"/>
  <c r="CJ36" i="3"/>
  <c r="CJ34" i="3"/>
  <c r="CJ22" i="3"/>
  <c r="CJ20" i="3"/>
  <c r="CJ9" i="3"/>
  <c r="CJ19" i="3" s="1"/>
  <c r="CJ11" i="3"/>
  <c r="CJ13" i="3" s="1"/>
  <c r="CJ7" i="4"/>
  <c r="CK2" i="4"/>
  <c r="CL38" i="5"/>
  <c r="CM36" i="5"/>
  <c r="CM35" i="5"/>
  <c r="CM34" i="5"/>
  <c r="CM33" i="5"/>
  <c r="CM32" i="5"/>
  <c r="CM31" i="5" s="1"/>
  <c r="CM20" i="5"/>
  <c r="CM22" i="5"/>
  <c r="CM9" i="5"/>
  <c r="CM11" i="5" s="1"/>
  <c r="CM13" i="5" s="1"/>
  <c r="CJ24" i="3"/>
  <c r="CK1" i="3"/>
  <c r="CI32" i="3"/>
  <c r="CI35" i="3"/>
  <c r="CI33" i="3"/>
  <c r="CI49" i="5"/>
  <c r="J46" i="5"/>
  <c r="J31" i="2" s="1"/>
  <c r="J32" i="2" s="1"/>
  <c r="U13" i="1" s="1"/>
  <c r="CI19" i="3"/>
  <c r="CI13" i="3"/>
  <c r="CC50" i="5"/>
  <c r="CD47" i="5"/>
  <c r="CK27" i="5"/>
  <c r="CK18" i="5"/>
  <c r="CK26" i="5" s="1"/>
  <c r="CK29" i="5" s="1"/>
  <c r="CK46" i="5" s="1"/>
  <c r="CH27" i="3"/>
  <c r="CH18" i="3"/>
  <c r="CH26" i="3" s="1"/>
  <c r="CH29" i="3" s="1"/>
  <c r="CH46" i="3" s="1"/>
  <c r="CD50" i="5" l="1"/>
  <c r="CE47" i="5"/>
  <c r="CI11" i="4"/>
  <c r="CI19" i="4"/>
  <c r="CF49" i="4"/>
  <c r="CF47" i="4"/>
  <c r="CF50" i="4" s="1"/>
  <c r="CE50" i="3"/>
  <c r="CF47" i="3"/>
  <c r="CK24" i="3"/>
  <c r="CL1" i="3"/>
  <c r="CL43" i="4"/>
  <c r="CL41" i="4"/>
  <c r="CL24" i="4"/>
  <c r="CM1" i="4"/>
  <c r="CM38" i="5"/>
  <c r="CJ27" i="3"/>
  <c r="CJ18" i="3"/>
  <c r="CJ26" i="3" s="1"/>
  <c r="CI31" i="4"/>
  <c r="J32" i="4"/>
  <c r="J31" i="4" s="1"/>
  <c r="CO7" i="5"/>
  <c r="CP2" i="5"/>
  <c r="CK38" i="4"/>
  <c r="CH27" i="4"/>
  <c r="CH18" i="4"/>
  <c r="CH26" i="4" s="1"/>
  <c r="CI31" i="3"/>
  <c r="CK7" i="4"/>
  <c r="CL2" i="4"/>
  <c r="CN36" i="5"/>
  <c r="CN35" i="5"/>
  <c r="CN34" i="5"/>
  <c r="CN33" i="5"/>
  <c r="CN32" i="5"/>
  <c r="CN31" i="5" s="1"/>
  <c r="CN20" i="5"/>
  <c r="CN9" i="5"/>
  <c r="CN11" i="5" s="1"/>
  <c r="CN13" i="5" s="1"/>
  <c r="CN22" i="5"/>
  <c r="CH49" i="3"/>
  <c r="CJ35" i="4"/>
  <c r="CJ36" i="4"/>
  <c r="CJ32" i="4"/>
  <c r="CJ31" i="4" s="1"/>
  <c r="CJ34" i="4"/>
  <c r="CJ33" i="4"/>
  <c r="CJ20" i="4"/>
  <c r="CJ9" i="4"/>
  <c r="CJ22" i="4"/>
  <c r="CL29" i="5"/>
  <c r="CL46" i="5" s="1"/>
  <c r="CN43" i="5"/>
  <c r="CN41" i="5"/>
  <c r="CN24" i="5"/>
  <c r="CN19" i="5"/>
  <c r="CO1" i="5"/>
  <c r="CI27" i="3"/>
  <c r="CI18" i="3"/>
  <c r="CI26" i="3" s="1"/>
  <c r="CL7" i="3"/>
  <c r="CM2" i="3"/>
  <c r="CM19" i="5"/>
  <c r="CK49" i="5"/>
  <c r="CJ32" i="3"/>
  <c r="CJ35" i="3"/>
  <c r="CJ33" i="3"/>
  <c r="CK41" i="3"/>
  <c r="CK34" i="3"/>
  <c r="CK36" i="3"/>
  <c r="CK22" i="3"/>
  <c r="CK20" i="3"/>
  <c r="CK9" i="3"/>
  <c r="CK11" i="3"/>
  <c r="CG29" i="4"/>
  <c r="CG46" i="4" s="1"/>
  <c r="CK13" i="3" l="1"/>
  <c r="CJ31" i="3"/>
  <c r="CK38" i="3"/>
  <c r="CJ29" i="3"/>
  <c r="CJ46" i="3" s="1"/>
  <c r="CJ49" i="3" s="1"/>
  <c r="CH29" i="4"/>
  <c r="CH46" i="4" s="1"/>
  <c r="CK35" i="3"/>
  <c r="CK33" i="3"/>
  <c r="CK32" i="3"/>
  <c r="CL7" i="4"/>
  <c r="CM2" i="4"/>
  <c r="CP7" i="5"/>
  <c r="CQ2" i="5"/>
  <c r="CL24" i="3"/>
  <c r="CM1" i="3"/>
  <c r="CI27" i="4"/>
  <c r="J27" i="4" s="1"/>
  <c r="CI18" i="4"/>
  <c r="CI26" i="4" s="1"/>
  <c r="J19" i="4"/>
  <c r="J18" i="4" s="1"/>
  <c r="CM27" i="5"/>
  <c r="CM18" i="5"/>
  <c r="CM26" i="5" s="1"/>
  <c r="CK35" i="4"/>
  <c r="CK34" i="4"/>
  <c r="CK36" i="4"/>
  <c r="CK33" i="4"/>
  <c r="CK32" i="4"/>
  <c r="CK31" i="4" s="1"/>
  <c r="CK20" i="4"/>
  <c r="CK22" i="4"/>
  <c r="CK9" i="4"/>
  <c r="CO36" i="5"/>
  <c r="CO35" i="5"/>
  <c r="CO34" i="5"/>
  <c r="CO33" i="5"/>
  <c r="CO20" i="5"/>
  <c r="CO32" i="5"/>
  <c r="CO31" i="5" s="1"/>
  <c r="CO22" i="5"/>
  <c r="CO9" i="5"/>
  <c r="CO11" i="5" s="1"/>
  <c r="CO13" i="5" s="1"/>
  <c r="CK19" i="3"/>
  <c r="J11" i="4"/>
  <c r="CI13" i="4"/>
  <c r="J13" i="4" s="1"/>
  <c r="J18" i="2" s="1"/>
  <c r="CN27" i="5"/>
  <c r="CN18" i="5"/>
  <c r="CN26" i="5" s="1"/>
  <c r="CN29" i="5" s="1"/>
  <c r="CN46" i="5" s="1"/>
  <c r="CG49" i="4"/>
  <c r="CG47" i="4"/>
  <c r="CG50" i="4" s="1"/>
  <c r="CM7" i="3"/>
  <c r="CN2" i="3"/>
  <c r="CN38" i="5"/>
  <c r="CE50" i="5"/>
  <c r="CF47" i="5"/>
  <c r="CL41" i="3"/>
  <c r="CL38" i="3" s="1"/>
  <c r="CL34" i="3"/>
  <c r="CL22" i="3"/>
  <c r="CL20" i="3"/>
  <c r="CL36" i="3"/>
  <c r="CL11" i="3"/>
  <c r="CL13" i="3" s="1"/>
  <c r="CL9" i="3"/>
  <c r="CL19" i="3" s="1"/>
  <c r="CM43" i="4"/>
  <c r="CM41" i="4"/>
  <c r="CM24" i="4"/>
  <c r="CN1" i="4"/>
  <c r="CF50" i="3"/>
  <c r="CG47" i="3"/>
  <c r="CJ11" i="4"/>
  <c r="CJ13" i="4" s="1"/>
  <c r="CJ19" i="4"/>
  <c r="CO41" i="5"/>
  <c r="CO43" i="5"/>
  <c r="CO24" i="5"/>
  <c r="CO19" i="5"/>
  <c r="CP1" i="5"/>
  <c r="CL49" i="5"/>
  <c r="CH49" i="4"/>
  <c r="CI29" i="3"/>
  <c r="CL38" i="4"/>
  <c r="CK31" i="3" l="1"/>
  <c r="CH47" i="4"/>
  <c r="CH50" i="4" s="1"/>
  <c r="CL27" i="3"/>
  <c r="CL18" i="3"/>
  <c r="CN49" i="5"/>
  <c r="CI29" i="4"/>
  <c r="J26" i="4"/>
  <c r="CP43" i="5"/>
  <c r="CP41" i="5"/>
  <c r="CP24" i="5"/>
  <c r="CQ1" i="5"/>
  <c r="CN41" i="4"/>
  <c r="CN43" i="4"/>
  <c r="CN24" i="4"/>
  <c r="CO1" i="4"/>
  <c r="J17" i="2"/>
  <c r="CN1" i="3"/>
  <c r="CM24" i="3"/>
  <c r="CL34" i="4"/>
  <c r="CL36" i="4"/>
  <c r="CL35" i="4"/>
  <c r="CL33" i="4"/>
  <c r="CL32" i="4"/>
  <c r="CL31" i="4" s="1"/>
  <c r="CL20" i="4"/>
  <c r="CL22" i="4"/>
  <c r="CL9" i="4"/>
  <c r="CI46" i="3"/>
  <c r="CO2" i="3"/>
  <c r="CN7" i="3"/>
  <c r="I47" i="4"/>
  <c r="CM41" i="3"/>
  <c r="CM38" i="3" s="1"/>
  <c r="CM34" i="3"/>
  <c r="CM36" i="3"/>
  <c r="CM22" i="3"/>
  <c r="CM20" i="3"/>
  <c r="CM11" i="3"/>
  <c r="CM13" i="3" s="1"/>
  <c r="CM9" i="3"/>
  <c r="CK11" i="4"/>
  <c r="CK13" i="4" s="1"/>
  <c r="CK19" i="4"/>
  <c r="CL26" i="3"/>
  <c r="CL29" i="3" s="1"/>
  <c r="CK27" i="3"/>
  <c r="CK18" i="3"/>
  <c r="CK26" i="3" s="1"/>
  <c r="CO38" i="5"/>
  <c r="CJ27" i="4"/>
  <c r="CJ18" i="4"/>
  <c r="CJ26" i="4" s="1"/>
  <c r="CM38" i="4"/>
  <c r="CM29" i="5"/>
  <c r="CM46" i="5" s="1"/>
  <c r="CQ7" i="5"/>
  <c r="CR2" i="5"/>
  <c r="CG50" i="3"/>
  <c r="CH47" i="3"/>
  <c r="CO27" i="5"/>
  <c r="CO18" i="5"/>
  <c r="CO26" i="5" s="1"/>
  <c r="CO29" i="5" s="1"/>
  <c r="CO46" i="5" s="1"/>
  <c r="CF50" i="5"/>
  <c r="CG47" i="5"/>
  <c r="CP35" i="5"/>
  <c r="CP34" i="5"/>
  <c r="CP36" i="5"/>
  <c r="CP32" i="5"/>
  <c r="CP31" i="5" s="1"/>
  <c r="CP33" i="5"/>
  <c r="CP22" i="5"/>
  <c r="CP9" i="5"/>
  <c r="CP11" i="5" s="1"/>
  <c r="CP13" i="5" s="1"/>
  <c r="CP20" i="5"/>
  <c r="CL35" i="3"/>
  <c r="CL33" i="3"/>
  <c r="CL32" i="3"/>
  <c r="CM7" i="4"/>
  <c r="CN2" i="4"/>
  <c r="CL31" i="3" l="1"/>
  <c r="CL46" i="3" s="1"/>
  <c r="CK29" i="3"/>
  <c r="CO49" i="5"/>
  <c r="CH50" i="3"/>
  <c r="I47" i="3"/>
  <c r="CN38" i="4"/>
  <c r="CN41" i="3"/>
  <c r="CN38" i="3" s="1"/>
  <c r="CN34" i="3"/>
  <c r="CN36" i="3"/>
  <c r="CN20" i="3"/>
  <c r="CN22" i="3"/>
  <c r="CN11" i="3"/>
  <c r="CN9" i="3"/>
  <c r="CN19" i="3" s="1"/>
  <c r="CI46" i="4"/>
  <c r="J29" i="4"/>
  <c r="J19" i="2" s="1"/>
  <c r="CM33" i="3"/>
  <c r="CM32" i="3"/>
  <c r="CM35" i="3"/>
  <c r="CG50" i="5"/>
  <c r="CH47" i="5"/>
  <c r="CO7" i="3"/>
  <c r="CP2" i="3"/>
  <c r="CM19" i="3"/>
  <c r="CR7" i="5"/>
  <c r="CS2" i="5"/>
  <c r="CQ35" i="5"/>
  <c r="CQ34" i="5"/>
  <c r="CQ32" i="5"/>
  <c r="CQ31" i="5" s="1"/>
  <c r="CQ36" i="5"/>
  <c r="CQ22" i="5"/>
  <c r="CQ33" i="5"/>
  <c r="CQ20" i="5"/>
  <c r="CQ9" i="5"/>
  <c r="CQ11" i="5" s="1"/>
  <c r="CQ13" i="5" s="1"/>
  <c r="CQ43" i="5"/>
  <c r="CQ41" i="5"/>
  <c r="CQ24" i="5"/>
  <c r="CQ19" i="5"/>
  <c r="CR1" i="5"/>
  <c r="CI49" i="3"/>
  <c r="CI47" i="3"/>
  <c r="CO41" i="4"/>
  <c r="CO24" i="4"/>
  <c r="CO43" i="4"/>
  <c r="CP1" i="4"/>
  <c r="CP19" i="5"/>
  <c r="CO2" i="4"/>
  <c r="CN7" i="4"/>
  <c r="CK27" i="4"/>
  <c r="CK18" i="4"/>
  <c r="CK26" i="4" s="1"/>
  <c r="CL11" i="4"/>
  <c r="CL13" i="4" s="1"/>
  <c r="CL19" i="4"/>
  <c r="CM49" i="5"/>
  <c r="CM33" i="4"/>
  <c r="CM36" i="4"/>
  <c r="CM35" i="4"/>
  <c r="CM34" i="4"/>
  <c r="CM32" i="4"/>
  <c r="CM31" i="4" s="1"/>
  <c r="CM20" i="4"/>
  <c r="CM22" i="4"/>
  <c r="CM9" i="4"/>
  <c r="CJ29" i="4"/>
  <c r="CJ46" i="4" s="1"/>
  <c r="CN24" i="3"/>
  <c r="CO1" i="3"/>
  <c r="CP38" i="5"/>
  <c r="CM31" i="3" l="1"/>
  <c r="CK46" i="3"/>
  <c r="CN13" i="3"/>
  <c r="CT2" i="5"/>
  <c r="CS7" i="5"/>
  <c r="CP27" i="5"/>
  <c r="CP18" i="5"/>
  <c r="CP26" i="5" s="1"/>
  <c r="CP29" i="5" s="1"/>
  <c r="CP46" i="5" s="1"/>
  <c r="CN27" i="3"/>
  <c r="CN18" i="3"/>
  <c r="CN26" i="3" s="1"/>
  <c r="CP41" i="4"/>
  <c r="CP43" i="4"/>
  <c r="CP24" i="4"/>
  <c r="CQ1" i="4"/>
  <c r="CM27" i="3"/>
  <c r="CM18" i="3"/>
  <c r="CM26" i="3" s="1"/>
  <c r="CJ49" i="4"/>
  <c r="CK29" i="4"/>
  <c r="CK46" i="4" s="1"/>
  <c r="CR43" i="5"/>
  <c r="CR41" i="5"/>
  <c r="CR38" i="5" s="1"/>
  <c r="CR24" i="5"/>
  <c r="CS1" i="5"/>
  <c r="CR19" i="5"/>
  <c r="CQ2" i="3"/>
  <c r="CP7" i="3"/>
  <c r="CI47" i="4"/>
  <c r="CI50" i="4" s="1"/>
  <c r="J46" i="4"/>
  <c r="J20" i="2" s="1"/>
  <c r="J21" i="2" s="1"/>
  <c r="U11" i="1" s="1"/>
  <c r="CI49" i="4"/>
  <c r="CO24" i="3"/>
  <c r="CP1" i="3"/>
  <c r="CL27" i="4"/>
  <c r="CL18" i="4"/>
  <c r="CL26" i="4" s="1"/>
  <c r="CL29" i="4" s="1"/>
  <c r="CL46" i="4" s="1"/>
  <c r="CM11" i="4"/>
  <c r="CM13" i="4" s="1"/>
  <c r="CM19" i="4"/>
  <c r="CO41" i="3"/>
  <c r="CO36" i="3"/>
  <c r="CO34" i="3"/>
  <c r="CO20" i="3"/>
  <c r="CO22" i="3"/>
  <c r="CO11" i="3"/>
  <c r="CO13" i="3" s="1"/>
  <c r="CO9" i="3"/>
  <c r="CH50" i="5"/>
  <c r="I47" i="5"/>
  <c r="CI47" i="5"/>
  <c r="CR36" i="5"/>
  <c r="CR35" i="5"/>
  <c r="CR34" i="5"/>
  <c r="CR33" i="5"/>
  <c r="CR32" i="5"/>
  <c r="CR31" i="5" s="1"/>
  <c r="CR22" i="5"/>
  <c r="CR20" i="5"/>
  <c r="CR9" i="5"/>
  <c r="CR11" i="5" s="1"/>
  <c r="CR13" i="5" s="1"/>
  <c r="CL49" i="3"/>
  <c r="CQ27" i="5"/>
  <c r="CQ18" i="5"/>
  <c r="CQ26" i="5" s="1"/>
  <c r="CQ29" i="5" s="1"/>
  <c r="CQ46" i="5" s="1"/>
  <c r="CN33" i="3"/>
  <c r="CN32" i="3"/>
  <c r="CN31" i="3" s="1"/>
  <c r="CN35" i="3"/>
  <c r="CN36" i="4"/>
  <c r="CN35" i="4"/>
  <c r="CN34" i="4"/>
  <c r="CN32" i="4"/>
  <c r="CN31" i="4" s="1"/>
  <c r="CN33" i="4"/>
  <c r="CN20" i="4"/>
  <c r="CN22" i="4"/>
  <c r="CN9" i="4"/>
  <c r="CP2" i="4"/>
  <c r="CO7" i="4"/>
  <c r="CO38" i="4"/>
  <c r="CQ38" i="5"/>
  <c r="CI50" i="3"/>
  <c r="CJ47" i="3"/>
  <c r="CK49" i="3" l="1"/>
  <c r="CO38" i="3"/>
  <c r="CN29" i="3"/>
  <c r="CN46" i="3" s="1"/>
  <c r="CN49" i="3" s="1"/>
  <c r="CM29" i="3"/>
  <c r="CQ49" i="5"/>
  <c r="CK49" i="4"/>
  <c r="CJ50" i="3"/>
  <c r="CK47" i="3"/>
  <c r="CL49" i="4"/>
  <c r="CP41" i="3"/>
  <c r="CP38" i="3" s="1"/>
  <c r="CP36" i="3"/>
  <c r="CP34" i="3"/>
  <c r="CP22" i="3"/>
  <c r="CP11" i="3"/>
  <c r="CP13" i="3" s="1"/>
  <c r="CP9" i="3"/>
  <c r="CP19" i="3" s="1"/>
  <c r="CP20" i="3"/>
  <c r="CJ47" i="4"/>
  <c r="CJ50" i="4" s="1"/>
  <c r="CP38" i="4"/>
  <c r="CO33" i="3"/>
  <c r="CO32" i="3"/>
  <c r="CO35" i="3"/>
  <c r="CO36" i="4"/>
  <c r="CO32" i="4"/>
  <c r="CO31" i="4" s="1"/>
  <c r="CO35" i="4"/>
  <c r="CO22" i="4"/>
  <c r="CO34" i="4"/>
  <c r="CO33" i="4"/>
  <c r="CO20" i="4"/>
  <c r="CO9" i="4"/>
  <c r="CQ2" i="4"/>
  <c r="CP7" i="4"/>
  <c r="CI50" i="5"/>
  <c r="CJ47" i="5"/>
  <c r="CQ7" i="3"/>
  <c r="CR2" i="3"/>
  <c r="CP24" i="3"/>
  <c r="CQ1" i="3"/>
  <c r="CR27" i="5"/>
  <c r="CR18" i="5"/>
  <c r="CS43" i="5"/>
  <c r="CS41" i="5"/>
  <c r="CS24" i="5"/>
  <c r="CS19" i="5"/>
  <c r="CT1" i="5"/>
  <c r="CP49" i="5"/>
  <c r="CN11" i="4"/>
  <c r="CN13" i="4" s="1"/>
  <c r="CN19" i="4"/>
  <c r="CO19" i="3"/>
  <c r="CR26" i="5"/>
  <c r="CR29" i="5" s="1"/>
  <c r="CR46" i="5" s="1"/>
  <c r="CQ41" i="4"/>
  <c r="CQ43" i="4"/>
  <c r="CQ24" i="4"/>
  <c r="CR1" i="4"/>
  <c r="CS33" i="5"/>
  <c r="CS36" i="5"/>
  <c r="CS35" i="5"/>
  <c r="CS34" i="5"/>
  <c r="CS32" i="5"/>
  <c r="CS31" i="5" s="1"/>
  <c r="CS22" i="5"/>
  <c r="CS20" i="5"/>
  <c r="CS9" i="5"/>
  <c r="CS11" i="5" s="1"/>
  <c r="CS13" i="5" s="1"/>
  <c r="CM27" i="4"/>
  <c r="CM18" i="4"/>
  <c r="CM26" i="4" s="1"/>
  <c r="CU2" i="5"/>
  <c r="CT7" i="5"/>
  <c r="CM46" i="3" l="1"/>
  <c r="CO31" i="3"/>
  <c r="CM29" i="4"/>
  <c r="CM46" i="4" s="1"/>
  <c r="CM49" i="4"/>
  <c r="CR49" i="5"/>
  <c r="CO18" i="3"/>
  <c r="CO26" i="3" s="1"/>
  <c r="CO27" i="3"/>
  <c r="CS38" i="5"/>
  <c r="CP36" i="4"/>
  <c r="CP35" i="4"/>
  <c r="CP33" i="4"/>
  <c r="CP32" i="4"/>
  <c r="CP31" i="4" s="1"/>
  <c r="CP22" i="4"/>
  <c r="CP9" i="4"/>
  <c r="CP34" i="4"/>
  <c r="CP20" i="4"/>
  <c r="CP33" i="3"/>
  <c r="CP32" i="3"/>
  <c r="CP35" i="3"/>
  <c r="CK50" i="3"/>
  <c r="CL47" i="3"/>
  <c r="CQ38" i="4"/>
  <c r="CQ24" i="3"/>
  <c r="CR1" i="3"/>
  <c r="CN27" i="4"/>
  <c r="CN18" i="4"/>
  <c r="CN26" i="4" s="1"/>
  <c r="CR2" i="4"/>
  <c r="CQ7" i="4"/>
  <c r="CR43" i="4"/>
  <c r="CR41" i="4"/>
  <c r="CR38" i="4" s="1"/>
  <c r="CR24" i="4"/>
  <c r="CS1" i="4"/>
  <c r="CO11" i="4"/>
  <c r="CO13" i="4" s="1"/>
  <c r="CO19" i="4"/>
  <c r="CK47" i="4"/>
  <c r="CP27" i="3"/>
  <c r="CP18" i="3"/>
  <c r="CP26" i="3" s="1"/>
  <c r="CP29" i="3" s="1"/>
  <c r="CU7" i="5"/>
  <c r="CV2" i="5"/>
  <c r="CS27" i="5"/>
  <c r="CS18" i="5"/>
  <c r="CS26" i="5" s="1"/>
  <c r="CS29" i="5" s="1"/>
  <c r="CS46" i="5" s="1"/>
  <c r="CJ50" i="5"/>
  <c r="CK47" i="5"/>
  <c r="CR7" i="3"/>
  <c r="CS2" i="3"/>
  <c r="CT36" i="5"/>
  <c r="CT35" i="5"/>
  <c r="CT34" i="5"/>
  <c r="CT33" i="5"/>
  <c r="CT32" i="5"/>
  <c r="CT31" i="5" s="1"/>
  <c r="CT22" i="5"/>
  <c r="CT20" i="5"/>
  <c r="J20" i="5" s="1"/>
  <c r="CT9" i="5"/>
  <c r="J7" i="5"/>
  <c r="J26" i="2" s="1"/>
  <c r="CT43" i="5"/>
  <c r="CT41" i="5"/>
  <c r="CT24" i="5"/>
  <c r="CT19" i="5"/>
  <c r="CU1" i="5"/>
  <c r="CQ41" i="3"/>
  <c r="CQ36" i="3"/>
  <c r="CQ34" i="3"/>
  <c r="CQ22" i="3"/>
  <c r="CQ20" i="3"/>
  <c r="CQ11" i="3"/>
  <c r="CQ13" i="3" s="1"/>
  <c r="CQ9" i="3"/>
  <c r="CP31" i="3" l="1"/>
  <c r="CQ38" i="3"/>
  <c r="CM49" i="3"/>
  <c r="CP46" i="3"/>
  <c r="CP49" i="3" s="1"/>
  <c r="CO29" i="3"/>
  <c r="CS49" i="5"/>
  <c r="CT27" i="5"/>
  <c r="CT18" i="5"/>
  <c r="CK50" i="4"/>
  <c r="CL47" i="4"/>
  <c r="CT26" i="5"/>
  <c r="CT29" i="5" s="1"/>
  <c r="CT38" i="5"/>
  <c r="CQ36" i="4"/>
  <c r="CQ35" i="4"/>
  <c r="CQ34" i="4"/>
  <c r="CQ32" i="4"/>
  <c r="CQ31" i="4" s="1"/>
  <c r="CQ33" i="4"/>
  <c r="CQ9" i="4"/>
  <c r="CQ22" i="4"/>
  <c r="CQ20" i="4"/>
  <c r="CP11" i="4"/>
  <c r="CP13" i="4" s="1"/>
  <c r="CP19" i="4"/>
  <c r="CR7" i="4"/>
  <c r="CS2" i="4"/>
  <c r="CL50" i="3"/>
  <c r="CM47" i="3"/>
  <c r="CV7" i="5"/>
  <c r="CW2" i="5"/>
  <c r="CN29" i="4"/>
  <c r="CN46" i="4" s="1"/>
  <c r="CQ32" i="3"/>
  <c r="CQ35" i="3"/>
  <c r="CQ33" i="3"/>
  <c r="CK50" i="5"/>
  <c r="CL47" i="5"/>
  <c r="CQ19" i="3"/>
  <c r="CO27" i="4"/>
  <c r="CO18" i="4"/>
  <c r="CO26" i="4" s="1"/>
  <c r="CU36" i="5"/>
  <c r="K36" i="5" s="1"/>
  <c r="CU35" i="5"/>
  <c r="K35" i="5" s="1"/>
  <c r="CU33" i="5"/>
  <c r="K33" i="5" s="1"/>
  <c r="CU32" i="5"/>
  <c r="CU34" i="5"/>
  <c r="K34" i="5" s="1"/>
  <c r="CU22" i="5"/>
  <c r="K22" i="5" s="1"/>
  <c r="CU20" i="5"/>
  <c r="CU9" i="5"/>
  <c r="CU11" i="5" s="1"/>
  <c r="CR41" i="3"/>
  <c r="CR38" i="3" s="1"/>
  <c r="CR36" i="3"/>
  <c r="CR34" i="3"/>
  <c r="CR22" i="3"/>
  <c r="CR9" i="3"/>
  <c r="CR19" i="3" s="1"/>
  <c r="CR20" i="3"/>
  <c r="CR11" i="3"/>
  <c r="CR13" i="3" s="1"/>
  <c r="CS43" i="4"/>
  <c r="CS41" i="4"/>
  <c r="CS38" i="4" s="1"/>
  <c r="CS24" i="4"/>
  <c r="CT1" i="4"/>
  <c r="CT11" i="5"/>
  <c r="CT13" i="5" s="1"/>
  <c r="J9" i="5"/>
  <c r="J27" i="2" s="1"/>
  <c r="CS7" i="3"/>
  <c r="CT2" i="3"/>
  <c r="CR24" i="3"/>
  <c r="CS1" i="3"/>
  <c r="CU43" i="5"/>
  <c r="CU41" i="5"/>
  <c r="CU24" i="5"/>
  <c r="CU19" i="5"/>
  <c r="CV1" i="5"/>
  <c r="CO46" i="3" l="1"/>
  <c r="CQ31" i="3"/>
  <c r="CT46" i="5"/>
  <c r="CR18" i="3"/>
  <c r="CR26" i="3" s="1"/>
  <c r="CR27" i="3"/>
  <c r="CM50" i="3"/>
  <c r="CN47" i="3"/>
  <c r="CS7" i="4"/>
  <c r="CT2" i="4"/>
  <c r="CQ11" i="4"/>
  <c r="CQ13" i="4" s="1"/>
  <c r="CQ19" i="4"/>
  <c r="CL50" i="4"/>
  <c r="CM47" i="4"/>
  <c r="CM50" i="4" s="1"/>
  <c r="CT43" i="4"/>
  <c r="CT41" i="4"/>
  <c r="CT38" i="4" s="1"/>
  <c r="CT24" i="4"/>
  <c r="CU1" i="4"/>
  <c r="CV43" i="5"/>
  <c r="CV41" i="5"/>
  <c r="CV38" i="5" s="1"/>
  <c r="CV24" i="5"/>
  <c r="CW1" i="5"/>
  <c r="CT7" i="3"/>
  <c r="CU2" i="3"/>
  <c r="K11" i="5"/>
  <c r="CU13" i="5"/>
  <c r="K13" i="5" s="1"/>
  <c r="K29" i="2" s="1"/>
  <c r="CO29" i="4"/>
  <c r="CO46" i="4" s="1"/>
  <c r="CN49" i="4"/>
  <c r="CR35" i="4"/>
  <c r="CR36" i="4"/>
  <c r="CR32" i="4"/>
  <c r="CR31" i="4" s="1"/>
  <c r="CR33" i="4"/>
  <c r="CR34" i="4"/>
  <c r="CR20" i="4"/>
  <c r="CR22" i="4"/>
  <c r="CR9" i="4"/>
  <c r="CS24" i="3"/>
  <c r="CT1" i="3"/>
  <c r="CU27" i="5"/>
  <c r="K27" i="5" s="1"/>
  <c r="CU18" i="5"/>
  <c r="K19" i="5"/>
  <c r="K18" i="5" s="1"/>
  <c r="CS41" i="3"/>
  <c r="CS38" i="3" s="1"/>
  <c r="CS34" i="3"/>
  <c r="CS36" i="3"/>
  <c r="CS22" i="3"/>
  <c r="CS20" i="3"/>
  <c r="CS9" i="3"/>
  <c r="CS19" i="3" s="1"/>
  <c r="CS11" i="3"/>
  <c r="CS13" i="3" s="1"/>
  <c r="CQ18" i="3"/>
  <c r="CQ26" i="3" s="1"/>
  <c r="CQ27" i="3"/>
  <c r="CL50" i="5"/>
  <c r="CM47" i="5"/>
  <c r="CW7" i="5"/>
  <c r="CX2" i="5"/>
  <c r="CP27" i="4"/>
  <c r="CP18" i="4"/>
  <c r="CP26" i="4" s="1"/>
  <c r="CP29" i="4" s="1"/>
  <c r="CP46" i="4" s="1"/>
  <c r="CU26" i="5"/>
  <c r="CU38" i="5"/>
  <c r="CR32" i="3"/>
  <c r="CR35" i="3"/>
  <c r="CR33" i="3"/>
  <c r="K32" i="5"/>
  <c r="K31" i="5" s="1"/>
  <c r="CU31" i="5"/>
  <c r="CV36" i="5"/>
  <c r="CV35" i="5"/>
  <c r="CV34" i="5"/>
  <c r="CV33" i="5"/>
  <c r="CV32" i="5"/>
  <c r="CV31" i="5" s="1"/>
  <c r="CV22" i="5"/>
  <c r="CV20" i="5"/>
  <c r="CV9" i="5"/>
  <c r="CV11" i="5" s="1"/>
  <c r="CV13" i="5" s="1"/>
  <c r="CR31" i="3" l="1"/>
  <c r="CO49" i="3"/>
  <c r="CQ29" i="3"/>
  <c r="CW36" i="5"/>
  <c r="CW35" i="5"/>
  <c r="CW34" i="5"/>
  <c r="CW33" i="5"/>
  <c r="CW32" i="5"/>
  <c r="CW31" i="5" s="1"/>
  <c r="CW20" i="5"/>
  <c r="CW22" i="5"/>
  <c r="CW9" i="5"/>
  <c r="CW11" i="5" s="1"/>
  <c r="CW13" i="5" s="1"/>
  <c r="CS18" i="3"/>
  <c r="CS26" i="3" s="1"/>
  <c r="CS27" i="3"/>
  <c r="CT41" i="3"/>
  <c r="CT38" i="3" s="1"/>
  <c r="CT34" i="3"/>
  <c r="CT22" i="3"/>
  <c r="CT36" i="3"/>
  <c r="CT20" i="3"/>
  <c r="CT11" i="3"/>
  <c r="CT13" i="3" s="1"/>
  <c r="CT9" i="3"/>
  <c r="CU43" i="4"/>
  <c r="CU41" i="4"/>
  <c r="CU24" i="4"/>
  <c r="CV1" i="4"/>
  <c r="CM50" i="5"/>
  <c r="CN47" i="5"/>
  <c r="CV19" i="5"/>
  <c r="CT7" i="4"/>
  <c r="CU2" i="4"/>
  <c r="CN50" i="3"/>
  <c r="CO47" i="3"/>
  <c r="CU29" i="5"/>
  <c r="K26" i="5"/>
  <c r="CP49" i="4"/>
  <c r="CR11" i="4"/>
  <c r="CR13" i="4" s="1"/>
  <c r="CR19" i="4"/>
  <c r="CN47" i="4"/>
  <c r="CN50" i="4" s="1"/>
  <c r="CW41" i="5"/>
  <c r="CW43" i="5"/>
  <c r="CW24" i="5"/>
  <c r="CX1" i="5"/>
  <c r="CS35" i="4"/>
  <c r="CS34" i="4"/>
  <c r="CS32" i="4"/>
  <c r="CS31" i="4" s="1"/>
  <c r="CS33" i="4"/>
  <c r="CS36" i="4"/>
  <c r="CS20" i="4"/>
  <c r="CS9" i="4"/>
  <c r="CS22" i="4"/>
  <c r="CO49" i="4"/>
  <c r="K28" i="2"/>
  <c r="CR29" i="3"/>
  <c r="CR46" i="3" s="1"/>
  <c r="CS35" i="3"/>
  <c r="CS33" i="3"/>
  <c r="CS32" i="3"/>
  <c r="CX7" i="5"/>
  <c r="CY2" i="5"/>
  <c r="CT24" i="3"/>
  <c r="CU1" i="3"/>
  <c r="CT19" i="3"/>
  <c r="CU7" i="3"/>
  <c r="CV2" i="3"/>
  <c r="CQ27" i="4"/>
  <c r="CQ18" i="4"/>
  <c r="CQ26" i="4" s="1"/>
  <c r="CQ29" i="4" s="1"/>
  <c r="CQ46" i="4" s="1"/>
  <c r="CT49" i="5"/>
  <c r="CS29" i="3" l="1"/>
  <c r="CQ46" i="3"/>
  <c r="CS31" i="3"/>
  <c r="CS46" i="3"/>
  <c r="CS49" i="3" s="1"/>
  <c r="CO47" i="4"/>
  <c r="CV27" i="5"/>
  <c r="CV18" i="5"/>
  <c r="CV26" i="5" s="1"/>
  <c r="CX35" i="5"/>
  <c r="CX34" i="5"/>
  <c r="CX36" i="5"/>
  <c r="CX33" i="5"/>
  <c r="CX32" i="5"/>
  <c r="CX31" i="5" s="1"/>
  <c r="CX22" i="5"/>
  <c r="CX9" i="5"/>
  <c r="CX11" i="5" s="1"/>
  <c r="CX13" i="5" s="1"/>
  <c r="CX20" i="5"/>
  <c r="CU41" i="3"/>
  <c r="CU34" i="3"/>
  <c r="CU36" i="3"/>
  <c r="CU22" i="3"/>
  <c r="CU20" i="3"/>
  <c r="CU11" i="3"/>
  <c r="CU9" i="3"/>
  <c r="CU19" i="3" s="1"/>
  <c r="CV41" i="4"/>
  <c r="CV43" i="4"/>
  <c r="CV24" i="4"/>
  <c r="CW1" i="4"/>
  <c r="CR49" i="3"/>
  <c r="CX43" i="5"/>
  <c r="CX41" i="5"/>
  <c r="CX24" i="5"/>
  <c r="CX19" i="5"/>
  <c r="CY1" i="5"/>
  <c r="CU7" i="4"/>
  <c r="CV2" i="4"/>
  <c r="CU38" i="4"/>
  <c r="CT27" i="3"/>
  <c r="CT18" i="3"/>
  <c r="CT26" i="3" s="1"/>
  <c r="CS11" i="4"/>
  <c r="CS13" i="4" s="1"/>
  <c r="CS19" i="4"/>
  <c r="CV1" i="3"/>
  <c r="CU24" i="3"/>
  <c r="CW19" i="5"/>
  <c r="CT34" i="4"/>
  <c r="CT36" i="4"/>
  <c r="CT35" i="4"/>
  <c r="CT33" i="4"/>
  <c r="CT32" i="4"/>
  <c r="CT31" i="4" s="1"/>
  <c r="CT20" i="4"/>
  <c r="J20" i="4" s="1"/>
  <c r="CT22" i="4"/>
  <c r="CT9" i="4"/>
  <c r="J7" i="4"/>
  <c r="J15" i="2" s="1"/>
  <c r="CW38" i="5"/>
  <c r="CU46" i="5"/>
  <c r="K29" i="5"/>
  <c r="K30" i="2" s="1"/>
  <c r="CN50" i="5"/>
  <c r="CO47" i="5"/>
  <c r="CO50" i="3"/>
  <c r="CP47" i="3"/>
  <c r="CP50" i="3" s="1"/>
  <c r="CT35" i="3"/>
  <c r="CT33" i="3"/>
  <c r="CT32" i="3"/>
  <c r="CY7" i="5"/>
  <c r="CZ2" i="5"/>
  <c r="CQ49" i="4"/>
  <c r="CW2" i="3"/>
  <c r="CV7" i="3"/>
  <c r="CR27" i="4"/>
  <c r="CR18" i="4"/>
  <c r="CR26" i="4" s="1"/>
  <c r="CQ49" i="3"/>
  <c r="CT29" i="3" l="1"/>
  <c r="J29" i="3" s="1"/>
  <c r="J8" i="2" s="1"/>
  <c r="J46" i="3"/>
  <c r="J9" i="2" s="1"/>
  <c r="J10" i="2" s="1"/>
  <c r="U9" i="1" s="1"/>
  <c r="CT31" i="3"/>
  <c r="CQ47" i="3"/>
  <c r="CQ50" i="3" s="1"/>
  <c r="CT46" i="3"/>
  <c r="CO50" i="4"/>
  <c r="CP47" i="4"/>
  <c r="CT49" i="3"/>
  <c r="CU33" i="4"/>
  <c r="K33" i="4" s="1"/>
  <c r="CU36" i="4"/>
  <c r="K36" i="4" s="1"/>
  <c r="CU34" i="4"/>
  <c r="K34" i="4" s="1"/>
  <c r="CU35" i="4"/>
  <c r="K35" i="4" s="1"/>
  <c r="CU32" i="4"/>
  <c r="CU20" i="4"/>
  <c r="CU22" i="4"/>
  <c r="K22" i="4" s="1"/>
  <c r="CU9" i="4"/>
  <c r="CY43" i="5"/>
  <c r="CY41" i="5"/>
  <c r="CY24" i="5"/>
  <c r="CZ1" i="5"/>
  <c r="CW41" i="4"/>
  <c r="CW24" i="4"/>
  <c r="CW43" i="4"/>
  <c r="CX1" i="4"/>
  <c r="CZ7" i="5"/>
  <c r="DA2" i="5"/>
  <c r="CO50" i="5"/>
  <c r="CP47" i="5"/>
  <c r="CR29" i="4"/>
  <c r="CR46" i="4" s="1"/>
  <c r="CY35" i="5"/>
  <c r="CY34" i="5"/>
  <c r="CY32" i="5"/>
  <c r="CY31" i="5" s="1"/>
  <c r="CY36" i="5"/>
  <c r="CY33" i="5"/>
  <c r="CY22" i="5"/>
  <c r="CY20" i="5"/>
  <c r="CY9" i="5"/>
  <c r="CY11" i="5" s="1"/>
  <c r="CY13" i="5" s="1"/>
  <c r="CT11" i="4"/>
  <c r="CT13" i="4" s="1"/>
  <c r="J9" i="4"/>
  <c r="J16" i="2" s="1"/>
  <c r="CT19" i="4"/>
  <c r="CW27" i="5"/>
  <c r="CW18" i="5"/>
  <c r="CW26" i="5" s="1"/>
  <c r="CX27" i="5"/>
  <c r="CX18" i="5"/>
  <c r="CX38" i="5"/>
  <c r="CV38" i="4"/>
  <c r="CX26" i="5"/>
  <c r="CX29" i="5" s="1"/>
  <c r="CU38" i="3"/>
  <c r="CV41" i="3"/>
  <c r="CV38" i="3" s="1"/>
  <c r="CV34" i="3"/>
  <c r="CV36" i="3"/>
  <c r="CV20" i="3"/>
  <c r="CV22" i="3"/>
  <c r="CV11" i="3"/>
  <c r="CV13" i="3" s="1"/>
  <c r="CV9" i="3"/>
  <c r="CV19" i="3" s="1"/>
  <c r="K46" i="5"/>
  <c r="K31" i="2" s="1"/>
  <c r="K32" i="2" s="1"/>
  <c r="V13" i="1" s="1"/>
  <c r="CU49" i="5"/>
  <c r="CU27" i="3"/>
  <c r="CU18" i="3"/>
  <c r="CU26" i="3" s="1"/>
  <c r="CU33" i="3"/>
  <c r="CU32" i="3"/>
  <c r="CU35" i="3"/>
  <c r="CV24" i="3"/>
  <c r="CW1" i="3"/>
  <c r="CW7" i="3"/>
  <c r="CX2" i="3"/>
  <c r="CS27" i="4"/>
  <c r="CS18" i="4"/>
  <c r="CS26" i="4" s="1"/>
  <c r="CS29" i="4" s="1"/>
  <c r="CS46" i="4" s="1"/>
  <c r="CU13" i="3"/>
  <c r="CV29" i="5"/>
  <c r="CV46" i="5" s="1"/>
  <c r="CW2" i="4"/>
  <c r="CV7" i="4"/>
  <c r="CR47" i="3"/>
  <c r="CP50" i="4" l="1"/>
  <c r="CQ47" i="4"/>
  <c r="CQ50" i="4" s="1"/>
  <c r="CV27" i="3"/>
  <c r="CV18" i="3"/>
  <c r="CU29" i="3"/>
  <c r="CZ43" i="5"/>
  <c r="CZ41" i="5"/>
  <c r="CZ24" i="5"/>
  <c r="DA1" i="5"/>
  <c r="K32" i="4"/>
  <c r="K31" i="4" s="1"/>
  <c r="CU31" i="4"/>
  <c r="CW7" i="4"/>
  <c r="CX2" i="4"/>
  <c r="CW24" i="3"/>
  <c r="CX1" i="3"/>
  <c r="CW29" i="5"/>
  <c r="CW46" i="5" s="1"/>
  <c r="DB2" i="5"/>
  <c r="DA7" i="5"/>
  <c r="CY19" i="5"/>
  <c r="CV36" i="4"/>
  <c r="CV35" i="4"/>
  <c r="CV34" i="4"/>
  <c r="CV33" i="4"/>
  <c r="CV32" i="4"/>
  <c r="CV31" i="4" s="1"/>
  <c r="CV20" i="4"/>
  <c r="CV22" i="4"/>
  <c r="CV9" i="4"/>
  <c r="CV49" i="5"/>
  <c r="CV26" i="3"/>
  <c r="CV29" i="3" s="1"/>
  <c r="CZ36" i="5"/>
  <c r="CZ35" i="5"/>
  <c r="CZ34" i="5"/>
  <c r="CZ32" i="5"/>
  <c r="CZ31" i="5" s="1"/>
  <c r="CZ33" i="5"/>
  <c r="CZ20" i="5"/>
  <c r="CZ22" i="5"/>
  <c r="CZ9" i="5"/>
  <c r="CZ11" i="5" s="1"/>
  <c r="CZ13" i="5" s="1"/>
  <c r="CW41" i="3"/>
  <c r="CW38" i="3" s="1"/>
  <c r="CW36" i="3"/>
  <c r="CW34" i="3"/>
  <c r="CW20" i="3"/>
  <c r="CW22" i="3"/>
  <c r="CW11" i="3"/>
  <c r="CW9" i="3"/>
  <c r="CW19" i="3" s="1"/>
  <c r="CT27" i="4"/>
  <c r="CT18" i="4"/>
  <c r="CT26" i="4" s="1"/>
  <c r="CT29" i="4" s="1"/>
  <c r="CT46" i="4" s="1"/>
  <c r="CX41" i="4"/>
  <c r="CX43" i="4"/>
  <c r="CX24" i="4"/>
  <c r="CY1" i="4"/>
  <c r="CY38" i="5"/>
  <c r="CU11" i="4"/>
  <c r="CU19" i="4"/>
  <c r="CS49" i="4"/>
  <c r="CU31" i="3"/>
  <c r="CR49" i="4"/>
  <c r="CR47" i="4"/>
  <c r="CR50" i="4" s="1"/>
  <c r="CV33" i="3"/>
  <c r="CV32" i="3"/>
  <c r="CV35" i="3"/>
  <c r="CR50" i="3"/>
  <c r="CS47" i="3"/>
  <c r="CX7" i="3"/>
  <c r="CY2" i="3"/>
  <c r="CX46" i="5"/>
  <c r="CP50" i="5"/>
  <c r="CQ47" i="5"/>
  <c r="CW38" i="4"/>
  <c r="CV31" i="3" l="1"/>
  <c r="CW13" i="3"/>
  <c r="CU27" i="4"/>
  <c r="K27" i="4" s="1"/>
  <c r="K19" i="4"/>
  <c r="K18" i="4" s="1"/>
  <c r="CU18" i="4"/>
  <c r="CU26" i="4" s="1"/>
  <c r="CX7" i="4"/>
  <c r="CY2" i="4"/>
  <c r="CS50" i="3"/>
  <c r="CT47" i="3"/>
  <c r="CY27" i="5"/>
  <c r="CY18" i="5"/>
  <c r="CY26" i="5" s="1"/>
  <c r="CW36" i="4"/>
  <c r="CW32" i="4"/>
  <c r="CW31" i="4" s="1"/>
  <c r="CW35" i="4"/>
  <c r="CW33" i="4"/>
  <c r="CW34" i="4"/>
  <c r="CW22" i="4"/>
  <c r="CW20" i="4"/>
  <c r="CW9" i="4"/>
  <c r="CX49" i="5"/>
  <c r="CX38" i="4"/>
  <c r="CZ38" i="5"/>
  <c r="CW33" i="3"/>
  <c r="CW32" i="3"/>
  <c r="CW31" i="3" s="1"/>
  <c r="CW35" i="3"/>
  <c r="CV46" i="3"/>
  <c r="DA33" i="5"/>
  <c r="DA36" i="5"/>
  <c r="DA34" i="5"/>
  <c r="DA35" i="5"/>
  <c r="DA32" i="5"/>
  <c r="DA31" i="5" s="1"/>
  <c r="DA22" i="5"/>
  <c r="DA20" i="5"/>
  <c r="DA9" i="5"/>
  <c r="DA11" i="5" s="1"/>
  <c r="DA13" i="5" s="1"/>
  <c r="CU46" i="3"/>
  <c r="CX36" i="3"/>
  <c r="CX41" i="3"/>
  <c r="CX38" i="3" s="1"/>
  <c r="CX34" i="3"/>
  <c r="CX22" i="3"/>
  <c r="CX11" i="3"/>
  <c r="CX13" i="3" s="1"/>
  <c r="CX9" i="3"/>
  <c r="CX19" i="3" s="1"/>
  <c r="CX20" i="3"/>
  <c r="CS47" i="4"/>
  <c r="CS50" i="4" s="1"/>
  <c r="CW49" i="5"/>
  <c r="CZ19" i="5"/>
  <c r="CY7" i="3"/>
  <c r="CZ2" i="3"/>
  <c r="CU13" i="4"/>
  <c r="K13" i="4" s="1"/>
  <c r="K18" i="2" s="1"/>
  <c r="K11" i="4"/>
  <c r="CW18" i="3"/>
  <c r="CW26" i="3" s="1"/>
  <c r="CW27" i="3"/>
  <c r="CT49" i="4"/>
  <c r="CY41" i="4"/>
  <c r="CY43" i="4"/>
  <c r="CY24" i="4"/>
  <c r="CZ1" i="4"/>
  <c r="DC2" i="5"/>
  <c r="DB7" i="5"/>
  <c r="CQ50" i="5"/>
  <c r="CR47" i="5"/>
  <c r="CV11" i="4"/>
  <c r="CV13" i="4" s="1"/>
  <c r="CV19" i="4"/>
  <c r="CX24" i="3"/>
  <c r="CY1" i="3"/>
  <c r="DA43" i="5"/>
  <c r="DA41" i="5"/>
  <c r="DA24" i="5"/>
  <c r="DA19" i="5"/>
  <c r="DB1" i="5"/>
  <c r="CW29" i="3" l="1"/>
  <c r="CZ43" i="4"/>
  <c r="CZ41" i="4"/>
  <c r="CZ24" i="4"/>
  <c r="DA1" i="4"/>
  <c r="CX27" i="3"/>
  <c r="CX18" i="3"/>
  <c r="CX26" i="3" s="1"/>
  <c r="CY38" i="4"/>
  <c r="CV49" i="3"/>
  <c r="K26" i="4"/>
  <c r="CU29" i="4"/>
  <c r="DA38" i="5"/>
  <c r="CZ27" i="5"/>
  <c r="CZ18" i="5"/>
  <c r="CZ26" i="5" s="1"/>
  <c r="CY24" i="3"/>
  <c r="CZ1" i="3"/>
  <c r="CZ7" i="3"/>
  <c r="DA2" i="3"/>
  <c r="CR50" i="5"/>
  <c r="CS47" i="5"/>
  <c r="CY41" i="3"/>
  <c r="CY36" i="3"/>
  <c r="CY34" i="3"/>
  <c r="CY22" i="3"/>
  <c r="CY20" i="3"/>
  <c r="CY11" i="3"/>
  <c r="CY9" i="3"/>
  <c r="DB36" i="5"/>
  <c r="DB35" i="5"/>
  <c r="DB34" i="5"/>
  <c r="DB33" i="5"/>
  <c r="DB32" i="5"/>
  <c r="DB31" i="5" s="1"/>
  <c r="DB22" i="5"/>
  <c r="DB20" i="5"/>
  <c r="DB9" i="5"/>
  <c r="DB11" i="5" s="1"/>
  <c r="DB13" i="5" s="1"/>
  <c r="CT47" i="4"/>
  <c r="CW11" i="4"/>
  <c r="CW13" i="4" s="1"/>
  <c r="CW19" i="4"/>
  <c r="CY29" i="5"/>
  <c r="CY46" i="5" s="1"/>
  <c r="DC7" i="5"/>
  <c r="DD2" i="5"/>
  <c r="CT50" i="3"/>
  <c r="J47" i="3"/>
  <c r="K17" i="2"/>
  <c r="DB43" i="5"/>
  <c r="DB41" i="5"/>
  <c r="DB24" i="5"/>
  <c r="DC1" i="5"/>
  <c r="CV27" i="4"/>
  <c r="CV18" i="4"/>
  <c r="CV26" i="4" s="1"/>
  <c r="CV29" i="4" s="1"/>
  <c r="CV46" i="4" s="1"/>
  <c r="CY7" i="4"/>
  <c r="CZ2" i="4"/>
  <c r="DA27" i="5"/>
  <c r="DA18" i="5"/>
  <c r="DA26" i="5" s="1"/>
  <c r="DA29" i="5" s="1"/>
  <c r="DA46" i="5" s="1"/>
  <c r="CX33" i="3"/>
  <c r="CX32" i="3"/>
  <c r="CX35" i="3"/>
  <c r="CU49" i="3"/>
  <c r="CU47" i="3"/>
  <c r="CU50" i="3" s="1"/>
  <c r="CX36" i="4"/>
  <c r="CX35" i="4"/>
  <c r="CX33" i="4"/>
  <c r="CX34" i="4"/>
  <c r="CX32" i="4"/>
  <c r="CX31" i="4" s="1"/>
  <c r="CX22" i="4"/>
  <c r="CX9" i="4"/>
  <c r="CX20" i="4"/>
  <c r="CY13" i="3" l="1"/>
  <c r="CY38" i="3"/>
  <c r="CX31" i="3"/>
  <c r="CW46" i="3"/>
  <c r="CX29" i="3"/>
  <c r="CX46" i="3" s="1"/>
  <c r="CV47" i="3"/>
  <c r="CV50" i="3" s="1"/>
  <c r="DA49" i="5"/>
  <c r="CX11" i="4"/>
  <c r="CX13" i="4" s="1"/>
  <c r="CX19" i="4"/>
  <c r="CY36" i="4"/>
  <c r="CY35" i="4"/>
  <c r="CY34" i="4"/>
  <c r="CY32" i="4"/>
  <c r="CY31" i="4" s="1"/>
  <c r="CY33" i="4"/>
  <c r="CY22" i="4"/>
  <c r="CY9" i="4"/>
  <c r="CY20" i="4"/>
  <c r="DB38" i="5"/>
  <c r="DA7" i="3"/>
  <c r="DB2" i="3"/>
  <c r="CU46" i="4"/>
  <c r="K29" i="4"/>
  <c r="K19" i="2" s="1"/>
  <c r="CY32" i="3"/>
  <c r="CY35" i="3"/>
  <c r="CY33" i="3"/>
  <c r="DD7" i="5"/>
  <c r="DE2" i="5"/>
  <c r="CZ41" i="3"/>
  <c r="CZ38" i="3" s="1"/>
  <c r="CZ36" i="3"/>
  <c r="CZ34" i="3"/>
  <c r="CZ22" i="3"/>
  <c r="CZ9" i="3"/>
  <c r="CZ19" i="3" s="1"/>
  <c r="CZ20" i="3"/>
  <c r="CZ11" i="3"/>
  <c r="CZ13" i="3" s="1"/>
  <c r="DA43" i="4"/>
  <c r="DA41" i="4"/>
  <c r="DA24" i="4"/>
  <c r="DB1" i="4"/>
  <c r="CV49" i="4"/>
  <c r="DC36" i="5"/>
  <c r="DC35" i="5"/>
  <c r="DC34" i="5"/>
  <c r="DC33" i="5"/>
  <c r="DC32" i="5"/>
  <c r="DC31" i="5" s="1"/>
  <c r="DC22" i="5"/>
  <c r="DC20" i="5"/>
  <c r="DC9" i="5"/>
  <c r="DC11" i="5" s="1"/>
  <c r="DC13" i="5" s="1"/>
  <c r="CZ24" i="3"/>
  <c r="DA1" i="3"/>
  <c r="CW27" i="4"/>
  <c r="CW18" i="4"/>
  <c r="CW26" i="4" s="1"/>
  <c r="CW29" i="4" s="1"/>
  <c r="CW46" i="4" s="1"/>
  <c r="CY19" i="3"/>
  <c r="CY49" i="5"/>
  <c r="CZ38" i="4"/>
  <c r="DC43" i="5"/>
  <c r="DC41" i="5"/>
  <c r="DC24" i="5"/>
  <c r="DC19" i="5"/>
  <c r="DD1" i="5"/>
  <c r="DB19" i="5"/>
  <c r="CZ29" i="5"/>
  <c r="CZ46" i="5" s="1"/>
  <c r="CW47" i="3"/>
  <c r="CW50" i="3" s="1"/>
  <c r="CZ7" i="4"/>
  <c r="DA2" i="4"/>
  <c r="CT50" i="4"/>
  <c r="J47" i="4"/>
  <c r="CS50" i="5"/>
  <c r="CT47" i="5"/>
  <c r="CY31" i="3" l="1"/>
  <c r="CW49" i="3"/>
  <c r="CX49" i="3"/>
  <c r="CX47" i="3"/>
  <c r="CX50" i="3" s="1"/>
  <c r="DD43" i="5"/>
  <c r="DD41" i="5"/>
  <c r="DD24" i="5"/>
  <c r="DE1" i="5"/>
  <c r="DD36" i="5"/>
  <c r="DD35" i="5"/>
  <c r="DD34" i="5"/>
  <c r="DD33" i="5"/>
  <c r="DD32" i="5"/>
  <c r="DD31" i="5" s="1"/>
  <c r="DD22" i="5"/>
  <c r="DD20" i="5"/>
  <c r="DD9" i="5"/>
  <c r="DD11" i="5" s="1"/>
  <c r="DD13" i="5" s="1"/>
  <c r="DC27" i="5"/>
  <c r="DC18" i="5"/>
  <c r="DB27" i="5"/>
  <c r="DB18" i="5"/>
  <c r="DB26" i="5" s="1"/>
  <c r="DE7" i="5"/>
  <c r="DF2" i="5"/>
  <c r="CZ32" i="3"/>
  <c r="CZ35" i="3"/>
  <c r="CZ33" i="3"/>
  <c r="DA7" i="4"/>
  <c r="DB2" i="4"/>
  <c r="DC26" i="5"/>
  <c r="DC29" i="5" s="1"/>
  <c r="CZ35" i="4"/>
  <c r="CZ36" i="4"/>
  <c r="CZ34" i="4"/>
  <c r="CZ32" i="4"/>
  <c r="CZ31" i="4" s="1"/>
  <c r="CZ33" i="4"/>
  <c r="CZ20" i="4"/>
  <c r="CZ22" i="4"/>
  <c r="CZ9" i="4"/>
  <c r="DC38" i="5"/>
  <c r="CY18" i="3"/>
  <c r="CY26" i="3" s="1"/>
  <c r="CY27" i="3"/>
  <c r="CX27" i="4"/>
  <c r="CX18" i="4"/>
  <c r="CX26" i="4" s="1"/>
  <c r="DA24" i="3"/>
  <c r="DB1" i="3"/>
  <c r="CT50" i="5"/>
  <c r="J47" i="5"/>
  <c r="CU47" i="5"/>
  <c r="CW49" i="4"/>
  <c r="DB43" i="4"/>
  <c r="DB41" i="4"/>
  <c r="DB38" i="4" s="1"/>
  <c r="DB24" i="4"/>
  <c r="DC1" i="4"/>
  <c r="CY11" i="4"/>
  <c r="CY13" i="4" s="1"/>
  <c r="CY19" i="4"/>
  <c r="DA41" i="3"/>
  <c r="DA34" i="3"/>
  <c r="DA36" i="3"/>
  <c r="DA22" i="3"/>
  <c r="DA20" i="3"/>
  <c r="DA9" i="3"/>
  <c r="DA19" i="3" s="1"/>
  <c r="DA11" i="3"/>
  <c r="CZ49" i="5"/>
  <c r="CU47" i="4"/>
  <c r="K46" i="4"/>
  <c r="K20" i="2" s="1"/>
  <c r="K21" i="2" s="1"/>
  <c r="V11" i="1" s="1"/>
  <c r="CU49" i="4"/>
  <c r="CZ18" i="3"/>
  <c r="CZ26" i="3" s="1"/>
  <c r="CZ27" i="3"/>
  <c r="DA38" i="4"/>
  <c r="DB7" i="3"/>
  <c r="DC2" i="3"/>
  <c r="DA13" i="3" l="1"/>
  <c r="CZ31" i="3"/>
  <c r="DA38" i="3"/>
  <c r="CY29" i="3"/>
  <c r="DF7" i="5"/>
  <c r="DG2" i="5"/>
  <c r="DD19" i="5"/>
  <c r="CU50" i="5"/>
  <c r="CV47" i="5"/>
  <c r="DE41" i="5"/>
  <c r="DE43" i="5"/>
  <c r="DE24" i="5"/>
  <c r="DE19" i="5"/>
  <c r="DF1" i="5"/>
  <c r="DA35" i="3"/>
  <c r="DA33" i="3"/>
  <c r="DA32" i="3"/>
  <c r="DC43" i="4"/>
  <c r="DC41" i="4"/>
  <c r="DC38" i="4" s="1"/>
  <c r="DC24" i="4"/>
  <c r="DD1" i="4"/>
  <c r="DE36" i="5"/>
  <c r="DE35" i="5"/>
  <c r="DE34" i="5"/>
  <c r="DE33" i="5"/>
  <c r="DE32" i="5"/>
  <c r="DE31" i="5" s="1"/>
  <c r="DE22" i="5"/>
  <c r="DE20" i="5"/>
  <c r="DE9" i="5"/>
  <c r="DE11" i="5" s="1"/>
  <c r="DE13" i="5" s="1"/>
  <c r="DB24" i="3"/>
  <c r="DC1" i="3"/>
  <c r="CZ11" i="4"/>
  <c r="CZ13" i="4" s="1"/>
  <c r="CZ19" i="4"/>
  <c r="DC46" i="5"/>
  <c r="DB29" i="5"/>
  <c r="DB46" i="5" s="1"/>
  <c r="DD38" i="5"/>
  <c r="CU50" i="4"/>
  <c r="CV47" i="4"/>
  <c r="CY27" i="4"/>
  <c r="CY18" i="4"/>
  <c r="CY26" i="4" s="1"/>
  <c r="CY29" i="4" s="1"/>
  <c r="CY46" i="4" s="1"/>
  <c r="DA18" i="3"/>
  <c r="DA27" i="3"/>
  <c r="DB7" i="4"/>
  <c r="DC2" i="4"/>
  <c r="DC7" i="3"/>
  <c r="DD2" i="3"/>
  <c r="DA26" i="3"/>
  <c r="DA35" i="4"/>
  <c r="DA34" i="4"/>
  <c r="DA32" i="4"/>
  <c r="DA31" i="4" s="1"/>
  <c r="DA33" i="4"/>
  <c r="DA20" i="4"/>
  <c r="DA36" i="4"/>
  <c r="DA9" i="4"/>
  <c r="DA22" i="4"/>
  <c r="CZ29" i="3"/>
  <c r="CZ46" i="3" s="1"/>
  <c r="DB34" i="3"/>
  <c r="DB22" i="3"/>
  <c r="DB36" i="3"/>
  <c r="DB20" i="3"/>
  <c r="DB11" i="3"/>
  <c r="DB13" i="3" s="1"/>
  <c r="DB41" i="3"/>
  <c r="DB38" i="3" s="1"/>
  <c r="DB9" i="3"/>
  <c r="CX29" i="4"/>
  <c r="CX46" i="4" s="1"/>
  <c r="CY46" i="3" l="1"/>
  <c r="DA31" i="3"/>
  <c r="DA29" i="3"/>
  <c r="DC41" i="3"/>
  <c r="DC34" i="3"/>
  <c r="DC36" i="3"/>
  <c r="DC22" i="3"/>
  <c r="DC20" i="3"/>
  <c r="DC9" i="3"/>
  <c r="DC19" i="3" s="1"/>
  <c r="DC11" i="3"/>
  <c r="DE38" i="5"/>
  <c r="CY49" i="4"/>
  <c r="CV50" i="5"/>
  <c r="CW47" i="5"/>
  <c r="DA11" i="4"/>
  <c r="DA13" i="4" s="1"/>
  <c r="DA19" i="4"/>
  <c r="DE2" i="3"/>
  <c r="DD7" i="3"/>
  <c r="DB34" i="4"/>
  <c r="DB36" i="4"/>
  <c r="DB35" i="4"/>
  <c r="DB32" i="4"/>
  <c r="DB31" i="4" s="1"/>
  <c r="DB22" i="4"/>
  <c r="DB33" i="4"/>
  <c r="DB20" i="4"/>
  <c r="DB9" i="4"/>
  <c r="DB49" i="5"/>
  <c r="DB35" i="3"/>
  <c r="DB33" i="3"/>
  <c r="DB32" i="3"/>
  <c r="DE26" i="5"/>
  <c r="DE29" i="5" s="1"/>
  <c r="DE46" i="5" s="1"/>
  <c r="CV50" i="4"/>
  <c r="CW47" i="4"/>
  <c r="CW50" i="4" s="1"/>
  <c r="DD1" i="3"/>
  <c r="DC24" i="3"/>
  <c r="DC7" i="4"/>
  <c r="DD2" i="4"/>
  <c r="DC49" i="5"/>
  <c r="DD27" i="5"/>
  <c r="DD18" i="5"/>
  <c r="DD26" i="5" s="1"/>
  <c r="CX49" i="4"/>
  <c r="CZ49" i="3"/>
  <c r="CZ27" i="4"/>
  <c r="CZ18" i="4"/>
  <c r="CZ26" i="4" s="1"/>
  <c r="DD41" i="4"/>
  <c r="DD38" i="4" s="1"/>
  <c r="DD43" i="4"/>
  <c r="DD24" i="4"/>
  <c r="DE1" i="4"/>
  <c r="DF43" i="5"/>
  <c r="DF41" i="5"/>
  <c r="DF38" i="5" s="1"/>
  <c r="DF24" i="5"/>
  <c r="DG1" i="5"/>
  <c r="DG7" i="5"/>
  <c r="DH2" i="5"/>
  <c r="DE27" i="5"/>
  <c r="DE18" i="5"/>
  <c r="DF35" i="5"/>
  <c r="DF34" i="5"/>
  <c r="DF36" i="5"/>
  <c r="DF33" i="5"/>
  <c r="DF32" i="5"/>
  <c r="DF31" i="5" s="1"/>
  <c r="DF22" i="5"/>
  <c r="DF20" i="5"/>
  <c r="K20" i="5" s="1"/>
  <c r="DF9" i="5"/>
  <c r="K7" i="5"/>
  <c r="K26" i="2" s="1"/>
  <c r="DB19" i="3"/>
  <c r="DB31" i="3" l="1"/>
  <c r="CY47" i="3"/>
  <c r="CY50" i="3" s="1"/>
  <c r="CY49" i="3"/>
  <c r="DC38" i="3"/>
  <c r="DC13" i="3"/>
  <c r="DA46" i="3"/>
  <c r="DA49" i="3" s="1"/>
  <c r="CZ47" i="3"/>
  <c r="CZ50" i="3" s="1"/>
  <c r="DD41" i="3"/>
  <c r="DD38" i="3" s="1"/>
  <c r="DD34" i="3"/>
  <c r="DD36" i="3"/>
  <c r="DD20" i="3"/>
  <c r="DD22" i="3"/>
  <c r="DD11" i="3"/>
  <c r="DD13" i="3" s="1"/>
  <c r="DD9" i="3"/>
  <c r="DD19" i="3" s="1"/>
  <c r="DE41" i="4"/>
  <c r="DE38" i="4" s="1"/>
  <c r="DE24" i="4"/>
  <c r="DE43" i="4"/>
  <c r="DF1" i="4"/>
  <c r="DH7" i="5"/>
  <c r="DI2" i="5"/>
  <c r="CX47" i="4"/>
  <c r="DA27" i="4"/>
  <c r="DA18" i="4"/>
  <c r="DA26" i="4" s="1"/>
  <c r="DA29" i="4" s="1"/>
  <c r="DA46" i="4" s="1"/>
  <c r="DB11" i="4"/>
  <c r="DB13" i="4" s="1"/>
  <c r="DB19" i="4"/>
  <c r="DC33" i="4"/>
  <c r="DC36" i="4"/>
  <c r="DC34" i="4"/>
  <c r="DC32" i="4"/>
  <c r="DC31" i="4" s="1"/>
  <c r="DC20" i="4"/>
  <c r="DC35" i="4"/>
  <c r="DC22" i="4"/>
  <c r="DC9" i="4"/>
  <c r="DG35" i="5"/>
  <c r="L35" i="5" s="1"/>
  <c r="DG34" i="5"/>
  <c r="L34" i="5" s="1"/>
  <c r="DG33" i="5"/>
  <c r="L33" i="5" s="1"/>
  <c r="DG32" i="5"/>
  <c r="DG36" i="5"/>
  <c r="L36" i="5" s="1"/>
  <c r="DG22" i="5"/>
  <c r="L22" i="5" s="1"/>
  <c r="DG20" i="5"/>
  <c r="DG9" i="5"/>
  <c r="DG11" i="5" s="1"/>
  <c r="DD24" i="3"/>
  <c r="DE1" i="3"/>
  <c r="DC33" i="3"/>
  <c r="DC32" i="3"/>
  <c r="DC35" i="3"/>
  <c r="DG43" i="5"/>
  <c r="DG41" i="5"/>
  <c r="DG24" i="5"/>
  <c r="DG19" i="5"/>
  <c r="DH1" i="5"/>
  <c r="DD29" i="5"/>
  <c r="DD46" i="5" s="1"/>
  <c r="DC27" i="3"/>
  <c r="DC18" i="3"/>
  <c r="DC26" i="3" s="1"/>
  <c r="CW50" i="5"/>
  <c r="CX47" i="5"/>
  <c r="DE49" i="5"/>
  <c r="DF11" i="5"/>
  <c r="DF13" i="5" s="1"/>
  <c r="K9" i="5"/>
  <c r="K27" i="2" s="1"/>
  <c r="DF19" i="5"/>
  <c r="DF2" i="3"/>
  <c r="DE7" i="3"/>
  <c r="DB27" i="3"/>
  <c r="DB18" i="3"/>
  <c r="DB26" i="3" s="1"/>
  <c r="CZ29" i="4"/>
  <c r="CZ46" i="4" s="1"/>
  <c r="DE2" i="4"/>
  <c r="DD7" i="4"/>
  <c r="DA47" i="3" l="1"/>
  <c r="DA50" i="3" s="1"/>
  <c r="DC31" i="3"/>
  <c r="DB29" i="3"/>
  <c r="DC29" i="3"/>
  <c r="DC46" i="3" s="1"/>
  <c r="DD27" i="3"/>
  <c r="DD18" i="3"/>
  <c r="DD26" i="3" s="1"/>
  <c r="DD29" i="3" s="1"/>
  <c r="DC49" i="3"/>
  <c r="DG27" i="5"/>
  <c r="L27" i="5" s="1"/>
  <c r="L19" i="5"/>
  <c r="L18" i="5" s="1"/>
  <c r="DG18" i="5"/>
  <c r="CX50" i="4"/>
  <c r="CY47" i="4"/>
  <c r="CY50" i="4" s="1"/>
  <c r="DJ2" i="5"/>
  <c r="DI7" i="5"/>
  <c r="DH36" i="5"/>
  <c r="DH35" i="5"/>
  <c r="DH34" i="5"/>
  <c r="DH33" i="5"/>
  <c r="DH32" i="5"/>
  <c r="DH31" i="5" s="1"/>
  <c r="DH22" i="5"/>
  <c r="DH20" i="5"/>
  <c r="DH9" i="5"/>
  <c r="DH11" i="5" s="1"/>
  <c r="DH13" i="5" s="1"/>
  <c r="DG13" i="5"/>
  <c r="L13" i="5" s="1"/>
  <c r="L29" i="2" s="1"/>
  <c r="L11" i="5"/>
  <c r="DC11" i="4"/>
  <c r="DC13" i="4" s="1"/>
  <c r="DC19" i="4"/>
  <c r="DB27" i="4"/>
  <c r="DB18" i="4"/>
  <c r="DB26" i="4" s="1"/>
  <c r="DD33" i="3"/>
  <c r="DD32" i="3"/>
  <c r="DD35" i="3"/>
  <c r="CX50" i="5"/>
  <c r="CY47" i="5"/>
  <c r="DG38" i="5"/>
  <c r="DE41" i="3"/>
  <c r="DE38" i="3" s="1"/>
  <c r="DE36" i="3"/>
  <c r="DE34" i="3"/>
  <c r="DE20" i="3"/>
  <c r="DE11" i="3"/>
  <c r="DE9" i="3"/>
  <c r="DE19" i="3" s="1"/>
  <c r="DE22" i="3"/>
  <c r="DF7" i="3"/>
  <c r="DG2" i="3"/>
  <c r="DF41" i="4"/>
  <c r="DF38" i="4" s="1"/>
  <c r="DF43" i="4"/>
  <c r="DF24" i="4"/>
  <c r="DG1" i="4"/>
  <c r="DG26" i="5"/>
  <c r="DD36" i="4"/>
  <c r="DD35" i="4"/>
  <c r="DD34" i="4"/>
  <c r="DD33" i="4"/>
  <c r="DD32" i="4"/>
  <c r="DD31" i="4" s="1"/>
  <c r="DD20" i="4"/>
  <c r="DD22" i="4"/>
  <c r="DD9" i="4"/>
  <c r="DF27" i="5"/>
  <c r="DF18" i="5"/>
  <c r="DF26" i="5" s="1"/>
  <c r="DA49" i="4"/>
  <c r="DF2" i="4"/>
  <c r="DE7" i="4"/>
  <c r="DD49" i="5"/>
  <c r="CZ49" i="4"/>
  <c r="CZ47" i="4"/>
  <c r="CZ50" i="4" s="1"/>
  <c r="DH43" i="5"/>
  <c r="DH41" i="5"/>
  <c r="DH38" i="5" s="1"/>
  <c r="DH24" i="5"/>
  <c r="DI1" i="5"/>
  <c r="DH19" i="5"/>
  <c r="DE24" i="3"/>
  <c r="DF1" i="3"/>
  <c r="L32" i="5"/>
  <c r="L31" i="5" s="1"/>
  <c r="DG31" i="5"/>
  <c r="DD31" i="3" l="1"/>
  <c r="DD46" i="3"/>
  <c r="DD49" i="3" s="1"/>
  <c r="DE13" i="3"/>
  <c r="K11" i="3"/>
  <c r="K6" i="2" s="1"/>
  <c r="DB46" i="3"/>
  <c r="DA47" i="4"/>
  <c r="DA50" i="4" s="1"/>
  <c r="DB29" i="4"/>
  <c r="DB46" i="4" s="1"/>
  <c r="DB47" i="4" s="1"/>
  <c r="DB50" i="4" s="1"/>
  <c r="DF24" i="3"/>
  <c r="DG1" i="3"/>
  <c r="DF29" i="5"/>
  <c r="DF46" i="5" s="1"/>
  <c r="DE27" i="3"/>
  <c r="DE18" i="3"/>
  <c r="DE26" i="3" s="1"/>
  <c r="DE29" i="3" s="1"/>
  <c r="DD11" i="4"/>
  <c r="DD13" i="4" s="1"/>
  <c r="DD19" i="4"/>
  <c r="DG29" i="5"/>
  <c r="L26" i="5"/>
  <c r="DF36" i="3"/>
  <c r="DF41" i="3"/>
  <c r="DF38" i="3" s="1"/>
  <c r="DF34" i="3"/>
  <c r="DF22" i="3"/>
  <c r="DF11" i="3"/>
  <c r="DF13" i="3" s="1"/>
  <c r="DF20" i="3"/>
  <c r="K20" i="3" s="1"/>
  <c r="DF9" i="3"/>
  <c r="K7" i="3"/>
  <c r="K4" i="2" s="1"/>
  <c r="DI33" i="5"/>
  <c r="DI36" i="5"/>
  <c r="DI34" i="5"/>
  <c r="DI35" i="5"/>
  <c r="DI32" i="5"/>
  <c r="DI31" i="5" s="1"/>
  <c r="DI20" i="5"/>
  <c r="DI22" i="5"/>
  <c r="DI9" i="5"/>
  <c r="DI11" i="5" s="1"/>
  <c r="DI13" i="5" s="1"/>
  <c r="DG7" i="3"/>
  <c r="DH2" i="3"/>
  <c r="DC27" i="4"/>
  <c r="DC18" i="4"/>
  <c r="DC26" i="4" s="1"/>
  <c r="DC29" i="4" s="1"/>
  <c r="DC46" i="4" s="1"/>
  <c r="DK2" i="5"/>
  <c r="DJ7" i="5"/>
  <c r="DI43" i="5"/>
  <c r="DI41" i="5"/>
  <c r="DI24" i="5"/>
  <c r="DI19" i="5"/>
  <c r="DJ1" i="5"/>
  <c r="DE36" i="4"/>
  <c r="DE32" i="4"/>
  <c r="DE31" i="4" s="1"/>
  <c r="DE35" i="4"/>
  <c r="DE33" i="4"/>
  <c r="DE22" i="4"/>
  <c r="DE34" i="4"/>
  <c r="DE20" i="4"/>
  <c r="DE9" i="4"/>
  <c r="DG41" i="4"/>
  <c r="DG43" i="4"/>
  <c r="DG24" i="4"/>
  <c r="DH1" i="4"/>
  <c r="DE33" i="3"/>
  <c r="DE32" i="3"/>
  <c r="DE35" i="3"/>
  <c r="CY50" i="5"/>
  <c r="CZ47" i="5"/>
  <c r="DH27" i="5"/>
  <c r="DH18" i="5"/>
  <c r="DH26" i="5"/>
  <c r="DH29" i="5" s="1"/>
  <c r="DH46" i="5" s="1"/>
  <c r="DF7" i="4"/>
  <c r="DG2" i="4"/>
  <c r="L28" i="2"/>
  <c r="DB49" i="3" l="1"/>
  <c r="DB47" i="3"/>
  <c r="DE31" i="3"/>
  <c r="DE46" i="3" s="1"/>
  <c r="DB49" i="4"/>
  <c r="DH49" i="5"/>
  <c r="DJ36" i="5"/>
  <c r="DJ35" i="5"/>
  <c r="DJ34" i="5"/>
  <c r="DJ32" i="5"/>
  <c r="DJ31" i="5" s="1"/>
  <c r="DJ33" i="5"/>
  <c r="DJ20" i="5"/>
  <c r="DJ22" i="5"/>
  <c r="DJ9" i="5"/>
  <c r="DJ11" i="5" s="1"/>
  <c r="DJ13" i="5" s="1"/>
  <c r="DF49" i="5"/>
  <c r="DL2" i="5"/>
  <c r="DK7" i="5"/>
  <c r="DG24" i="3"/>
  <c r="DH1" i="3"/>
  <c r="CZ50" i="5"/>
  <c r="DA47" i="5"/>
  <c r="DH2" i="4"/>
  <c r="DG7" i="4"/>
  <c r="DG38" i="4"/>
  <c r="DC49" i="4"/>
  <c r="DC47" i="4"/>
  <c r="DC50" i="4" s="1"/>
  <c r="DF36" i="4"/>
  <c r="DF35" i="4"/>
  <c r="DF33" i="4"/>
  <c r="DF32" i="4"/>
  <c r="DF31" i="4" s="1"/>
  <c r="DF34" i="4"/>
  <c r="DF9" i="4"/>
  <c r="DF22" i="4"/>
  <c r="DF20" i="4"/>
  <c r="K20" i="4" s="1"/>
  <c r="K7" i="4"/>
  <c r="K15" i="2" s="1"/>
  <c r="DE11" i="4"/>
  <c r="DE13" i="4" s="1"/>
  <c r="DE19" i="4"/>
  <c r="DJ43" i="5"/>
  <c r="DJ41" i="5"/>
  <c r="DJ38" i="5" s="1"/>
  <c r="DJ24" i="5"/>
  <c r="DK1" i="5"/>
  <c r="DF33" i="3"/>
  <c r="DF32" i="3"/>
  <c r="DF35" i="3"/>
  <c r="K9" i="3"/>
  <c r="K5" i="2" s="1"/>
  <c r="DG46" i="5"/>
  <c r="L29" i="5"/>
  <c r="L30" i="2" s="1"/>
  <c r="DF19" i="3"/>
  <c r="DI27" i="5"/>
  <c r="DI18" i="5"/>
  <c r="DD27" i="4"/>
  <c r="DD18" i="4"/>
  <c r="DD26" i="4" s="1"/>
  <c r="DI26" i="5"/>
  <c r="DH7" i="3"/>
  <c r="DI2" i="3"/>
  <c r="DH43" i="4"/>
  <c r="DH41" i="4"/>
  <c r="DH24" i="4"/>
  <c r="DI1" i="4"/>
  <c r="DI38" i="5"/>
  <c r="DG41" i="3"/>
  <c r="DG36" i="3"/>
  <c r="DG34" i="3"/>
  <c r="DG22" i="3"/>
  <c r="DG20" i="3"/>
  <c r="DG11" i="3"/>
  <c r="DG9" i="3"/>
  <c r="DF31" i="3" l="1"/>
  <c r="DB50" i="3"/>
  <c r="DC47" i="3"/>
  <c r="DG38" i="3"/>
  <c r="DH41" i="3"/>
  <c r="DH38" i="3" s="1"/>
  <c r="DH36" i="3"/>
  <c r="DH34" i="3"/>
  <c r="DH22" i="3"/>
  <c r="DH9" i="3"/>
  <c r="DH20" i="3"/>
  <c r="DH11" i="3"/>
  <c r="DH13" i="3" s="1"/>
  <c r="DF27" i="3"/>
  <c r="DF18" i="3"/>
  <c r="DF26" i="3" s="1"/>
  <c r="DJ19" i="5"/>
  <c r="DK43" i="5"/>
  <c r="DK41" i="5"/>
  <c r="DK38" i="5" s="1"/>
  <c r="DK24" i="5"/>
  <c r="DL1" i="5"/>
  <c r="DF11" i="4"/>
  <c r="DF13" i="4" s="1"/>
  <c r="K9" i="4"/>
  <c r="K16" i="2" s="1"/>
  <c r="DF19" i="4"/>
  <c r="DG32" i="3"/>
  <c r="DG35" i="3"/>
  <c r="DG33" i="3"/>
  <c r="DG49" i="5"/>
  <c r="L46" i="5"/>
  <c r="L31" i="2" s="1"/>
  <c r="L32" i="2" s="1"/>
  <c r="W13" i="1" s="1"/>
  <c r="DG36" i="4"/>
  <c r="L36" i="4" s="1"/>
  <c r="DG35" i="4"/>
  <c r="L35" i="4" s="1"/>
  <c r="DG34" i="4"/>
  <c r="L34" i="4" s="1"/>
  <c r="DG33" i="4"/>
  <c r="L33" i="4" s="1"/>
  <c r="DG32" i="4"/>
  <c r="DG9" i="4"/>
  <c r="DG22" i="4"/>
  <c r="L22" i="4" s="1"/>
  <c r="DG20" i="4"/>
  <c r="DH24" i="3"/>
  <c r="DH19" i="3"/>
  <c r="DI1" i="3"/>
  <c r="DE49" i="3"/>
  <c r="DG13" i="3"/>
  <c r="DI43" i="4"/>
  <c r="DI24" i="4"/>
  <c r="DI41" i="4"/>
  <c r="DJ1" i="4"/>
  <c r="DD29" i="4"/>
  <c r="DD46" i="4" s="1"/>
  <c r="DE27" i="4"/>
  <c r="DE18" i="4"/>
  <c r="DE26" i="4" s="1"/>
  <c r="DH7" i="4"/>
  <c r="DI2" i="4"/>
  <c r="DG19" i="3"/>
  <c r="DI7" i="3"/>
  <c r="DJ2" i="3"/>
  <c r="DI29" i="5"/>
  <c r="DI46" i="5" s="1"/>
  <c r="DH38" i="4"/>
  <c r="DA50" i="5"/>
  <c r="DB47" i="5"/>
  <c r="DK36" i="5"/>
  <c r="DK35" i="5"/>
  <c r="DK34" i="5"/>
  <c r="DK32" i="5"/>
  <c r="DK31" i="5" s="1"/>
  <c r="DK33" i="5"/>
  <c r="DK20" i="5"/>
  <c r="DK22" i="5"/>
  <c r="DK9" i="5"/>
  <c r="DK11" i="5" s="1"/>
  <c r="DK13" i="5" s="1"/>
  <c r="DL7" i="5"/>
  <c r="DM2" i="5"/>
  <c r="DC50" i="3" l="1"/>
  <c r="DD47" i="3"/>
  <c r="DF18" i="4"/>
  <c r="DF26" i="4" s="1"/>
  <c r="DF29" i="4" s="1"/>
  <c r="DF46" i="4" s="1"/>
  <c r="DF27" i="4"/>
  <c r="DI49" i="5"/>
  <c r="DD49" i="4"/>
  <c r="DD47" i="4"/>
  <c r="DD50" i="4" s="1"/>
  <c r="DJ27" i="5"/>
  <c r="DJ18" i="5"/>
  <c r="DJ26" i="5" s="1"/>
  <c r="DJ7" i="3"/>
  <c r="DK2" i="3"/>
  <c r="DM7" i="5"/>
  <c r="DN2" i="5"/>
  <c r="DI41" i="3"/>
  <c r="DI34" i="3"/>
  <c r="DI36" i="3"/>
  <c r="DI22" i="3"/>
  <c r="DI20" i="3"/>
  <c r="DI9" i="3"/>
  <c r="DI11" i="3"/>
  <c r="DJ43" i="4"/>
  <c r="DJ41" i="4"/>
  <c r="DJ38" i="4" s="1"/>
  <c r="DK1" i="4"/>
  <c r="DJ24" i="4"/>
  <c r="DG11" i="4"/>
  <c r="DG19" i="4"/>
  <c r="DF29" i="3"/>
  <c r="DI7" i="4"/>
  <c r="DJ2" i="4"/>
  <c r="DH18" i="3"/>
  <c r="DH27" i="3"/>
  <c r="DL43" i="5"/>
  <c r="DL41" i="5"/>
  <c r="DL24" i="5"/>
  <c r="DM1" i="5"/>
  <c r="DI38" i="4"/>
  <c r="DB50" i="5"/>
  <c r="DC47" i="5"/>
  <c r="DH35" i="4"/>
  <c r="DH36" i="4"/>
  <c r="DH33" i="4"/>
  <c r="DH32" i="4"/>
  <c r="DH31" i="4" s="1"/>
  <c r="DH34" i="4"/>
  <c r="DH22" i="4"/>
  <c r="DH20" i="4"/>
  <c r="DH9" i="4"/>
  <c r="DH26" i="3"/>
  <c r="DG31" i="3"/>
  <c r="DK19" i="5"/>
  <c r="DL36" i="5"/>
  <c r="DL35" i="5"/>
  <c r="DL34" i="5"/>
  <c r="DL32" i="5"/>
  <c r="DL31" i="5" s="1"/>
  <c r="DL33" i="5"/>
  <c r="DL20" i="5"/>
  <c r="DL22" i="5"/>
  <c r="DL9" i="5"/>
  <c r="DL11" i="5" s="1"/>
  <c r="DL13" i="5" s="1"/>
  <c r="DG18" i="3"/>
  <c r="DG26" i="3" s="1"/>
  <c r="DG27" i="3"/>
  <c r="DI24" i="3"/>
  <c r="DI19" i="3"/>
  <c r="DJ1" i="3"/>
  <c r="L32" i="4"/>
  <c r="L31" i="4" s="1"/>
  <c r="DG31" i="4"/>
  <c r="DE29" i="4"/>
  <c r="DE46" i="4" s="1"/>
  <c r="DH32" i="3"/>
  <c r="DH35" i="3"/>
  <c r="DH33" i="3"/>
  <c r="DH29" i="3" l="1"/>
  <c r="DH31" i="3"/>
  <c r="DI38" i="3"/>
  <c r="DD50" i="3"/>
  <c r="DE47" i="3"/>
  <c r="DE50" i="3" s="1"/>
  <c r="DI13" i="3"/>
  <c r="DF46" i="3"/>
  <c r="DF47" i="3" s="1"/>
  <c r="K29" i="3"/>
  <c r="K8" i="2" s="1"/>
  <c r="DI18" i="3"/>
  <c r="DI27" i="3"/>
  <c r="DG27" i="4"/>
  <c r="L27" i="4" s="1"/>
  <c r="L19" i="4"/>
  <c r="L18" i="4" s="1"/>
  <c r="DG18" i="4"/>
  <c r="DG26" i="4" s="1"/>
  <c r="DI35" i="3"/>
  <c r="DI33" i="3"/>
  <c r="DI32" i="3"/>
  <c r="DK7" i="3"/>
  <c r="DL2" i="3"/>
  <c r="DI26" i="3"/>
  <c r="DL38" i="5"/>
  <c r="L11" i="4"/>
  <c r="DG13" i="4"/>
  <c r="L13" i="4" s="1"/>
  <c r="L18" i="2" s="1"/>
  <c r="DJ34" i="3"/>
  <c r="DJ41" i="3"/>
  <c r="DJ38" i="3" s="1"/>
  <c r="DJ22" i="3"/>
  <c r="DJ36" i="3"/>
  <c r="DJ20" i="3"/>
  <c r="DJ11" i="3"/>
  <c r="DJ13" i="3" s="1"/>
  <c r="DJ9" i="3"/>
  <c r="DJ19" i="3" s="1"/>
  <c r="DJ24" i="3"/>
  <c r="DK1" i="3"/>
  <c r="DM41" i="5"/>
  <c r="DM43" i="5"/>
  <c r="DM24" i="5"/>
  <c r="DM19" i="5"/>
  <c r="DN1" i="5"/>
  <c r="DM36" i="5"/>
  <c r="DM35" i="5"/>
  <c r="DM34" i="5"/>
  <c r="DM32" i="5"/>
  <c r="DM31" i="5" s="1"/>
  <c r="DM33" i="5"/>
  <c r="DM20" i="5"/>
  <c r="DM22" i="5"/>
  <c r="DM9" i="5"/>
  <c r="DM11" i="5" s="1"/>
  <c r="DM13" i="5" s="1"/>
  <c r="DH11" i="4"/>
  <c r="DH13" i="4" s="1"/>
  <c r="DH19" i="4"/>
  <c r="DC50" i="5"/>
  <c r="DD47" i="5"/>
  <c r="DJ29" i="5"/>
  <c r="DJ46" i="5" s="1"/>
  <c r="DK27" i="5"/>
  <c r="DK18" i="5"/>
  <c r="DK26" i="5" s="1"/>
  <c r="DK2" i="4"/>
  <c r="DJ7" i="4"/>
  <c r="DL19" i="5"/>
  <c r="DG29" i="3"/>
  <c r="DK43" i="4"/>
  <c r="DK41" i="4"/>
  <c r="DK38" i="4" s="1"/>
  <c r="DK24" i="4"/>
  <c r="DL1" i="4"/>
  <c r="DE49" i="4"/>
  <c r="DE47" i="4"/>
  <c r="DE50" i="4" s="1"/>
  <c r="DF49" i="4"/>
  <c r="DI35" i="4"/>
  <c r="DI34" i="4"/>
  <c r="DI32" i="4"/>
  <c r="DI31" i="4" s="1"/>
  <c r="DI36" i="4"/>
  <c r="DI33" i="4"/>
  <c r="DI22" i="4"/>
  <c r="DI20" i="4"/>
  <c r="DI9" i="4"/>
  <c r="DN7" i="5"/>
  <c r="DO2" i="5"/>
  <c r="DF49" i="3" l="1"/>
  <c r="DH46" i="3"/>
  <c r="DH49" i="3" s="1"/>
  <c r="DI31" i="3"/>
  <c r="DI29" i="3"/>
  <c r="DJ27" i="3"/>
  <c r="DJ18" i="3"/>
  <c r="DD50" i="5"/>
  <c r="DE47" i="5"/>
  <c r="DM27" i="5"/>
  <c r="DM18" i="5"/>
  <c r="DG46" i="3"/>
  <c r="DH27" i="4"/>
  <c r="DH18" i="4"/>
  <c r="DH26" i="4" s="1"/>
  <c r="DM38" i="5"/>
  <c r="DM2" i="3"/>
  <c r="DL7" i="3"/>
  <c r="DL27" i="5"/>
  <c r="DL18" i="5"/>
  <c r="DL26" i="5" s="1"/>
  <c r="DL29" i="5" s="1"/>
  <c r="DL46" i="5" s="1"/>
  <c r="DL41" i="4"/>
  <c r="DL43" i="4"/>
  <c r="DL24" i="4"/>
  <c r="DM1" i="4"/>
  <c r="DK41" i="3"/>
  <c r="DK34" i="3"/>
  <c r="DK36" i="3"/>
  <c r="DK22" i="3"/>
  <c r="DK20" i="3"/>
  <c r="DK11" i="3"/>
  <c r="DK13" i="3" s="1"/>
  <c r="DK9" i="3"/>
  <c r="DK19" i="3" s="1"/>
  <c r="DJ34" i="4"/>
  <c r="DJ36" i="4"/>
  <c r="DJ35" i="4"/>
  <c r="DJ22" i="4"/>
  <c r="DJ32" i="4"/>
  <c r="DJ31" i="4" s="1"/>
  <c r="DJ33" i="4"/>
  <c r="DJ20" i="4"/>
  <c r="DJ9" i="4"/>
  <c r="DO7" i="5"/>
  <c r="DP2" i="5"/>
  <c r="DK7" i="4"/>
  <c r="DL2" i="4"/>
  <c r="DN35" i="5"/>
  <c r="DN34" i="5"/>
  <c r="DN36" i="5"/>
  <c r="DN32" i="5"/>
  <c r="DN31" i="5" s="1"/>
  <c r="DN33" i="5"/>
  <c r="DN22" i="5"/>
  <c r="DN20" i="5"/>
  <c r="DN9" i="5"/>
  <c r="DN11" i="5" s="1"/>
  <c r="DN13" i="5" s="1"/>
  <c r="DK29" i="5"/>
  <c r="DK46" i="5" s="1"/>
  <c r="DL1" i="3"/>
  <c r="DK24" i="3"/>
  <c r="DM26" i="5"/>
  <c r="DM29" i="5" s="1"/>
  <c r="DM46" i="5" s="1"/>
  <c r="DF47" i="4"/>
  <c r="DJ26" i="3"/>
  <c r="DF50" i="3"/>
  <c r="K47" i="3"/>
  <c r="DI11" i="4"/>
  <c r="DI13" i="4" s="1"/>
  <c r="DI19" i="4"/>
  <c r="DJ49" i="5"/>
  <c r="DN43" i="5"/>
  <c r="DN41" i="5"/>
  <c r="DN38" i="5" s="1"/>
  <c r="DN24" i="5"/>
  <c r="DN19" i="5"/>
  <c r="DO1" i="5"/>
  <c r="DJ35" i="3"/>
  <c r="DJ33" i="3"/>
  <c r="DJ32" i="3"/>
  <c r="DJ31" i="3" s="1"/>
  <c r="L17" i="2"/>
  <c r="DG29" i="4"/>
  <c r="L26" i="4"/>
  <c r="DI46" i="3" l="1"/>
  <c r="DI49" i="3" s="1"/>
  <c r="DK38" i="3"/>
  <c r="DJ29" i="3"/>
  <c r="DJ46" i="3" s="1"/>
  <c r="DM49" i="5"/>
  <c r="DK33" i="4"/>
  <c r="DK36" i="4"/>
  <c r="DK32" i="4"/>
  <c r="DK31" i="4" s="1"/>
  <c r="DK34" i="4"/>
  <c r="DK35" i="4"/>
  <c r="DK20" i="4"/>
  <c r="DK22" i="4"/>
  <c r="DK9" i="4"/>
  <c r="DG46" i="4"/>
  <c r="L29" i="4"/>
  <c r="L19" i="2" s="1"/>
  <c r="DI27" i="4"/>
  <c r="DI18" i="4"/>
  <c r="DI26" i="4" s="1"/>
  <c r="DP7" i="5"/>
  <c r="DQ2" i="5"/>
  <c r="DL49" i="5"/>
  <c r="DG49" i="3"/>
  <c r="DG47" i="3"/>
  <c r="DO43" i="5"/>
  <c r="DO41" i="5"/>
  <c r="DO24" i="5"/>
  <c r="DP1" i="5"/>
  <c r="DL24" i="3"/>
  <c r="DM1" i="3"/>
  <c r="DO35" i="5"/>
  <c r="DO34" i="5"/>
  <c r="DO32" i="5"/>
  <c r="DO31" i="5" s="1"/>
  <c r="DO33" i="5"/>
  <c r="DO36" i="5"/>
  <c r="DO22" i="5"/>
  <c r="DO20" i="5"/>
  <c r="DO9" i="5"/>
  <c r="DO11" i="5" s="1"/>
  <c r="DO13" i="5" s="1"/>
  <c r="DM41" i="4"/>
  <c r="DM38" i="4" s="1"/>
  <c r="DM43" i="4"/>
  <c r="DM24" i="4"/>
  <c r="DN1" i="4"/>
  <c r="DN27" i="5"/>
  <c r="DN18" i="5"/>
  <c r="DK27" i="3"/>
  <c r="DK18" i="3"/>
  <c r="DK26" i="3" s="1"/>
  <c r="DJ11" i="4"/>
  <c r="DJ13" i="4" s="1"/>
  <c r="DJ19" i="4"/>
  <c r="DL41" i="3"/>
  <c r="DL38" i="3" s="1"/>
  <c r="DL34" i="3"/>
  <c r="DL36" i="3"/>
  <c r="DL20" i="3"/>
  <c r="DL22" i="3"/>
  <c r="DL11" i="3"/>
  <c r="DL9" i="3"/>
  <c r="DL19" i="3" s="1"/>
  <c r="DN26" i="5"/>
  <c r="DK49" i="5"/>
  <c r="DM7" i="3"/>
  <c r="DN2" i="3"/>
  <c r="DE50" i="5"/>
  <c r="DF47" i="5"/>
  <c r="DK33" i="3"/>
  <c r="DK32" i="3"/>
  <c r="DK35" i="3"/>
  <c r="DF50" i="4"/>
  <c r="K47" i="4"/>
  <c r="DL38" i="4"/>
  <c r="DH29" i="4"/>
  <c r="DH46" i="4" s="1"/>
  <c r="DM2" i="4"/>
  <c r="DL7" i="4"/>
  <c r="DK29" i="3" l="1"/>
  <c r="DJ49" i="3"/>
  <c r="DK31" i="3"/>
  <c r="DL13" i="3"/>
  <c r="DK46" i="3"/>
  <c r="DL27" i="3"/>
  <c r="DL18" i="3"/>
  <c r="DL26" i="3" s="1"/>
  <c r="DM41" i="3"/>
  <c r="DM38" i="3" s="1"/>
  <c r="DM36" i="3"/>
  <c r="DM34" i="3"/>
  <c r="DM20" i="3"/>
  <c r="DM11" i="3"/>
  <c r="DM13" i="3" s="1"/>
  <c r="DM9" i="3"/>
  <c r="DM19" i="3" s="1"/>
  <c r="DM22" i="3"/>
  <c r="DG50" i="3"/>
  <c r="DH47" i="3"/>
  <c r="DI29" i="4"/>
  <c r="DI46" i="4" s="1"/>
  <c r="DM24" i="3"/>
  <c r="DN1" i="3"/>
  <c r="DL33" i="4"/>
  <c r="DL36" i="4"/>
  <c r="DL35" i="4"/>
  <c r="DL34" i="4"/>
  <c r="DL32" i="4"/>
  <c r="DL31" i="4" s="1"/>
  <c r="DL20" i="4"/>
  <c r="DL9" i="4"/>
  <c r="DL22" i="4"/>
  <c r="DN2" i="4"/>
  <c r="DM7" i="4"/>
  <c r="DN41" i="4"/>
  <c r="DN43" i="4"/>
  <c r="DN24" i="4"/>
  <c r="DO1" i="4"/>
  <c r="DO19" i="5"/>
  <c r="DG47" i="4"/>
  <c r="DG50" i="4" s="1"/>
  <c r="L46" i="4"/>
  <c r="L20" i="2" s="1"/>
  <c r="L21" i="2" s="1"/>
  <c r="W11" i="1" s="1"/>
  <c r="DG49" i="4"/>
  <c r="DP43" i="5"/>
  <c r="DP41" i="5"/>
  <c r="DP38" i="5" s="1"/>
  <c r="DP24" i="5"/>
  <c r="DQ1" i="5"/>
  <c r="DN29" i="5"/>
  <c r="DN46" i="5" s="1"/>
  <c r="DJ27" i="4"/>
  <c r="DJ18" i="4"/>
  <c r="DJ26" i="4" s="1"/>
  <c r="DJ29" i="4" s="1"/>
  <c r="DJ46" i="4" s="1"/>
  <c r="DR2" i="5"/>
  <c r="DQ7" i="5"/>
  <c r="DK11" i="4"/>
  <c r="DK13" i="4" s="1"/>
  <c r="DK19" i="4"/>
  <c r="DO2" i="3"/>
  <c r="DN7" i="3"/>
  <c r="DH49" i="4"/>
  <c r="DH47" i="4"/>
  <c r="DH50" i="4" s="1"/>
  <c r="DF50" i="5"/>
  <c r="K47" i="5"/>
  <c r="DG47" i="5"/>
  <c r="DL33" i="3"/>
  <c r="DL32" i="3"/>
  <c r="DL35" i="3"/>
  <c r="DO38" i="5"/>
  <c r="DP36" i="5"/>
  <c r="DP35" i="5"/>
  <c r="DP33" i="5"/>
  <c r="DP34" i="5"/>
  <c r="DP32" i="5"/>
  <c r="DP31" i="5" s="1"/>
  <c r="DP22" i="5"/>
  <c r="DP20" i="5"/>
  <c r="DP9" i="5"/>
  <c r="DP11" i="5" s="1"/>
  <c r="DP13" i="5" s="1"/>
  <c r="DK49" i="3" l="1"/>
  <c r="DL31" i="3"/>
  <c r="DM27" i="3"/>
  <c r="DM18" i="3"/>
  <c r="DM26" i="3" s="1"/>
  <c r="DM29" i="3" s="1"/>
  <c r="DI49" i="4"/>
  <c r="DI47" i="4"/>
  <c r="DI50" i="4" s="1"/>
  <c r="DN36" i="3"/>
  <c r="DN41" i="3"/>
  <c r="DN34" i="3"/>
  <c r="DN22" i="3"/>
  <c r="DN20" i="3"/>
  <c r="DN11" i="3"/>
  <c r="DN9" i="3"/>
  <c r="DH50" i="3"/>
  <c r="DI47" i="3"/>
  <c r="DO7" i="3"/>
  <c r="DP2" i="3"/>
  <c r="DM36" i="4"/>
  <c r="DM32" i="4"/>
  <c r="DM31" i="4" s="1"/>
  <c r="DM35" i="4"/>
  <c r="DM34" i="4"/>
  <c r="DM33" i="4"/>
  <c r="DM22" i="4"/>
  <c r="DM20" i="4"/>
  <c r="DM9" i="4"/>
  <c r="DL29" i="3"/>
  <c r="DJ49" i="4"/>
  <c r="DN38" i="4"/>
  <c r="DK27" i="4"/>
  <c r="DK18" i="4"/>
  <c r="DK26" i="4" s="1"/>
  <c r="DG50" i="5"/>
  <c r="DH47" i="5"/>
  <c r="DN49" i="5"/>
  <c r="DN7" i="4"/>
  <c r="DO2" i="4"/>
  <c r="DQ33" i="5"/>
  <c r="DQ36" i="5"/>
  <c r="DQ35" i="5"/>
  <c r="DQ34" i="5"/>
  <c r="DQ32" i="5"/>
  <c r="DQ31" i="5" s="1"/>
  <c r="DQ22" i="5"/>
  <c r="DQ20" i="5"/>
  <c r="DQ9" i="5"/>
  <c r="DQ11" i="5" s="1"/>
  <c r="DQ13" i="5" s="1"/>
  <c r="DP19" i="5"/>
  <c r="DO27" i="5"/>
  <c r="DO18" i="5"/>
  <c r="DO26" i="5" s="1"/>
  <c r="DN19" i="3"/>
  <c r="DN24" i="3"/>
  <c r="DO1" i="3"/>
  <c r="DM33" i="3"/>
  <c r="DM32" i="3"/>
  <c r="DM35" i="3"/>
  <c r="DS2" i="5"/>
  <c r="DR7" i="5"/>
  <c r="DQ43" i="5"/>
  <c r="DQ41" i="5"/>
  <c r="DQ24" i="5"/>
  <c r="DR1" i="5"/>
  <c r="DO41" i="4"/>
  <c r="DO43" i="4"/>
  <c r="DO24" i="4"/>
  <c r="DP1" i="4"/>
  <c r="DL11" i="4"/>
  <c r="DL13" i="4" s="1"/>
  <c r="DL19" i="4"/>
  <c r="DN13" i="3" l="1"/>
  <c r="DM31" i="3"/>
  <c r="DL46" i="3"/>
  <c r="DM46" i="3"/>
  <c r="DM49" i="3" s="1"/>
  <c r="DN38" i="3"/>
  <c r="DK29" i="4"/>
  <c r="DK46" i="4" s="1"/>
  <c r="DJ47" i="4"/>
  <c r="DJ50" i="4" s="1"/>
  <c r="DO38" i="4"/>
  <c r="DP27" i="5"/>
  <c r="DP18" i="5"/>
  <c r="DP26" i="5" s="1"/>
  <c r="DI50" i="3"/>
  <c r="DJ47" i="3"/>
  <c r="DK47" i="4"/>
  <c r="DK50" i="4" s="1"/>
  <c r="DK49" i="4"/>
  <c r="DQ19" i="5"/>
  <c r="DN36" i="4"/>
  <c r="DN35" i="4"/>
  <c r="DN33" i="4"/>
  <c r="DN34" i="4"/>
  <c r="DN9" i="4"/>
  <c r="DN32" i="4"/>
  <c r="DN31" i="4" s="1"/>
  <c r="DN20" i="4"/>
  <c r="DN22" i="4"/>
  <c r="DN33" i="3"/>
  <c r="DN32" i="3"/>
  <c r="DN35" i="3"/>
  <c r="DR43" i="5"/>
  <c r="DR41" i="5"/>
  <c r="DR38" i="5" s="1"/>
  <c r="DR24" i="5"/>
  <c r="DS1" i="5"/>
  <c r="DO7" i="4"/>
  <c r="DP2" i="4"/>
  <c r="DO24" i="3"/>
  <c r="DP1" i="3"/>
  <c r="DS7" i="5"/>
  <c r="DT2" i="5"/>
  <c r="DO41" i="3"/>
  <c r="DO38" i="3" s="1"/>
  <c r="DO36" i="3"/>
  <c r="DO34" i="3"/>
  <c r="DO22" i="3"/>
  <c r="DO20" i="3"/>
  <c r="DO11" i="3"/>
  <c r="DO13" i="3" s="1"/>
  <c r="DO9" i="3"/>
  <c r="DO19" i="3" s="1"/>
  <c r="DL27" i="4"/>
  <c r="DL18" i="4"/>
  <c r="DL26" i="4" s="1"/>
  <c r="DL29" i="4" s="1"/>
  <c r="DL46" i="4" s="1"/>
  <c r="DP43" i="4"/>
  <c r="DP41" i="4"/>
  <c r="DP38" i="4" s="1"/>
  <c r="DP24" i="4"/>
  <c r="DQ1" i="4"/>
  <c r="DQ38" i="5"/>
  <c r="DH50" i="5"/>
  <c r="DI47" i="5"/>
  <c r="DN27" i="3"/>
  <c r="DN18" i="3"/>
  <c r="DN26" i="3" s="1"/>
  <c r="DR36" i="5"/>
  <c r="DR35" i="5"/>
  <c r="DR34" i="5"/>
  <c r="DR32" i="5"/>
  <c r="DR31" i="5" s="1"/>
  <c r="DR33" i="5"/>
  <c r="DR22" i="5"/>
  <c r="DR20" i="5"/>
  <c r="L20" i="5" s="1"/>
  <c r="DR9" i="5"/>
  <c r="L7" i="5"/>
  <c r="L26" i="2" s="1"/>
  <c r="DO29" i="5"/>
  <c r="DO46" i="5" s="1"/>
  <c r="DM11" i="4"/>
  <c r="DM13" i="4" s="1"/>
  <c r="DM19" i="4"/>
  <c r="DP7" i="3"/>
  <c r="DQ2" i="3"/>
  <c r="DN31" i="3" l="1"/>
  <c r="DL49" i="3"/>
  <c r="DN29" i="3"/>
  <c r="DQ43" i="4"/>
  <c r="DQ41" i="4"/>
  <c r="DQ38" i="4" s="1"/>
  <c r="DQ24" i="4"/>
  <c r="DR1" i="4"/>
  <c r="DJ50" i="3"/>
  <c r="DK47" i="3"/>
  <c r="DM27" i="4"/>
  <c r="DM18" i="4"/>
  <c r="DM26" i="4" s="1"/>
  <c r="DI50" i="5"/>
  <c r="DJ47" i="5"/>
  <c r="DP7" i="4"/>
  <c r="DQ2" i="4"/>
  <c r="DP24" i="3"/>
  <c r="DQ1" i="3"/>
  <c r="DP41" i="3"/>
  <c r="DP36" i="3"/>
  <c r="DP34" i="3"/>
  <c r="DP22" i="3"/>
  <c r="DP20" i="3"/>
  <c r="DP9" i="3"/>
  <c r="DP19" i="3" s="1"/>
  <c r="DP11" i="3"/>
  <c r="DP13" i="3" s="1"/>
  <c r="DO49" i="5"/>
  <c r="DO36" i="4"/>
  <c r="DO35" i="4"/>
  <c r="DO34" i="4"/>
  <c r="DO33" i="4"/>
  <c r="DO32" i="4"/>
  <c r="DO31" i="4" s="1"/>
  <c r="DO9" i="4"/>
  <c r="DO22" i="4"/>
  <c r="DO20" i="4"/>
  <c r="DP29" i="5"/>
  <c r="DP46" i="5" s="1"/>
  <c r="DQ7" i="3"/>
  <c r="DR2" i="3"/>
  <c r="DN11" i="4"/>
  <c r="DN13" i="4" s="1"/>
  <c r="DN19" i="4"/>
  <c r="DO18" i="3"/>
  <c r="DO26" i="3" s="1"/>
  <c r="DO27" i="3"/>
  <c r="DL49" i="4"/>
  <c r="DL47" i="4"/>
  <c r="DL50" i="4" s="1"/>
  <c r="DT7" i="5"/>
  <c r="DU2" i="5"/>
  <c r="DS43" i="5"/>
  <c r="DS41" i="5"/>
  <c r="DS24" i="5"/>
  <c r="DT1" i="5"/>
  <c r="DQ27" i="5"/>
  <c r="DQ18" i="5"/>
  <c r="DQ26" i="5" s="1"/>
  <c r="DQ29" i="5" s="1"/>
  <c r="DQ46" i="5" s="1"/>
  <c r="DR11" i="5"/>
  <c r="DR13" i="5" s="1"/>
  <c r="L9" i="5"/>
  <c r="L27" i="2" s="1"/>
  <c r="DO32" i="3"/>
  <c r="DO35" i="3"/>
  <c r="DO33" i="3"/>
  <c r="DS36" i="5"/>
  <c r="M36" i="5" s="1"/>
  <c r="DS35" i="5"/>
  <c r="M35" i="5" s="1"/>
  <c r="DS32" i="5"/>
  <c r="DS34" i="5"/>
  <c r="M34" i="5" s="1"/>
  <c r="DS33" i="5"/>
  <c r="M33" i="5" s="1"/>
  <c r="DS20" i="5"/>
  <c r="DS22" i="5"/>
  <c r="M22" i="5" s="1"/>
  <c r="DS9" i="5"/>
  <c r="DS11" i="5" s="1"/>
  <c r="DR19" i="5"/>
  <c r="DN46" i="3" l="1"/>
  <c r="DN49" i="3" s="1"/>
  <c r="DO31" i="3"/>
  <c r="DP38" i="3"/>
  <c r="DO29" i="3"/>
  <c r="DO46" i="3" s="1"/>
  <c r="DO49" i="3" s="1"/>
  <c r="DM29" i="4"/>
  <c r="DM46" i="4" s="1"/>
  <c r="DP18" i="3"/>
  <c r="DP26" i="3" s="1"/>
  <c r="DP27" i="3"/>
  <c r="DP49" i="5"/>
  <c r="DT43" i="5"/>
  <c r="DT41" i="5"/>
  <c r="DT24" i="5"/>
  <c r="DU1" i="5"/>
  <c r="DR43" i="4"/>
  <c r="DR41" i="4"/>
  <c r="DR38" i="4" s="1"/>
  <c r="DR24" i="4"/>
  <c r="DS1" i="4"/>
  <c r="DS13" i="5"/>
  <c r="M13" i="5" s="1"/>
  <c r="M29" i="2" s="1"/>
  <c r="M11" i="5"/>
  <c r="DS19" i="5"/>
  <c r="DQ24" i="3"/>
  <c r="DR1" i="3"/>
  <c r="DO11" i="4"/>
  <c r="DO13" i="4" s="1"/>
  <c r="DO19" i="4"/>
  <c r="M32" i="5"/>
  <c r="M31" i="5" s="1"/>
  <c r="DS31" i="5"/>
  <c r="DR27" i="5"/>
  <c r="DR18" i="5"/>
  <c r="DR26" i="5" s="1"/>
  <c r="DR29" i="5" s="1"/>
  <c r="DR46" i="5" s="1"/>
  <c r="DM49" i="4"/>
  <c r="DM47" i="4"/>
  <c r="DM50" i="4" s="1"/>
  <c r="DS38" i="5"/>
  <c r="DN18" i="4"/>
  <c r="DN26" i="4" s="1"/>
  <c r="DN27" i="4"/>
  <c r="DP32" i="3"/>
  <c r="DP35" i="3"/>
  <c r="DP33" i="3"/>
  <c r="DQ7" i="4"/>
  <c r="DR2" i="4"/>
  <c r="DK50" i="3"/>
  <c r="DL47" i="3"/>
  <c r="DU7" i="5"/>
  <c r="DV2" i="5"/>
  <c r="DR7" i="3"/>
  <c r="DS2" i="3"/>
  <c r="DP35" i="4"/>
  <c r="DP36" i="4"/>
  <c r="DP34" i="4"/>
  <c r="DP33" i="4"/>
  <c r="DP32" i="4"/>
  <c r="DP31" i="4" s="1"/>
  <c r="DP22" i="4"/>
  <c r="DP20" i="4"/>
  <c r="DP9" i="4"/>
  <c r="DQ49" i="5"/>
  <c r="DT36" i="5"/>
  <c r="DT35" i="5"/>
  <c r="DT34" i="5"/>
  <c r="DT32" i="5"/>
  <c r="DT31" i="5" s="1"/>
  <c r="DT33" i="5"/>
  <c r="DT22" i="5"/>
  <c r="DT20" i="5"/>
  <c r="DT9" i="5"/>
  <c r="DT11" i="5" s="1"/>
  <c r="DT13" i="5" s="1"/>
  <c r="DQ41" i="3"/>
  <c r="DQ38" i="3" s="1"/>
  <c r="DQ34" i="3"/>
  <c r="DQ36" i="3"/>
  <c r="DQ22" i="3"/>
  <c r="DQ20" i="3"/>
  <c r="DQ9" i="3"/>
  <c r="DQ11" i="3"/>
  <c r="DQ13" i="3" s="1"/>
  <c r="DJ50" i="5"/>
  <c r="DK47" i="5"/>
  <c r="DP29" i="3" l="1"/>
  <c r="DP31" i="3"/>
  <c r="DP46" i="3" s="1"/>
  <c r="DP49" i="3" s="1"/>
  <c r="DN29" i="4"/>
  <c r="DN46" i="4" s="1"/>
  <c r="DQ35" i="3"/>
  <c r="DQ33" i="3"/>
  <c r="DQ32" i="3"/>
  <c r="DS7" i="3"/>
  <c r="DT2" i="3"/>
  <c r="DV7" i="5"/>
  <c r="DW2" i="5"/>
  <c r="DS43" i="4"/>
  <c r="DS41" i="4"/>
  <c r="DS24" i="4"/>
  <c r="DT1" i="4"/>
  <c r="DT38" i="5"/>
  <c r="DU36" i="5"/>
  <c r="DU35" i="5"/>
  <c r="DU34" i="5"/>
  <c r="DU32" i="5"/>
  <c r="DU31" i="5" s="1"/>
  <c r="DU33" i="5"/>
  <c r="DU20" i="5"/>
  <c r="DU9" i="5"/>
  <c r="DU11" i="5" s="1"/>
  <c r="DU13" i="5" s="1"/>
  <c r="DU22" i="5"/>
  <c r="DR49" i="5"/>
  <c r="DL50" i="3"/>
  <c r="DM47" i="3"/>
  <c r="DR24" i="3"/>
  <c r="DS1" i="3"/>
  <c r="DK50" i="5"/>
  <c r="DL47" i="5"/>
  <c r="DQ19" i="3"/>
  <c r="DP11" i="4"/>
  <c r="DP13" i="4" s="1"/>
  <c r="DP19" i="4"/>
  <c r="DR7" i="4"/>
  <c r="DS2" i="4"/>
  <c r="DN49" i="4"/>
  <c r="DN47" i="4"/>
  <c r="DN50" i="4" s="1"/>
  <c r="DQ35" i="4"/>
  <c r="DQ34" i="4"/>
  <c r="DQ33" i="4"/>
  <c r="DQ32" i="4"/>
  <c r="DQ31" i="4" s="1"/>
  <c r="DQ36" i="4"/>
  <c r="DQ22" i="4"/>
  <c r="DQ20" i="4"/>
  <c r="DQ9" i="4"/>
  <c r="DS27" i="5"/>
  <c r="M27" i="5" s="1"/>
  <c r="M19" i="5"/>
  <c r="M18" i="5" s="1"/>
  <c r="DS18" i="5"/>
  <c r="DS26" i="5" s="1"/>
  <c r="DU41" i="5"/>
  <c r="DU43" i="5"/>
  <c r="DU24" i="5"/>
  <c r="DU19" i="5"/>
  <c r="DV1" i="5"/>
  <c r="DO27" i="4"/>
  <c r="DO18" i="4"/>
  <c r="DO26" i="4" s="1"/>
  <c r="M28" i="2"/>
  <c r="DT19" i="5"/>
  <c r="DR41" i="3"/>
  <c r="DR38" i="3" s="1"/>
  <c r="DR34" i="3"/>
  <c r="DR36" i="3"/>
  <c r="DR22" i="3"/>
  <c r="DR20" i="3"/>
  <c r="DR11" i="3"/>
  <c r="DR13" i="3" s="1"/>
  <c r="DR9" i="3"/>
  <c r="DR19" i="3" s="1"/>
  <c r="DQ31" i="3" l="1"/>
  <c r="DQ18" i="3"/>
  <c r="DQ26" i="3" s="1"/>
  <c r="DQ27" i="3"/>
  <c r="DT27" i="5"/>
  <c r="DT18" i="5"/>
  <c r="DT26" i="5" s="1"/>
  <c r="DT29" i="5" s="1"/>
  <c r="DT46" i="5" s="1"/>
  <c r="DV43" i="5"/>
  <c r="DV41" i="5"/>
  <c r="DV38" i="5" s="1"/>
  <c r="DV24" i="5"/>
  <c r="DV19" i="5"/>
  <c r="DW1" i="5"/>
  <c r="DQ11" i="4"/>
  <c r="DQ13" i="4" s="1"/>
  <c r="DQ19" i="4"/>
  <c r="DL50" i="5"/>
  <c r="DM47" i="5"/>
  <c r="DW7" i="5"/>
  <c r="DX2" i="5"/>
  <c r="DR35" i="3"/>
  <c r="DR33" i="3"/>
  <c r="DR32" i="3"/>
  <c r="DU27" i="5"/>
  <c r="DU18" i="5"/>
  <c r="DV35" i="5"/>
  <c r="DV34" i="5"/>
  <c r="DV36" i="5"/>
  <c r="DV32" i="5"/>
  <c r="DV31" i="5" s="1"/>
  <c r="DV33" i="5"/>
  <c r="DV22" i="5"/>
  <c r="DV20" i="5"/>
  <c r="DV9" i="5"/>
  <c r="DV11" i="5" s="1"/>
  <c r="DV13" i="5" s="1"/>
  <c r="DU26" i="5"/>
  <c r="DU29" i="5" s="1"/>
  <c r="DU46" i="5" s="1"/>
  <c r="DU2" i="3"/>
  <c r="DT7" i="3"/>
  <c r="DS7" i="4"/>
  <c r="DT2" i="4"/>
  <c r="DT1" i="3"/>
  <c r="DS24" i="3"/>
  <c r="DT41" i="4"/>
  <c r="DT43" i="4"/>
  <c r="DT24" i="4"/>
  <c r="DU1" i="4"/>
  <c r="DS41" i="3"/>
  <c r="DS34" i="3"/>
  <c r="DS36" i="3"/>
  <c r="DS22" i="3"/>
  <c r="DS20" i="3"/>
  <c r="DS11" i="3"/>
  <c r="DS9" i="3"/>
  <c r="DS19" i="3" s="1"/>
  <c r="DU38" i="5"/>
  <c r="DR34" i="4"/>
  <c r="DR36" i="4"/>
  <c r="DR35" i="4"/>
  <c r="DR22" i="4"/>
  <c r="DR33" i="4"/>
  <c r="DR32" i="4"/>
  <c r="DR31" i="4" s="1"/>
  <c r="DR20" i="4"/>
  <c r="L20" i="4" s="1"/>
  <c r="DR9" i="4"/>
  <c r="L7" i="4"/>
  <c r="L15" i="2" s="1"/>
  <c r="DR27" i="3"/>
  <c r="DR18" i="3"/>
  <c r="DR26" i="3" s="1"/>
  <c r="DR29" i="3" s="1"/>
  <c r="DO29" i="4"/>
  <c r="DO46" i="4" s="1"/>
  <c r="DS29" i="5"/>
  <c r="M26" i="5"/>
  <c r="DP27" i="4"/>
  <c r="DP18" i="4"/>
  <c r="DP26" i="4" s="1"/>
  <c r="DM50" i="3"/>
  <c r="DN47" i="3"/>
  <c r="DS38" i="4"/>
  <c r="DR31" i="3" l="1"/>
  <c r="DR46" i="3" s="1"/>
  <c r="DR49" i="3" s="1"/>
  <c r="DS27" i="3"/>
  <c r="DS18" i="3"/>
  <c r="DS26" i="3" s="1"/>
  <c r="DX7" i="5"/>
  <c r="DY2" i="5"/>
  <c r="DT24" i="3"/>
  <c r="DU1" i="3"/>
  <c r="DU49" i="5"/>
  <c r="DW35" i="5"/>
  <c r="DW34" i="5"/>
  <c r="DW32" i="5"/>
  <c r="DW31" i="5" s="1"/>
  <c r="DW33" i="5"/>
  <c r="DW36" i="5"/>
  <c r="DW22" i="5"/>
  <c r="DW20" i="5"/>
  <c r="DW9" i="5"/>
  <c r="DW11" i="5" s="1"/>
  <c r="DW13" i="5" s="1"/>
  <c r="DP29" i="4"/>
  <c r="DP46" i="4" s="1"/>
  <c r="DR11" i="4"/>
  <c r="DR13" i="4" s="1"/>
  <c r="L9" i="4"/>
  <c r="L16" i="2" s="1"/>
  <c r="DR19" i="4"/>
  <c r="DS38" i="3"/>
  <c r="DM50" i="5"/>
  <c r="DN47" i="5"/>
  <c r="DU41" i="4"/>
  <c r="DU43" i="4"/>
  <c r="DU24" i="4"/>
  <c r="DV1" i="4"/>
  <c r="DU2" i="4"/>
  <c r="DT7" i="4"/>
  <c r="DT49" i="5"/>
  <c r="DS33" i="4"/>
  <c r="M33" i="4" s="1"/>
  <c r="DS36" i="4"/>
  <c r="M36" i="4" s="1"/>
  <c r="DS34" i="4"/>
  <c r="M34" i="4" s="1"/>
  <c r="DS32" i="4"/>
  <c r="DS35" i="4"/>
  <c r="M35" i="4" s="1"/>
  <c r="DS22" i="4"/>
  <c r="M22" i="4" s="1"/>
  <c r="DS20" i="4"/>
  <c r="DS9" i="4"/>
  <c r="DQ27" i="4"/>
  <c r="DQ18" i="4"/>
  <c r="DQ26" i="4" s="1"/>
  <c r="DS33" i="3"/>
  <c r="DS32" i="3"/>
  <c r="DS35" i="3"/>
  <c r="DN50" i="3"/>
  <c r="DO47" i="3"/>
  <c r="DS46" i="5"/>
  <c r="M29" i="5"/>
  <c r="M30" i="2" s="1"/>
  <c r="DS13" i="3"/>
  <c r="DO47" i="4"/>
  <c r="DO50" i="4" s="1"/>
  <c r="DO49" i="4"/>
  <c r="DT41" i="3"/>
  <c r="DT38" i="3" s="1"/>
  <c r="DT34" i="3"/>
  <c r="DT36" i="3"/>
  <c r="DT20" i="3"/>
  <c r="DT22" i="3"/>
  <c r="DT11" i="3"/>
  <c r="DT13" i="3" s="1"/>
  <c r="DT9" i="3"/>
  <c r="DW43" i="5"/>
  <c r="DW41" i="5"/>
  <c r="DW24" i="5"/>
  <c r="DW19" i="5"/>
  <c r="DX1" i="5"/>
  <c r="DT38" i="4"/>
  <c r="DU7" i="3"/>
  <c r="DV2" i="3"/>
  <c r="DV27" i="5"/>
  <c r="DV18" i="5"/>
  <c r="DV26" i="5" s="1"/>
  <c r="DV29" i="5" s="1"/>
  <c r="DV46" i="5" s="1"/>
  <c r="DQ29" i="3"/>
  <c r="DQ46" i="3" l="1"/>
  <c r="L29" i="3"/>
  <c r="L8" i="2" s="1"/>
  <c r="DV49" i="5"/>
  <c r="DS29" i="3"/>
  <c r="DU41" i="3"/>
  <c r="DU36" i="3"/>
  <c r="DU34" i="3"/>
  <c r="DU20" i="3"/>
  <c r="DU11" i="3"/>
  <c r="DU9" i="3"/>
  <c r="DU19" i="3" s="1"/>
  <c r="DU22" i="3"/>
  <c r="DS31" i="3"/>
  <c r="DZ2" i="5"/>
  <c r="DY7" i="5"/>
  <c r="DX36" i="5"/>
  <c r="DX35" i="5"/>
  <c r="DX33" i="5"/>
  <c r="DX34" i="5"/>
  <c r="DX32" i="5"/>
  <c r="DX31" i="5" s="1"/>
  <c r="DX22" i="5"/>
  <c r="DX20" i="5"/>
  <c r="DX9" i="5"/>
  <c r="DX11" i="5" s="1"/>
  <c r="DX13" i="5" s="1"/>
  <c r="DX43" i="5"/>
  <c r="DX41" i="5"/>
  <c r="DX38" i="5" s="1"/>
  <c r="DX24" i="5"/>
  <c r="DY1" i="5"/>
  <c r="DX19" i="5"/>
  <c r="DV2" i="4"/>
  <c r="DU7" i="4"/>
  <c r="DP49" i="4"/>
  <c r="DP47" i="4"/>
  <c r="DP50" i="4" s="1"/>
  <c r="M32" i="4"/>
  <c r="M31" i="4" s="1"/>
  <c r="DS31" i="4"/>
  <c r="DV41" i="4"/>
  <c r="DV38" i="4" s="1"/>
  <c r="DV43" i="4"/>
  <c r="DV24" i="4"/>
  <c r="DW1" i="4"/>
  <c r="DT33" i="3"/>
  <c r="DT32" i="3"/>
  <c r="DT35" i="3"/>
  <c r="DT33" i="4"/>
  <c r="DT36" i="4"/>
  <c r="DT35" i="4"/>
  <c r="DT34" i="4"/>
  <c r="DT32" i="4"/>
  <c r="DT31" i="4" s="1"/>
  <c r="DT22" i="4"/>
  <c r="DT20" i="4"/>
  <c r="DT9" i="4"/>
  <c r="DN50" i="5"/>
  <c r="DO47" i="5"/>
  <c r="DW27" i="5"/>
  <c r="DW18" i="5"/>
  <c r="DQ49" i="3"/>
  <c r="DW26" i="5"/>
  <c r="DW29" i="5" s="1"/>
  <c r="DS49" i="5"/>
  <c r="M46" i="5"/>
  <c r="M31" i="2" s="1"/>
  <c r="M32" i="2" s="1"/>
  <c r="X13" i="1" s="1"/>
  <c r="DU24" i="3"/>
  <c r="DV1" i="3"/>
  <c r="DW38" i="5"/>
  <c r="DO50" i="3"/>
  <c r="DP47" i="3"/>
  <c r="DP50" i="3" s="1"/>
  <c r="DQ29" i="4"/>
  <c r="DQ46" i="4" s="1"/>
  <c r="DR27" i="4"/>
  <c r="DR18" i="4"/>
  <c r="DR26" i="4" s="1"/>
  <c r="DR29" i="4" s="1"/>
  <c r="DR46" i="4" s="1"/>
  <c r="DT19" i="3"/>
  <c r="DW2" i="3"/>
  <c r="DV7" i="3"/>
  <c r="DS11" i="4"/>
  <c r="DS19" i="4"/>
  <c r="DU38" i="4"/>
  <c r="DT31" i="3" l="1"/>
  <c r="DU38" i="3"/>
  <c r="DU13" i="3"/>
  <c r="DQ47" i="3"/>
  <c r="DW46" i="5"/>
  <c r="DU36" i="4"/>
  <c r="DU32" i="4"/>
  <c r="DU31" i="4" s="1"/>
  <c r="DU35" i="4"/>
  <c r="DU33" i="4"/>
  <c r="DU22" i="4"/>
  <c r="DU34" i="4"/>
  <c r="DU20" i="4"/>
  <c r="DU9" i="4"/>
  <c r="EA2" i="5"/>
  <c r="DZ7" i="5"/>
  <c r="DV24" i="3"/>
  <c r="DW1" i="3"/>
  <c r="DV7" i="4"/>
  <c r="DW2" i="4"/>
  <c r="DX27" i="5"/>
  <c r="DX18" i="5"/>
  <c r="DS13" i="4"/>
  <c r="M13" i="4" s="1"/>
  <c r="M18" i="2" s="1"/>
  <c r="M11" i="4"/>
  <c r="DU27" i="3"/>
  <c r="DU18" i="3"/>
  <c r="DU26" i="3" s="1"/>
  <c r="DW41" i="4"/>
  <c r="DW43" i="4"/>
  <c r="DW24" i="4"/>
  <c r="DX1" i="4"/>
  <c r="DY43" i="5"/>
  <c r="DY41" i="5"/>
  <c r="DY24" i="5"/>
  <c r="DZ1" i="5"/>
  <c r="DR49" i="4"/>
  <c r="DT11" i="4"/>
  <c r="DT13" i="4" s="1"/>
  <c r="DT19" i="4"/>
  <c r="DQ50" i="3"/>
  <c r="DR47" i="3"/>
  <c r="DV41" i="3"/>
  <c r="DV38" i="3" s="1"/>
  <c r="DV36" i="3"/>
  <c r="DV34" i="3"/>
  <c r="DV22" i="3"/>
  <c r="DV11" i="3"/>
  <c r="DV13" i="3" s="1"/>
  <c r="DV9" i="3"/>
  <c r="DV20" i="3"/>
  <c r="DX26" i="5"/>
  <c r="DX29" i="5" s="1"/>
  <c r="DX46" i="5" s="1"/>
  <c r="DU33" i="3"/>
  <c r="DU32" i="3"/>
  <c r="DU35" i="3"/>
  <c r="DS46" i="3"/>
  <c r="DW7" i="3"/>
  <c r="DX2" i="3"/>
  <c r="DQ49" i="4"/>
  <c r="DQ47" i="4"/>
  <c r="DQ50" i="4" s="1"/>
  <c r="DO50" i="5"/>
  <c r="DP47" i="5"/>
  <c r="DS27" i="4"/>
  <c r="M27" i="4" s="1"/>
  <c r="M19" i="4"/>
  <c r="M18" i="4" s="1"/>
  <c r="DS18" i="4"/>
  <c r="DS26" i="4" s="1"/>
  <c r="DT27" i="3"/>
  <c r="DT18" i="3"/>
  <c r="DT26" i="3" s="1"/>
  <c r="DY34" i="5"/>
  <c r="DY33" i="5"/>
  <c r="DY36" i="5"/>
  <c r="DY35" i="5"/>
  <c r="DY32" i="5"/>
  <c r="DY31" i="5" s="1"/>
  <c r="DY22" i="5"/>
  <c r="DY20" i="5"/>
  <c r="DY9" i="5"/>
  <c r="DY11" i="5" s="1"/>
  <c r="DY13" i="5" s="1"/>
  <c r="DU29" i="3" l="1"/>
  <c r="DU31" i="3"/>
  <c r="DU46" i="3" s="1"/>
  <c r="DU49" i="3" s="1"/>
  <c r="DT29" i="3"/>
  <c r="DW41" i="3"/>
  <c r="DW38" i="3" s="1"/>
  <c r="DW36" i="3"/>
  <c r="DW34" i="3"/>
  <c r="DW22" i="3"/>
  <c r="DW20" i="3"/>
  <c r="DW11" i="3"/>
  <c r="DW13" i="3" s="1"/>
  <c r="DW9" i="3"/>
  <c r="DW19" i="3" s="1"/>
  <c r="DX7" i="3"/>
  <c r="DY2" i="3"/>
  <c r="L47" i="3"/>
  <c r="DR50" i="3"/>
  <c r="DY19" i="5"/>
  <c r="DW38" i="4"/>
  <c r="DV36" i="4"/>
  <c r="DV35" i="4"/>
  <c r="DV33" i="4"/>
  <c r="DV32" i="4"/>
  <c r="DV31" i="4" s="1"/>
  <c r="DV34" i="4"/>
  <c r="DV9" i="4"/>
  <c r="DV22" i="4"/>
  <c r="DV20" i="4"/>
  <c r="DV33" i="3"/>
  <c r="DV32" i="3"/>
  <c r="DV35" i="3"/>
  <c r="DY38" i="5"/>
  <c r="M17" i="2"/>
  <c r="DV19" i="3"/>
  <c r="DZ36" i="5"/>
  <c r="DZ35" i="5"/>
  <c r="DZ34" i="5"/>
  <c r="DZ33" i="5"/>
  <c r="DZ32" i="5"/>
  <c r="DZ31" i="5" s="1"/>
  <c r="DZ22" i="5"/>
  <c r="DZ20" i="5"/>
  <c r="DZ9" i="5"/>
  <c r="DZ11" i="5" s="1"/>
  <c r="DZ13" i="5" s="1"/>
  <c r="M26" i="4"/>
  <c r="DS29" i="4"/>
  <c r="DP50" i="5"/>
  <c r="DQ47" i="5"/>
  <c r="DX43" i="4"/>
  <c r="DX41" i="4"/>
  <c r="DX24" i="4"/>
  <c r="DY1" i="4"/>
  <c r="EA7" i="5"/>
  <c r="EB2" i="5"/>
  <c r="DW24" i="3"/>
  <c r="DX1" i="3"/>
  <c r="DS49" i="3"/>
  <c r="DS47" i="3"/>
  <c r="DS50" i="3" s="1"/>
  <c r="DR47" i="4"/>
  <c r="DU11" i="4"/>
  <c r="DU13" i="4" s="1"/>
  <c r="DU19" i="4"/>
  <c r="DW49" i="5"/>
  <c r="DT27" i="4"/>
  <c r="DT18" i="4"/>
  <c r="DT26" i="4" s="1"/>
  <c r="DT29" i="4" s="1"/>
  <c r="DT46" i="4" s="1"/>
  <c r="DX49" i="5"/>
  <c r="DZ43" i="5"/>
  <c r="DZ41" i="5"/>
  <c r="DZ24" i="5"/>
  <c r="DZ19" i="5"/>
  <c r="EA1" i="5"/>
  <c r="DX2" i="4"/>
  <c r="DW7" i="4"/>
  <c r="DV31" i="3" l="1"/>
  <c r="DT46" i="3"/>
  <c r="DZ27" i="5"/>
  <c r="DZ18" i="5"/>
  <c r="DY43" i="4"/>
  <c r="DY41" i="4"/>
  <c r="DY38" i="4" s="1"/>
  <c r="DY24" i="4"/>
  <c r="DZ1" i="4"/>
  <c r="DV27" i="3"/>
  <c r="DV18" i="3"/>
  <c r="DV26" i="3" s="1"/>
  <c r="DY7" i="3"/>
  <c r="DZ2" i="3"/>
  <c r="DZ26" i="5"/>
  <c r="DZ29" i="5" s="1"/>
  <c r="DZ46" i="5" s="1"/>
  <c r="DX41" i="3"/>
  <c r="DX36" i="3"/>
  <c r="DX34" i="3"/>
  <c r="DX22" i="3"/>
  <c r="DX9" i="3"/>
  <c r="DX20" i="3"/>
  <c r="DX11" i="3"/>
  <c r="DX7" i="4"/>
  <c r="DY2" i="4"/>
  <c r="L47" i="4"/>
  <c r="DR50" i="4"/>
  <c r="EA43" i="5"/>
  <c r="EA41" i="5"/>
  <c r="EA24" i="5"/>
  <c r="EB1" i="5"/>
  <c r="DZ38" i="5"/>
  <c r="DU27" i="4"/>
  <c r="DU18" i="4"/>
  <c r="DU26" i="4" s="1"/>
  <c r="DU29" i="4" s="1"/>
  <c r="DU46" i="4" s="1"/>
  <c r="DX24" i="3"/>
  <c r="DY1" i="3"/>
  <c r="DX19" i="3"/>
  <c r="DX38" i="4"/>
  <c r="DT47" i="3"/>
  <c r="DW27" i="3"/>
  <c r="DW18" i="3"/>
  <c r="DW26" i="3" s="1"/>
  <c r="DQ50" i="5"/>
  <c r="DR47" i="5"/>
  <c r="DW36" i="4"/>
  <c r="DW35" i="4"/>
  <c r="DW34" i="4"/>
  <c r="DW22" i="4"/>
  <c r="DW33" i="4"/>
  <c r="DW9" i="4"/>
  <c r="DW32" i="4"/>
  <c r="DW31" i="4" s="1"/>
  <c r="DW20" i="4"/>
  <c r="EB7" i="5"/>
  <c r="EC2" i="5"/>
  <c r="DV11" i="4"/>
  <c r="DV13" i="4" s="1"/>
  <c r="DV19" i="4"/>
  <c r="DY27" i="5"/>
  <c r="DY18" i="5"/>
  <c r="DY26" i="5" s="1"/>
  <c r="DY29" i="5" s="1"/>
  <c r="DY46" i="5" s="1"/>
  <c r="DT49" i="4"/>
  <c r="EA36" i="5"/>
  <c r="EA35" i="5"/>
  <c r="EA34" i="5"/>
  <c r="EA32" i="5"/>
  <c r="EA31" i="5" s="1"/>
  <c r="EA33" i="5"/>
  <c r="EA22" i="5"/>
  <c r="EA20" i="5"/>
  <c r="EA9" i="5"/>
  <c r="EA11" i="5" s="1"/>
  <c r="EA13" i="5" s="1"/>
  <c r="DS46" i="4"/>
  <c r="M29" i="4"/>
  <c r="M19" i="2" s="1"/>
  <c r="DW32" i="3"/>
  <c r="DW35" i="3"/>
  <c r="DW33" i="3"/>
  <c r="DW29" i="3" l="1"/>
  <c r="DW31" i="3"/>
  <c r="DW46" i="3" s="1"/>
  <c r="DW49" i="3" s="1"/>
  <c r="DX38" i="3"/>
  <c r="DX13" i="3"/>
  <c r="DT49" i="3"/>
  <c r="DU49" i="4"/>
  <c r="EB36" i="5"/>
  <c r="EB35" i="5"/>
  <c r="EB34" i="5"/>
  <c r="EB32" i="5"/>
  <c r="EB31" i="5" s="1"/>
  <c r="EB33" i="5"/>
  <c r="EB22" i="5"/>
  <c r="EB20" i="5"/>
  <c r="EB9" i="5"/>
  <c r="EB11" i="5" s="1"/>
  <c r="EB13" i="5" s="1"/>
  <c r="L47" i="5"/>
  <c r="DR50" i="5"/>
  <c r="DS47" i="5"/>
  <c r="DY7" i="4"/>
  <c r="DZ2" i="4"/>
  <c r="DZ43" i="4"/>
  <c r="DZ41" i="4"/>
  <c r="DZ24" i="4"/>
  <c r="EA1" i="4"/>
  <c r="DW11" i="4"/>
  <c r="DW13" i="4" s="1"/>
  <c r="DW19" i="4"/>
  <c r="DZ49" i="5"/>
  <c r="M46" i="4"/>
  <c r="M20" i="2" s="1"/>
  <c r="M21" i="2" s="1"/>
  <c r="X11" i="1" s="1"/>
  <c r="DS47" i="4"/>
  <c r="DS49" i="4"/>
  <c r="EB43" i="5"/>
  <c r="EB41" i="5"/>
  <c r="EB38" i="5" s="1"/>
  <c r="EB24" i="5"/>
  <c r="EB19" i="5"/>
  <c r="EC1" i="5"/>
  <c r="EA19" i="5"/>
  <c r="DX18" i="3"/>
  <c r="DX27" i="3"/>
  <c r="DZ7" i="3"/>
  <c r="EA2" i="3"/>
  <c r="DX35" i="4"/>
  <c r="DX36" i="4"/>
  <c r="DX34" i="4"/>
  <c r="DX32" i="4"/>
  <c r="DX31" i="4" s="1"/>
  <c r="DX33" i="4"/>
  <c r="DX20" i="4"/>
  <c r="DX22" i="4"/>
  <c r="DX9" i="4"/>
  <c r="DY24" i="3"/>
  <c r="DZ1" i="3"/>
  <c r="EA38" i="5"/>
  <c r="DX32" i="3"/>
  <c r="DX35" i="3"/>
  <c r="DX33" i="3"/>
  <c r="DY41" i="3"/>
  <c r="DY38" i="3" s="1"/>
  <c r="DY34" i="3"/>
  <c r="DY36" i="3"/>
  <c r="DY22" i="3"/>
  <c r="DY20" i="3"/>
  <c r="DY9" i="3"/>
  <c r="DY11" i="3"/>
  <c r="DY13" i="3" s="1"/>
  <c r="EC7" i="5"/>
  <c r="ED2" i="5"/>
  <c r="ED7" i="5" s="1"/>
  <c r="DT50" i="3"/>
  <c r="DU47" i="3"/>
  <c r="DU50" i="3" s="1"/>
  <c r="DY49" i="5"/>
  <c r="DV18" i="4"/>
  <c r="DV26" i="4" s="1"/>
  <c r="DV27" i="4"/>
  <c r="DX26" i="3"/>
  <c r="DV29" i="3"/>
  <c r="DX29" i="3" l="1"/>
  <c r="DV46" i="3"/>
  <c r="DX31" i="3"/>
  <c r="DW27" i="4"/>
  <c r="DW18" i="4"/>
  <c r="DW26" i="4" s="1"/>
  <c r="DW29" i="4" s="1"/>
  <c r="DW46" i="4" s="1"/>
  <c r="DY35" i="4"/>
  <c r="DY34" i="4"/>
  <c r="DY33" i="4"/>
  <c r="DY36" i="4"/>
  <c r="DY32" i="4"/>
  <c r="DY31" i="4" s="1"/>
  <c r="DY20" i="4"/>
  <c r="DY9" i="4"/>
  <c r="DY22" i="4"/>
  <c r="DV29" i="4"/>
  <c r="DV46" i="4" s="1"/>
  <c r="DY35" i="3"/>
  <c r="DY33" i="3"/>
  <c r="DY32" i="3"/>
  <c r="DZ41" i="3"/>
  <c r="DZ34" i="3"/>
  <c r="DZ36" i="3"/>
  <c r="DZ22" i="3"/>
  <c r="DZ20" i="3"/>
  <c r="DZ11" i="3"/>
  <c r="DZ9" i="3"/>
  <c r="DZ19" i="3" s="1"/>
  <c r="DS50" i="5"/>
  <c r="DT47" i="5"/>
  <c r="EA43" i="4"/>
  <c r="EA41" i="4"/>
  <c r="EA24" i="4"/>
  <c r="EB1" i="4"/>
  <c r="DZ24" i="3"/>
  <c r="EA1" i="3"/>
  <c r="DY19" i="3"/>
  <c r="DS50" i="4"/>
  <c r="DT47" i="4"/>
  <c r="DZ38" i="4"/>
  <c r="EA7" i="3"/>
  <c r="EB2" i="3"/>
  <c r="EA27" i="5"/>
  <c r="EA18" i="5"/>
  <c r="EA26" i="5" s="1"/>
  <c r="DV49" i="3"/>
  <c r="DV47" i="3"/>
  <c r="ED35" i="5"/>
  <c r="ED34" i="5"/>
  <c r="ED36" i="5"/>
  <c r="ED32" i="5"/>
  <c r="ED31" i="5" s="1"/>
  <c r="ED33" i="5"/>
  <c r="ED22" i="5"/>
  <c r="ED20" i="5"/>
  <c r="M20" i="5" s="1"/>
  <c r="ED9" i="5"/>
  <c r="M7" i="5"/>
  <c r="M26" i="2" s="1"/>
  <c r="EC41" i="5"/>
  <c r="EC43" i="5"/>
  <c r="EC24" i="5"/>
  <c r="ED1" i="5"/>
  <c r="DX11" i="4"/>
  <c r="DX13" i="4" s="1"/>
  <c r="DX19" i="4"/>
  <c r="EC36" i="5"/>
  <c r="EC35" i="5"/>
  <c r="EC34" i="5"/>
  <c r="EC32" i="5"/>
  <c r="EC31" i="5" s="1"/>
  <c r="EC33" i="5"/>
  <c r="EC22" i="5"/>
  <c r="EC20" i="5"/>
  <c r="EC9" i="5"/>
  <c r="EC11" i="5" s="1"/>
  <c r="EC13" i="5" s="1"/>
  <c r="EB27" i="5"/>
  <c r="EB18" i="5"/>
  <c r="EB26" i="5" s="1"/>
  <c r="EB29" i="5" s="1"/>
  <c r="EB46" i="5" s="1"/>
  <c r="DZ7" i="4"/>
  <c r="EA2" i="4"/>
  <c r="DY31" i="3" l="1"/>
  <c r="DZ38" i="3"/>
  <c r="DZ13" i="3"/>
  <c r="DX46" i="3"/>
  <c r="DX49" i="3" s="1"/>
  <c r="EB49" i="5"/>
  <c r="EC38" i="5"/>
  <c r="EC2" i="3"/>
  <c r="EB7" i="3"/>
  <c r="DZ27" i="3"/>
  <c r="DZ18" i="3"/>
  <c r="DZ26" i="3" s="1"/>
  <c r="DT50" i="5"/>
  <c r="DU47" i="5"/>
  <c r="DZ35" i="3"/>
  <c r="DZ33" i="3"/>
  <c r="DZ32" i="3"/>
  <c r="ED11" i="5"/>
  <c r="ED13" i="5" s="1"/>
  <c r="M9" i="5"/>
  <c r="M27" i="2" s="1"/>
  <c r="DV50" i="3"/>
  <c r="DW47" i="3"/>
  <c r="EB41" i="4"/>
  <c r="EB43" i="4"/>
  <c r="EB24" i="4"/>
  <c r="EC1" i="4"/>
  <c r="DT50" i="4"/>
  <c r="DU47" i="4"/>
  <c r="DU50" i="4" s="1"/>
  <c r="DV49" i="4"/>
  <c r="DX27" i="4"/>
  <c r="DX18" i="4"/>
  <c r="DX26" i="4" s="1"/>
  <c r="EA7" i="4"/>
  <c r="EB2" i="4"/>
  <c r="ED43" i="5"/>
  <c r="ED41" i="5"/>
  <c r="ED24" i="5"/>
  <c r="ED19" i="5"/>
  <c r="DZ34" i="4"/>
  <c r="DZ36" i="4"/>
  <c r="DZ35" i="4"/>
  <c r="DZ22" i="4"/>
  <c r="DZ32" i="4"/>
  <c r="DZ31" i="4" s="1"/>
  <c r="DZ33" i="4"/>
  <c r="DZ20" i="4"/>
  <c r="DZ9" i="4"/>
  <c r="EC19" i="5"/>
  <c r="EA29" i="5"/>
  <c r="EA46" i="5" s="1"/>
  <c r="EA24" i="3"/>
  <c r="EB1" i="3"/>
  <c r="DY18" i="3"/>
  <c r="DY26" i="3" s="1"/>
  <c r="DY27" i="3"/>
  <c r="EA38" i="4"/>
  <c r="DW49" i="4"/>
  <c r="EA41" i="3"/>
  <c r="EA38" i="3" s="1"/>
  <c r="EA34" i="3"/>
  <c r="EA36" i="3"/>
  <c r="EA22" i="3"/>
  <c r="EA20" i="3"/>
  <c r="EA9" i="3"/>
  <c r="EA19" i="3" s="1"/>
  <c r="EA11" i="3"/>
  <c r="EA13" i="3" s="1"/>
  <c r="DY11" i="4"/>
  <c r="DY13" i="4" s="1"/>
  <c r="DY19" i="4"/>
  <c r="DZ31" i="3" l="1"/>
  <c r="DZ29" i="3"/>
  <c r="DZ46" i="3" s="1"/>
  <c r="DZ49" i="3" s="1"/>
  <c r="EB24" i="3"/>
  <c r="EC1" i="3"/>
  <c r="ED38" i="5"/>
  <c r="I41" i="5"/>
  <c r="J41" i="5"/>
  <c r="K41" i="5"/>
  <c r="L41" i="5"/>
  <c r="M41" i="5"/>
  <c r="EA27" i="3"/>
  <c r="EA18" i="3"/>
  <c r="EC2" i="4"/>
  <c r="EB7" i="4"/>
  <c r="EC41" i="4"/>
  <c r="EC43" i="4"/>
  <c r="EC24" i="4"/>
  <c r="ED1" i="4"/>
  <c r="I43" i="5"/>
  <c r="J43" i="5"/>
  <c r="K43" i="5"/>
  <c r="L43" i="5"/>
  <c r="M43" i="5"/>
  <c r="EB41" i="3"/>
  <c r="EB34" i="3"/>
  <c r="EB36" i="3"/>
  <c r="EB20" i="3"/>
  <c r="EB22" i="3"/>
  <c r="EB11" i="3"/>
  <c r="EB9" i="3"/>
  <c r="EA26" i="3"/>
  <c r="EA29" i="3" s="1"/>
  <c r="EA33" i="4"/>
  <c r="EA36" i="4"/>
  <c r="EA32" i="4"/>
  <c r="EA31" i="4" s="1"/>
  <c r="EA35" i="4"/>
  <c r="EA34" i="4"/>
  <c r="EA20" i="4"/>
  <c r="EA22" i="4"/>
  <c r="EA9" i="4"/>
  <c r="EA33" i="3"/>
  <c r="EA32" i="3"/>
  <c r="EA35" i="3"/>
  <c r="EA49" i="5"/>
  <c r="DX29" i="4"/>
  <c r="DX46" i="4" s="1"/>
  <c r="ED2" i="3"/>
  <c r="ED7" i="3" s="1"/>
  <c r="EC7" i="3"/>
  <c r="DY27" i="4"/>
  <c r="DY18" i="4"/>
  <c r="DY26" i="4" s="1"/>
  <c r="EC27" i="5"/>
  <c r="EC18" i="5"/>
  <c r="EC26" i="5" s="1"/>
  <c r="DY29" i="3"/>
  <c r="DZ11" i="4"/>
  <c r="DZ13" i="4" s="1"/>
  <c r="DZ19" i="4"/>
  <c r="ED27" i="5"/>
  <c r="ED18" i="5"/>
  <c r="ED26" i="5" s="1"/>
  <c r="ED29" i="5" s="1"/>
  <c r="ED46" i="5" s="1"/>
  <c r="DV47" i="4"/>
  <c r="EB38" i="4"/>
  <c r="I24" i="5"/>
  <c r="J24" i="5"/>
  <c r="K24" i="5"/>
  <c r="L24" i="5"/>
  <c r="M24" i="5"/>
  <c r="DW50" i="3"/>
  <c r="DX47" i="3"/>
  <c r="DX50" i="3" s="1"/>
  <c r="DU50" i="5"/>
  <c r="DV47" i="5"/>
  <c r="EA31" i="3" l="1"/>
  <c r="EA46" i="3" s="1"/>
  <c r="EA49" i="3" s="1"/>
  <c r="EB13" i="3"/>
  <c r="M11" i="3"/>
  <c r="M6" i="2" s="1"/>
  <c r="DY46" i="3"/>
  <c r="EB38" i="3"/>
  <c r="M41" i="3"/>
  <c r="ED49" i="5"/>
  <c r="ED36" i="3"/>
  <c r="ED41" i="3"/>
  <c r="ED34" i="3"/>
  <c r="ED22" i="3"/>
  <c r="ED11" i="3"/>
  <c r="ED9" i="3"/>
  <c r="ED20" i="3"/>
  <c r="M20" i="3" s="1"/>
  <c r="M7" i="3"/>
  <c r="M4" i="2" s="1"/>
  <c r="EC38" i="4"/>
  <c r="EB33" i="3"/>
  <c r="EB32" i="3"/>
  <c r="EB35" i="3"/>
  <c r="DX49" i="4"/>
  <c r="EB33" i="4"/>
  <c r="EB36" i="4"/>
  <c r="EB35" i="4"/>
  <c r="EB34" i="4"/>
  <c r="EB32" i="4"/>
  <c r="EB31" i="4" s="1"/>
  <c r="EB20" i="4"/>
  <c r="EB22" i="4"/>
  <c r="EB9" i="4"/>
  <c r="DY47" i="3"/>
  <c r="DY49" i="3"/>
  <c r="EC29" i="5"/>
  <c r="EC46" i="5" s="1"/>
  <c r="EC7" i="4"/>
  <c r="ED2" i="4"/>
  <c r="ED7" i="4" s="1"/>
  <c r="I38" i="5"/>
  <c r="J38" i="5"/>
  <c r="K38" i="5"/>
  <c r="L38" i="5"/>
  <c r="M38" i="5"/>
  <c r="DV50" i="5"/>
  <c r="DW47" i="5"/>
  <c r="EC24" i="3"/>
  <c r="ED1" i="3"/>
  <c r="DV50" i="4"/>
  <c r="DW47" i="4"/>
  <c r="DW50" i="4" s="1"/>
  <c r="DY29" i="4"/>
  <c r="DY46" i="4" s="1"/>
  <c r="ED41" i="4"/>
  <c r="ED43" i="4"/>
  <c r="ED24" i="4"/>
  <c r="EB19" i="3"/>
  <c r="EC41" i="3"/>
  <c r="EC38" i="3" s="1"/>
  <c r="EC36" i="3"/>
  <c r="EC34" i="3"/>
  <c r="EC20" i="3"/>
  <c r="EC11" i="3"/>
  <c r="EC13" i="3" s="1"/>
  <c r="EC22" i="3"/>
  <c r="EC9" i="3"/>
  <c r="DZ27" i="4"/>
  <c r="DZ18" i="4"/>
  <c r="DZ26" i="4" s="1"/>
  <c r="DZ29" i="4" s="1"/>
  <c r="DZ46" i="4" s="1"/>
  <c r="EA11" i="4"/>
  <c r="EA13" i="4" s="1"/>
  <c r="EA19" i="4"/>
  <c r="I36" i="3" l="1"/>
  <c r="J36" i="3"/>
  <c r="K36" i="3"/>
  <c r="L36" i="3"/>
  <c r="M36" i="3"/>
  <c r="ED13" i="3"/>
  <c r="I11" i="3"/>
  <c r="J11" i="3"/>
  <c r="L11" i="3"/>
  <c r="I22" i="3"/>
  <c r="J22" i="3"/>
  <c r="K22" i="3"/>
  <c r="L22" i="3"/>
  <c r="M22" i="3"/>
  <c r="EB31" i="3"/>
  <c r="I34" i="3"/>
  <c r="J34" i="3"/>
  <c r="K34" i="3"/>
  <c r="L34" i="3"/>
  <c r="M34" i="3"/>
  <c r="ED38" i="3"/>
  <c r="I41" i="3"/>
  <c r="J41" i="3"/>
  <c r="K41" i="3"/>
  <c r="L41" i="3"/>
  <c r="ED19" i="3"/>
  <c r="ED24" i="3"/>
  <c r="EB11" i="4"/>
  <c r="EB13" i="4" s="1"/>
  <c r="EB19" i="4"/>
  <c r="DX47" i="4"/>
  <c r="DX50" i="4" s="1"/>
  <c r="ED33" i="3"/>
  <c r="ED32" i="3"/>
  <c r="ED35" i="3"/>
  <c r="M9" i="3"/>
  <c r="M5" i="2" s="1"/>
  <c r="EB27" i="3"/>
  <c r="EB18" i="3"/>
  <c r="EB26" i="3" s="1"/>
  <c r="EC33" i="3"/>
  <c r="EC32" i="3"/>
  <c r="EC35" i="3"/>
  <c r="EC19" i="3"/>
  <c r="DY50" i="3"/>
  <c r="DZ47" i="3"/>
  <c r="I24" i="4"/>
  <c r="J24" i="4"/>
  <c r="K24" i="4"/>
  <c r="L24" i="4"/>
  <c r="M24" i="4"/>
  <c r="EA27" i="4"/>
  <c r="EA18" i="4"/>
  <c r="EA26" i="4" s="1"/>
  <c r="I43" i="4"/>
  <c r="J43" i="4"/>
  <c r="K43" i="4"/>
  <c r="L43" i="4"/>
  <c r="M43" i="4"/>
  <c r="DW50" i="5"/>
  <c r="DX47" i="5"/>
  <c r="ED38" i="4"/>
  <c r="I41" i="4"/>
  <c r="J41" i="4"/>
  <c r="K41" i="4"/>
  <c r="L41" i="4"/>
  <c r="M41" i="4"/>
  <c r="ED36" i="4"/>
  <c r="ED35" i="4"/>
  <c r="ED33" i="4"/>
  <c r="ED32" i="4"/>
  <c r="ED31" i="4" s="1"/>
  <c r="ED34" i="4"/>
  <c r="ED22" i="4"/>
  <c r="ED9" i="4"/>
  <c r="ED20" i="4"/>
  <c r="M20" i="4" s="1"/>
  <c r="M7" i="4"/>
  <c r="M15" i="2" s="1"/>
  <c r="DZ49" i="4"/>
  <c r="DY47" i="4"/>
  <c r="DY50" i="4" s="1"/>
  <c r="DY49" i="4"/>
  <c r="EC36" i="4"/>
  <c r="EC32" i="4"/>
  <c r="EC31" i="4" s="1"/>
  <c r="EC35" i="4"/>
  <c r="EC34" i="4"/>
  <c r="EC33" i="4"/>
  <c r="EC22" i="4"/>
  <c r="EC20" i="4"/>
  <c r="EC9" i="4"/>
  <c r="EC49" i="5"/>
  <c r="ED31" i="3" l="1"/>
  <c r="I32" i="3"/>
  <c r="J32" i="3"/>
  <c r="K32" i="3"/>
  <c r="L32" i="3"/>
  <c r="I33" i="3"/>
  <c r="J33" i="3"/>
  <c r="K33" i="3"/>
  <c r="L33" i="3"/>
  <c r="M33" i="3"/>
  <c r="I6" i="2"/>
  <c r="I7" i="3"/>
  <c r="I4" i="2" s="1"/>
  <c r="I20" i="3"/>
  <c r="I9" i="3"/>
  <c r="I5" i="2" s="1"/>
  <c r="I35" i="3"/>
  <c r="J35" i="3"/>
  <c r="K35" i="3"/>
  <c r="L35" i="3"/>
  <c r="M35" i="3"/>
  <c r="EC31" i="3"/>
  <c r="I38" i="3"/>
  <c r="J38" i="3"/>
  <c r="K38" i="3"/>
  <c r="L38" i="3"/>
  <c r="M38" i="3"/>
  <c r="I13" i="3"/>
  <c r="I7" i="2" s="1"/>
  <c r="J13" i="3"/>
  <c r="J7" i="2" s="1"/>
  <c r="K13" i="3"/>
  <c r="K7" i="2" s="1"/>
  <c r="L13" i="3"/>
  <c r="L7" i="2" s="1"/>
  <c r="M13" i="3"/>
  <c r="M7" i="2" s="1"/>
  <c r="I19" i="3"/>
  <c r="J19" i="3"/>
  <c r="K19" i="3"/>
  <c r="K18" i="3" s="1"/>
  <c r="L19" i="3"/>
  <c r="M19" i="3"/>
  <c r="M18" i="3" s="1"/>
  <c r="L6" i="2"/>
  <c r="L7" i="3"/>
  <c r="L4" i="2" s="1"/>
  <c r="L20" i="3"/>
  <c r="L9" i="3"/>
  <c r="L5" i="2" s="1"/>
  <c r="M32" i="3"/>
  <c r="M31" i="3" s="1"/>
  <c r="J6" i="2"/>
  <c r="J7" i="3"/>
  <c r="J4" i="2" s="1"/>
  <c r="J9" i="3"/>
  <c r="J5" i="2" s="1"/>
  <c r="J20" i="3"/>
  <c r="EA29" i="4"/>
  <c r="EA46" i="4" s="1"/>
  <c r="EC27" i="3"/>
  <c r="EC18" i="3"/>
  <c r="EC26" i="3" s="1"/>
  <c r="EC29" i="3" s="1"/>
  <c r="EC46" i="3" s="1"/>
  <c r="EB27" i="4"/>
  <c r="EB18" i="4"/>
  <c r="EB26" i="4" s="1"/>
  <c r="EB29" i="3"/>
  <c r="ED11" i="4"/>
  <c r="ED13" i="4" s="1"/>
  <c r="M9" i="4"/>
  <c r="M16" i="2" s="1"/>
  <c r="ED19" i="4"/>
  <c r="I24" i="3"/>
  <c r="J24" i="3"/>
  <c r="K24" i="3"/>
  <c r="L24" i="3"/>
  <c r="M24" i="3"/>
  <c r="EC11" i="4"/>
  <c r="EC13" i="4" s="1"/>
  <c r="EC19" i="4"/>
  <c r="I38" i="4"/>
  <c r="J38" i="4"/>
  <c r="K38" i="4"/>
  <c r="L38" i="4"/>
  <c r="M38" i="4"/>
  <c r="EA47" i="4"/>
  <c r="EA50" i="4" s="1"/>
  <c r="EA49" i="4"/>
  <c r="DZ50" i="3"/>
  <c r="EA47" i="3"/>
  <c r="EA50" i="3" s="1"/>
  <c r="DZ47" i="4"/>
  <c r="DZ50" i="4" s="1"/>
  <c r="DX50" i="5"/>
  <c r="DY47" i="5"/>
  <c r="ED27" i="3"/>
  <c r="ED18" i="3"/>
  <c r="ED26" i="3" s="1"/>
  <c r="I26" i="3" l="1"/>
  <c r="J26" i="3"/>
  <c r="K26" i="3"/>
  <c r="L26" i="3"/>
  <c r="M26" i="3"/>
  <c r="J18" i="3"/>
  <c r="I18" i="3"/>
  <c r="O5" i="2"/>
  <c r="L31" i="3"/>
  <c r="O4" i="2"/>
  <c r="K31" i="3"/>
  <c r="O6" i="2"/>
  <c r="J31" i="3"/>
  <c r="EB46" i="3"/>
  <c r="L18" i="3"/>
  <c r="O7" i="2"/>
  <c r="I31" i="3"/>
  <c r="I27" i="3"/>
  <c r="J27" i="3"/>
  <c r="K27" i="3"/>
  <c r="L27" i="3"/>
  <c r="M27" i="3"/>
  <c r="ED29" i="3"/>
  <c r="M29" i="3" s="1"/>
  <c r="M8" i="2" s="1"/>
  <c r="EB29" i="4"/>
  <c r="EB46" i="4" s="1"/>
  <c r="EB49" i="4" s="1"/>
  <c r="EC27" i="4"/>
  <c r="EC18" i="4"/>
  <c r="EC26" i="4" s="1"/>
  <c r="ED18" i="4"/>
  <c r="ED26" i="4" s="1"/>
  <c r="ED27" i="4"/>
  <c r="EB49" i="3"/>
  <c r="EB47" i="3"/>
  <c r="EB50" i="3" s="1"/>
  <c r="EC49" i="3"/>
  <c r="DY50" i="5"/>
  <c r="DZ47" i="5"/>
  <c r="EC47" i="3" l="1"/>
  <c r="EC50" i="3" s="1"/>
  <c r="ED46" i="3"/>
  <c r="I29" i="3"/>
  <c r="I8" i="2" s="1"/>
  <c r="O8" i="2" s="1"/>
  <c r="ED47" i="3"/>
  <c r="ED50" i="3" s="1"/>
  <c r="EB47" i="4"/>
  <c r="EB50" i="4" s="1"/>
  <c r="M47" i="3"/>
  <c r="ED29" i="4"/>
  <c r="ED46" i="4" s="1"/>
  <c r="DZ50" i="5"/>
  <c r="EA47" i="5"/>
  <c r="EC29" i="4"/>
  <c r="EC46" i="4" s="1"/>
  <c r="ED49" i="3" l="1"/>
  <c r="I46" i="3"/>
  <c r="I9" i="2" s="1"/>
  <c r="K46" i="3"/>
  <c r="K9" i="2" s="1"/>
  <c r="K10" i="2" s="1"/>
  <c r="V9" i="1" s="1"/>
  <c r="L46" i="3"/>
  <c r="L9" i="2" s="1"/>
  <c r="L10" i="2" s="1"/>
  <c r="W9" i="1" s="1"/>
  <c r="M46" i="3"/>
  <c r="M9" i="2" s="1"/>
  <c r="M10" i="2" s="1"/>
  <c r="X9" i="1" s="1"/>
  <c r="ED49" i="4"/>
  <c r="EA50" i="5"/>
  <c r="EB47" i="5"/>
  <c r="EC49" i="4"/>
  <c r="EC47" i="4"/>
  <c r="EC50" i="4" s="1"/>
  <c r="I10" i="2" l="1"/>
  <c r="T9" i="1" s="1"/>
  <c r="O9" i="2"/>
  <c r="O10" i="2" s="1"/>
  <c r="Z9" i="1" s="1"/>
  <c r="ED47" i="4"/>
  <c r="EB50" i="5"/>
  <c r="EC47" i="5"/>
  <c r="ED50" i="4" l="1"/>
  <c r="M47" i="4"/>
  <c r="EC50" i="5"/>
  <c r="ED47" i="5"/>
  <c r="ED50" i="5" l="1"/>
  <c r="M4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500-000001000000}">
      <text>
        <r>
          <rPr>
            <sz val="10"/>
            <color rgb="FF000000"/>
            <rFont val="Arial"/>
            <scheme val="minor"/>
          </rPr>
          <t xml:space="preserve">Comercial ifood, comercial 3s e CS
</t>
        </r>
      </text>
    </comment>
  </commentList>
</comments>
</file>

<file path=xl/sharedStrings.xml><?xml version="1.0" encoding="utf-8"?>
<sst xmlns="http://schemas.openxmlformats.org/spreadsheetml/2006/main" count="1124" uniqueCount="308">
  <si>
    <t>Simular linhas em amarelo&gt;&gt;</t>
  </si>
  <si>
    <t>Preço Padrão</t>
  </si>
  <si>
    <t>Cenário 2</t>
  </si>
  <si>
    <t>Cenário 3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</si>
  <si>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</si>
  <si>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</si>
  <si>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</si>
  <si>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</si>
  <si>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</si>
  <si>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</si>
  <si>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</si>
  <si>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</si>
  <si>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</si>
  <si>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</si>
  <si>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Total</t>
  </si>
  <si>
    <t>Perfil</t>
  </si>
  <si>
    <t>Estado</t>
  </si>
  <si>
    <t>SP</t>
  </si>
  <si>
    <t>Resumo -% Margem Bruta</t>
  </si>
  <si>
    <t>Tempo de contrato (meses)</t>
  </si>
  <si>
    <t>Cenário 1</t>
  </si>
  <si>
    <t>Restaurantes por marca atual</t>
  </si>
  <si>
    <t>Meses de implantação</t>
  </si>
  <si>
    <t>Restaurantes por marca ao final do contrato</t>
  </si>
  <si>
    <t>Frequência de pedidos (mensal por Restaurante)</t>
  </si>
  <si>
    <t>AOV</t>
  </si>
  <si>
    <t>Irá usar nosso Payments?</t>
  </si>
  <si>
    <t>Produtos por Restaurante</t>
  </si>
  <si>
    <t>PDV</t>
  </si>
  <si>
    <t>Quantidade</t>
  </si>
  <si>
    <t>Preço</t>
  </si>
  <si>
    <t>Serviços Adicionais</t>
  </si>
  <si>
    <t>Implantação</t>
  </si>
  <si>
    <t>Loja grande e/ou instalação presencial</t>
  </si>
  <si>
    <t>Loja pequena e/ou instalação remota</t>
  </si>
  <si>
    <t>Set up</t>
  </si>
  <si>
    <t>Descontos</t>
  </si>
  <si>
    <t>Isenção de mensalidade</t>
  </si>
  <si>
    <t>Meses de isenção das primeiras Mensalidade</t>
  </si>
  <si>
    <t>e / ou</t>
  </si>
  <si>
    <t>Isenção de implantação (%)</t>
  </si>
  <si>
    <t>Isenção de set up</t>
  </si>
  <si>
    <t>Desconto no Total</t>
  </si>
  <si>
    <t>Desconto da mensalidade</t>
  </si>
  <si>
    <t>Meses com desconto</t>
  </si>
  <si>
    <t>Investimentos</t>
  </si>
  <si>
    <t>Investimento para o cliente</t>
  </si>
  <si>
    <t>Meses de investimento</t>
  </si>
  <si>
    <t>Valor mensal do investimento</t>
  </si>
  <si>
    <t>Valor Total (por restaurante)</t>
  </si>
  <si>
    <t>Incentivo Anual</t>
  </si>
  <si>
    <t>Mês do investimento no ano</t>
  </si>
  <si>
    <t>Valor anual do investimento</t>
  </si>
  <si>
    <t>Desenvolvimento</t>
  </si>
  <si>
    <t>Valor total para desenvolvimento de nova feature</t>
  </si>
  <si>
    <t>Suporte dedicado</t>
  </si>
  <si>
    <t>HCs Necessários</t>
  </si>
  <si>
    <t>Custo de pré-venda</t>
  </si>
  <si>
    <t>Visita ao cliente ou outros custos</t>
  </si>
  <si>
    <t>Rebate</t>
  </si>
  <si>
    <t>Valor do rebate (%)</t>
  </si>
  <si>
    <t>Lojas (EoP)</t>
  </si>
  <si>
    <t>Produtos (EoP)</t>
  </si>
  <si>
    <t>Pedidos</t>
  </si>
  <si>
    <t>GMV</t>
  </si>
  <si>
    <t>Receita</t>
  </si>
  <si>
    <t>Lucro Bruto (-) CAC</t>
  </si>
  <si>
    <t>% Margem Bruta</t>
  </si>
  <si>
    <t>Breakeven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</si>
  <si>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</si>
  <si>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</si>
  <si>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</si>
  <si>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</si>
  <si>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</si>
  <si>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</si>
  <si>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</si>
  <si>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</si>
  <si>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</si>
  <si>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</si>
  <si>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</si>
  <si>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</si>
  <si>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</si>
  <si>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</si>
  <si>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</si>
  <si>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</si>
  <si>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</si>
  <si>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</si>
  <si>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</si>
  <si>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</si>
  <si>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</si>
  <si>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</si>
  <si>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</si>
  <si>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</si>
  <si>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</si>
  <si>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</si>
  <si>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</si>
  <si>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</si>
  <si>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</si>
  <si>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</si>
  <si>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</si>
  <si>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</si>
  <si>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</si>
  <si>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</si>
  <si>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</si>
  <si>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</si>
  <si>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Mês 37</t>
  </si>
  <si>
    <t>Mês 38</t>
  </si>
  <si>
    <t>Mês 39</t>
  </si>
  <si>
    <t>Mês 40</t>
  </si>
  <si>
    <t>Mês 41</t>
  </si>
  <si>
    <t>Mês 42</t>
  </si>
  <si>
    <t>Mês 43</t>
  </si>
  <si>
    <t>Mês 44</t>
  </si>
  <si>
    <t>Mês 45</t>
  </si>
  <si>
    <t>Mês 46</t>
  </si>
  <si>
    <t>Mês 47</t>
  </si>
  <si>
    <t>Mês 48</t>
  </si>
  <si>
    <t>Mês 49</t>
  </si>
  <si>
    <t>Mês 50</t>
  </si>
  <si>
    <t>Mês 51</t>
  </si>
  <si>
    <t>Mês 52</t>
  </si>
  <si>
    <t>Mês 53</t>
  </si>
  <si>
    <t>Mês 54</t>
  </si>
  <si>
    <t>Mês 55</t>
  </si>
  <si>
    <t>Mês 56</t>
  </si>
  <si>
    <t>Mês 57</t>
  </si>
  <si>
    <t>Mês 58</t>
  </si>
  <si>
    <t>Mês 59</t>
  </si>
  <si>
    <t>Mês 60</t>
  </si>
  <si>
    <t>Mês 61</t>
  </si>
  <si>
    <t>Mês 62</t>
  </si>
  <si>
    <t>Mês 63</t>
  </si>
  <si>
    <t>Mês 64</t>
  </si>
  <si>
    <t>Mês 65</t>
  </si>
  <si>
    <t>Mês 66</t>
  </si>
  <si>
    <t>Mês 67</t>
  </si>
  <si>
    <t>Mês 68</t>
  </si>
  <si>
    <t>Mês 69</t>
  </si>
  <si>
    <t>Mês 70</t>
  </si>
  <si>
    <t>Mês 71</t>
  </si>
  <si>
    <t>Mês 72</t>
  </si>
  <si>
    <t>Mês 73</t>
  </si>
  <si>
    <t>Mês 74</t>
  </si>
  <si>
    <t>Mês 75</t>
  </si>
  <si>
    <t>Mês 76</t>
  </si>
  <si>
    <t>Mês 77</t>
  </si>
  <si>
    <t>Mês 78</t>
  </si>
  <si>
    <t>Mês 79</t>
  </si>
  <si>
    <t>Mês 80</t>
  </si>
  <si>
    <t>Mês 81</t>
  </si>
  <si>
    <t>Mês 82</t>
  </si>
  <si>
    <t>Mês 83</t>
  </si>
  <si>
    <t>Mês 84</t>
  </si>
  <si>
    <t>Mês 85</t>
  </si>
  <si>
    <t>Mês 86</t>
  </si>
  <si>
    <t>Mês 87</t>
  </si>
  <si>
    <t>Mês 88</t>
  </si>
  <si>
    <t>Mês 89</t>
  </si>
  <si>
    <t>Mês 90</t>
  </si>
  <si>
    <t>Mês 91</t>
  </si>
  <si>
    <t>Mês 92</t>
  </si>
  <si>
    <t>Mês 93</t>
  </si>
  <si>
    <t>Mês 94</t>
  </si>
  <si>
    <t>Mês 95</t>
  </si>
  <si>
    <t>Mês 96</t>
  </si>
  <si>
    <t>Mês 97</t>
  </si>
  <si>
    <t>Mês 98</t>
  </si>
  <si>
    <t>Mês 99</t>
  </si>
  <si>
    <t>Mês 100</t>
  </si>
  <si>
    <t>Mês 101</t>
  </si>
  <si>
    <t>Mês 102</t>
  </si>
  <si>
    <t>Mês 103</t>
  </si>
  <si>
    <t>Mês 104</t>
  </si>
  <si>
    <t>Mês 105</t>
  </si>
  <si>
    <t>Mês 106</t>
  </si>
  <si>
    <t>Mês 107</t>
  </si>
  <si>
    <t>Mês 108</t>
  </si>
  <si>
    <t>Mês 109</t>
  </si>
  <si>
    <t>Mês 110</t>
  </si>
  <si>
    <t>Mês 111</t>
  </si>
  <si>
    <t>Mês 112</t>
  </si>
  <si>
    <t>Mês 113</t>
  </si>
  <si>
    <t>Mês 114</t>
  </si>
  <si>
    <t>Mês 115</t>
  </si>
  <si>
    <t>Mês 116</t>
  </si>
  <si>
    <t>Mês 117</t>
  </si>
  <si>
    <t>Mês 118</t>
  </si>
  <si>
    <t>Mês 119</t>
  </si>
  <si>
    <t>Mês 120</t>
  </si>
  <si>
    <t>Restaurantes</t>
  </si>
  <si>
    <t>TPV</t>
  </si>
  <si>
    <t>Receita Total</t>
  </si>
  <si>
    <t>Receita PDV</t>
  </si>
  <si>
    <t>Serviços adicionais</t>
  </si>
  <si>
    <t>Receita Payments</t>
  </si>
  <si>
    <t>Receita Implantação</t>
  </si>
  <si>
    <t>Setup</t>
  </si>
  <si>
    <t>Desconto</t>
  </si>
  <si>
    <t>Receita com desconto</t>
  </si>
  <si>
    <t>Impostos</t>
  </si>
  <si>
    <t>Receita Líquida</t>
  </si>
  <si>
    <t>Custos Operacionais</t>
  </si>
  <si>
    <t>Custo Server&amp;Tech</t>
  </si>
  <si>
    <t>Custo Supporting</t>
  </si>
  <si>
    <t>Custo Suporte Dedicado</t>
  </si>
  <si>
    <t>Custo Implantação</t>
  </si>
  <si>
    <t xml:space="preserve">CAC </t>
  </si>
  <si>
    <t>Staff comercial</t>
  </si>
  <si>
    <t>Marketing</t>
  </si>
  <si>
    <t>Incentivo</t>
  </si>
  <si>
    <t>Pré-venda</t>
  </si>
  <si>
    <t>Operational Margin</t>
  </si>
  <si>
    <t>Operational Margin Acumulada</t>
  </si>
  <si>
    <t>Payback</t>
  </si>
  <si>
    <t>Receita com Desconto</t>
  </si>
  <si>
    <t>UF</t>
  </si>
  <si>
    <t>PRODUTOS</t>
  </si>
  <si>
    <t>Ilimitado</t>
  </si>
  <si>
    <t>Adicional</t>
  </si>
  <si>
    <t>por TPV</t>
  </si>
  <si>
    <t>AC</t>
  </si>
  <si>
    <t>AL</t>
  </si>
  <si>
    <t>KDS</t>
  </si>
  <si>
    <t>Serve&amp;Tech Cost</t>
  </si>
  <si>
    <t>por Restaurante</t>
  </si>
  <si>
    <t>AM</t>
  </si>
  <si>
    <t>Produção com Impressoras</t>
  </si>
  <si>
    <t>AP</t>
  </si>
  <si>
    <t>Totem</t>
  </si>
  <si>
    <t>Supporting</t>
  </si>
  <si>
    <t>BA</t>
  </si>
  <si>
    <t xml:space="preserve">Integração Marketplace </t>
  </si>
  <si>
    <t>CE</t>
  </si>
  <si>
    <t>POS Mobile ou Smartphone</t>
  </si>
  <si>
    <t>por Restaurante novo</t>
  </si>
  <si>
    <t>DF</t>
  </si>
  <si>
    <t>Marca Adicional</t>
  </si>
  <si>
    <t>ES</t>
  </si>
  <si>
    <t>Navegação Extra Adicional</t>
  </si>
  <si>
    <t>GO</t>
  </si>
  <si>
    <t>3S Go (ilimitado por loja)</t>
  </si>
  <si>
    <t>Loja Grande</t>
  </si>
  <si>
    <t>MA</t>
  </si>
  <si>
    <t>3S Conection - Kinesis (por grupo empresarial)</t>
  </si>
  <si>
    <t>Loja Pequena</t>
  </si>
  <si>
    <t>MG</t>
  </si>
  <si>
    <t>3S BI - Simples</t>
  </si>
  <si>
    <t>MS</t>
  </si>
  <si>
    <t>3S BI - Administrador</t>
  </si>
  <si>
    <t>MT</t>
  </si>
  <si>
    <t>3S BI - Setup (6visão)</t>
  </si>
  <si>
    <t>PA</t>
  </si>
  <si>
    <t>Suporte Dedicado</t>
  </si>
  <si>
    <t>por HC dedicado</t>
  </si>
  <si>
    <t>PB</t>
  </si>
  <si>
    <t>PE</t>
  </si>
  <si>
    <t>PI</t>
  </si>
  <si>
    <t>BP</t>
  </si>
  <si>
    <t>PR</t>
  </si>
  <si>
    <t>Tabela A</t>
  </si>
  <si>
    <t>Tabela B</t>
  </si>
  <si>
    <t>Tabela C</t>
  </si>
  <si>
    <t>Restaurantes Totais</t>
  </si>
  <si>
    <t>RJ</t>
  </si>
  <si>
    <t>PDV - Até 2</t>
  </si>
  <si>
    <t>Restaurantes Novos</t>
  </si>
  <si>
    <t>RN</t>
  </si>
  <si>
    <t>PDV - 3 a 5</t>
  </si>
  <si>
    <t>Net Revenue</t>
  </si>
  <si>
    <t>RO</t>
  </si>
  <si>
    <t>PDV - Ilimitado</t>
  </si>
  <si>
    <t>Gross Profit</t>
  </si>
  <si>
    <t>RR</t>
  </si>
  <si>
    <t>PDV - Adicional</t>
  </si>
  <si>
    <t>Staff Supporting</t>
  </si>
  <si>
    <t>RS</t>
  </si>
  <si>
    <t>KDS - 2</t>
  </si>
  <si>
    <t>Staff Implantação</t>
  </si>
  <si>
    <t>SC</t>
  </si>
  <si>
    <t>KDS - Até 5</t>
  </si>
  <si>
    <t>Staff Comercial</t>
  </si>
  <si>
    <t>SE</t>
  </si>
  <si>
    <t>KDS - Ilimitado</t>
  </si>
  <si>
    <t>Outros</t>
  </si>
  <si>
    <t>KDS - Adicional</t>
  </si>
  <si>
    <t>Adjusted Gross Profit</t>
  </si>
  <si>
    <t>TO</t>
  </si>
  <si>
    <t>Produção com Impressoras - Até 3</t>
  </si>
  <si>
    <t>Margin</t>
  </si>
  <si>
    <t>Produção com Impressoras - Ilimitada</t>
  </si>
  <si>
    <t>Produção com Impressoras - Adicional</t>
  </si>
  <si>
    <t>Totem - 1 unidade</t>
  </si>
  <si>
    <t>Totem - Até 3</t>
  </si>
  <si>
    <t>Totem Ilimitado</t>
  </si>
  <si>
    <t>Totem Adicional</t>
  </si>
  <si>
    <t>Integração Marketplace - 1 (ifood / rappi / open delivery)</t>
  </si>
  <si>
    <t>Integração Marketplace - 2 (ifood / rappi / open delivery)</t>
  </si>
  <si>
    <t>Integração Marketplace - 3 (ifood / rappi / open delivery)</t>
  </si>
  <si>
    <t>Integrações Ilimitadas</t>
  </si>
  <si>
    <t>Integrações Adicionais</t>
  </si>
  <si>
    <t>POS Mobile ou Smartphone 1</t>
  </si>
  <si>
    <t>POS Mobile ou Smartphone - 2 Até 5</t>
  </si>
  <si>
    <t>POS Mobile ou Smartphone - 6 Até 10</t>
  </si>
  <si>
    <t>POS Mobile ou Smartphone - Ilimitado</t>
  </si>
  <si>
    <t>POS Mobile ou Smartphone - Adicional</t>
  </si>
  <si>
    <t>MÉDIA</t>
  </si>
  <si>
    <t>Staff Implantação / Restaurantes Novos</t>
  </si>
  <si>
    <t>Staff Suporte / Restaurantes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</si>
</sst>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0.0000000000000000"/>
    <numFmt numFmtId="166" formatCode="mmm/d"/>
  </numFmts>
  <fonts count="14" x14ac:knownFonts="1">
    <font>
      <sz val="10"/>
      <color rgb="FF000000"/>
      <name val="Arial"/>
      <scheme val="minor"/>
    </font>
    <font>
      <sz val="8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  <scheme val="minor"/>
    </font>
    <font>
      <i/>
      <sz val="8"/>
      <color rgb="FF999999"/>
      <name val="Arial"/>
      <scheme val="minor"/>
    </font>
    <font>
      <i/>
      <sz val="10"/>
      <color theme="1"/>
      <name val="Arial"/>
      <scheme val="minor"/>
    </font>
    <font>
      <i/>
      <sz val="8"/>
      <color rgb="FF999999"/>
      <name val="Arial"/>
    </font>
    <font>
      <sz val="10"/>
      <color rgb="FFD9D9D9"/>
      <name val="Arial"/>
      <scheme val="minor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center"/>
    </xf>
    <xf numFmtId="0" fontId="5" fillId="6" borderId="2" xfId="0" applyFont="1" applyFill="1" applyBorder="1" applyAlignment="1">
      <alignment horizontal="left"/>
    </xf>
    <xf numFmtId="0" fontId="2" fillId="6" borderId="3" xfId="0" applyFont="1" applyFill="1" applyBorder="1"/>
    <xf numFmtId="0" fontId="2" fillId="0" borderId="3" xfId="0" applyFont="1" applyBorder="1"/>
    <xf numFmtId="0" fontId="2" fillId="6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3" fillId="3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10" fontId="5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6" fillId="0" borderId="0" xfId="0" applyFont="1"/>
    <xf numFmtId="0" fontId="4" fillId="5" borderId="7" xfId="0" applyFont="1" applyFill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0" fontId="5" fillId="0" borderId="8" xfId="0" applyNumberFormat="1" applyFont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6" fillId="2" borderId="0" xfId="0" applyNumberFormat="1" applyFont="1" applyFill="1"/>
    <xf numFmtId="164" fontId="6" fillId="2" borderId="0" xfId="0" applyNumberFormat="1" applyFont="1" applyFill="1"/>
    <xf numFmtId="0" fontId="6" fillId="0" borderId="0" xfId="0" applyFont="1" applyAlignment="1">
      <alignment horizontal="center"/>
    </xf>
    <xf numFmtId="0" fontId="6" fillId="0" borderId="1" xfId="0" applyFont="1" applyBorder="1"/>
    <xf numFmtId="16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7" fillId="0" borderId="0" xfId="0" applyFont="1"/>
    <xf numFmtId="0" fontId="5" fillId="0" borderId="0" xfId="0" applyFont="1"/>
    <xf numFmtId="2" fontId="5" fillId="0" borderId="0" xfId="0" applyNumberFormat="1" applyFont="1"/>
    <xf numFmtId="164" fontId="6" fillId="0" borderId="0" xfId="0" applyNumberFormat="1" applyFont="1"/>
    <xf numFmtId="0" fontId="8" fillId="0" borderId="0" xfId="0" applyFont="1" applyAlignment="1">
      <alignment horizontal="right"/>
    </xf>
    <xf numFmtId="3" fontId="6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6" fillId="7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6" fillId="2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9" fontId="2" fillId="2" borderId="0" xfId="0" applyNumberFormat="1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64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10" fontId="5" fillId="0" borderId="0" xfId="0" applyNumberFormat="1" applyFont="1"/>
    <xf numFmtId="165" fontId="2" fillId="0" borderId="0" xfId="0" applyNumberFormat="1" applyFont="1"/>
    <xf numFmtId="1" fontId="5" fillId="0" borderId="0" xfId="0" applyNumberFormat="1" applyFont="1"/>
    <xf numFmtId="1" fontId="12" fillId="0" borderId="0" xfId="0" applyNumberFormat="1" applyFont="1" applyAlignment="1">
      <alignment horizontal="center"/>
    </xf>
    <xf numFmtId="3" fontId="5" fillId="0" borderId="0" xfId="0" applyNumberFormat="1" applyFont="1"/>
    <xf numFmtId="3" fontId="6" fillId="0" borderId="0" xfId="0" applyNumberFormat="1" applyFont="1" applyAlignment="1">
      <alignment horizontal="right"/>
    </xf>
    <xf numFmtId="10" fontId="2" fillId="2" borderId="0" xfId="0" applyNumberFormat="1" applyFont="1" applyFill="1"/>
    <xf numFmtId="4" fontId="2" fillId="0" borderId="0" xfId="0" applyNumberFormat="1" applyFont="1"/>
    <xf numFmtId="0" fontId="2" fillId="2" borderId="0" xfId="0" applyFont="1" applyFill="1"/>
    <xf numFmtId="3" fontId="2" fillId="2" borderId="0" xfId="0" applyNumberFormat="1" applyFont="1" applyFill="1"/>
    <xf numFmtId="10" fontId="2" fillId="0" borderId="0" xfId="0" applyNumberFormat="1" applyFont="1"/>
    <xf numFmtId="0" fontId="2" fillId="8" borderId="0" xfId="0" applyFont="1" applyFill="1"/>
    <xf numFmtId="3" fontId="2" fillId="8" borderId="0" xfId="0" applyNumberFormat="1" applyFont="1" applyFill="1"/>
    <xf numFmtId="10" fontId="2" fillId="8" borderId="0" xfId="0" applyNumberFormat="1" applyFont="1" applyFill="1"/>
    <xf numFmtId="0" fontId="2" fillId="9" borderId="0" xfId="0" applyFont="1" applyFill="1"/>
    <xf numFmtId="3" fontId="7" fillId="9" borderId="0" xfId="0" applyNumberFormat="1" applyFont="1" applyFill="1"/>
    <xf numFmtId="0" fontId="7" fillId="9" borderId="0" xfId="0" applyFont="1" applyFill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Z99"/>
  <sheetViews>
    <sheetView showGridLines="0" tabSelected="1" topLeftCell="G1" workbookViewId="0">
      <selection activeCell="M1" sqref="M1:M1048576"/>
    </sheetView>
  </sheetViews>
  <sheetFormatPr defaultColWidth="12.6328125" defaultRowHeight="15.75" customHeight="1" x14ac:dyDescent="0.25"/>
  <cols>
    <col min="1" max="1" width="1.7265625" customWidth="1"/>
    <col min="2" max="2" width="21.453125" customWidth="1"/>
    <col min="3" max="3" width="19.453125" customWidth="1"/>
    <col min="4" max="4" width="1.6328125" customWidth="1"/>
    <col min="5" max="5" width="20" customWidth="1"/>
    <col min="6" max="6" width="1.26953125" customWidth="1"/>
    <col min="7" max="7" width="20" customWidth="1"/>
    <col min="8" max="8" width="1.26953125" customWidth="1"/>
    <col min="9" max="9" width="20" customWidth="1"/>
    <col min="10" max="12" width="1.26953125" customWidth="1"/>
    <col min="13" max="13" width="12" customWidth="1"/>
    <col min="14" max="14" width="2.7265625" customWidth="1"/>
    <col min="15" max="24" width="9.36328125" customWidth="1"/>
    <col min="25" max="25" width="2" customWidth="1"/>
    <col min="26" max="26" width="10.26953125" customWidth="1"/>
  </cols>
  <sheetData>
    <row r="2" spans="2:26" x14ac:dyDescent="0.3">
      <c r="B2" s="1" t="s">
        <v>0</v>
      </c>
      <c r="C2" s="2"/>
      <c r="E2" s="3" t="s">
        <v>1</v>
      </c>
      <c r="F2" s="4"/>
      <c r="G2" s="5" t="s">
        <v>2</v>
      </c>
      <c r="H2" s="4"/>
      <c r="I2" s="6" t="s">
        <v>3</v>
      </c>
      <c r="O2" s="5" t="s">
        <v>4</v>
      </c>
      <c r="P2" s="5" t="s">
        <v>5</v>
      </c>
      <c r="Q2" s="5" t="s">
        <v>6</v>
      </c>
      <c r="R2" s="5" t="s">
        <v>7</v>
      </c>
      <c r="S2" s="5" t="s">
        <v>8</v>
      </c>
      <c r="T2" s="5" t="s">
        <v>9</v>
      </c>
      <c r="U2" s="5" t="s">
        <v>10</v>
      </c>
      <c r="V2" s="5" t="s">
        <v>11</v>
      </c>
      <c r="W2" s="5" t="s">
        <v>12</v>
      </c>
      <c r="X2" s="5" t="s">
        <v>13</v>
      </c>
      <c r="Y2" s="7"/>
      <c r="Z2" s="5" t="s">
        <v>14</v>
      </c>
    </row>
    <row r="4" spans="2:26" x14ac:dyDescent="0.3">
      <c r="B4" s="8" t="s">
        <v>15</v>
      </c>
      <c r="C4" s="8"/>
      <c r="D4" s="8"/>
      <c r="E4" s="8"/>
      <c r="G4" s="8"/>
      <c r="I4" s="8"/>
    </row>
    <row r="5" spans="2:26" x14ac:dyDescent="0.3">
      <c r="K5" s="9"/>
      <c r="L5" s="9"/>
    </row>
    <row r="6" spans="2:26" ht="15.75" customHeight="1" x14ac:dyDescent="0.25">
      <c r="C6" s="10" t="s">
        <v>16</v>
      </c>
      <c r="E6" s="11" t="s">
        <v>17</v>
      </c>
      <c r="F6" s="4"/>
      <c r="G6" s="11" t="s">
        <v>17</v>
      </c>
      <c r="H6" s="4"/>
      <c r="I6" s="11" t="s">
        <v>17</v>
      </c>
    </row>
    <row r="7" spans="2:26" x14ac:dyDescent="0.3">
      <c r="K7" s="7"/>
      <c r="L7" s="7"/>
      <c r="M7" s="12" t="s">
        <v>18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/>
      <c r="Z7" s="15"/>
    </row>
    <row r="8" spans="2:26" ht="15.75" customHeight="1" x14ac:dyDescent="0.25">
      <c r="C8" s="10" t="s">
        <v>19</v>
      </c>
      <c r="E8" s="2">
        <v>60</v>
      </c>
      <c r="G8" s="2"/>
      <c r="I8" s="2"/>
      <c r="K8" s="4"/>
      <c r="L8" s="4"/>
      <c r="M8" s="16"/>
      <c r="Z8" s="17"/>
    </row>
    <row r="9" spans="2:26" x14ac:dyDescent="0.3">
      <c r="C9" s="10"/>
      <c r="E9" s="4"/>
      <c r="G9" s="4"/>
      <c r="I9" s="4"/>
      <c r="K9" s="7"/>
      <c r="L9" s="7"/>
      <c r="M9" s="18" t="s">
        <v>20</v>
      </c>
      <c r="N9" s="19"/>
      <c r="O9" s="20">
        <f>ResumoCenarios!D10</f>
        <v>0.4814551090688558</v>
      </c>
      <c r="P9" s="20">
        <f>ResumoCenarios!E10</f>
        <v>0.76653123711947213</v>
      </c>
      <c r="Q9" s="20">
        <f>ResumoCenarios!F10</f>
        <v>0.76653123711947213</v>
      </c>
      <c r="R9" s="20">
        <f>ResumoCenarios!G10</f>
        <v>0.76653123711947213</v>
      </c>
      <c r="S9" s="20">
        <f>ResumoCenarios!H10</f>
        <v>0.76653123711947213</v>
      </c>
      <c r="T9" s="20">
        <f>ResumoCenarios!I10</f>
        <v>0</v>
      </c>
      <c r="U9" s="20">
        <f>ResumoCenarios!J10</f>
        <v>0</v>
      </c>
      <c r="V9" s="20">
        <f>ResumoCenarios!K10</f>
        <v>0</v>
      </c>
      <c r="W9" s="20">
        <f>ResumoCenarios!L10</f>
        <v>0</v>
      </c>
      <c r="X9" s="20">
        <f>ResumoCenarios!M10</f>
        <v>0</v>
      </c>
      <c r="Y9" s="19"/>
      <c r="Z9" s="21">
        <f>ResumoCenarios!O10</f>
        <v>0.70312091451809733</v>
      </c>
    </row>
    <row r="10" spans="2:26" ht="15.75" customHeight="1" x14ac:dyDescent="0.25">
      <c r="C10" s="10" t="s">
        <v>21</v>
      </c>
      <c r="E10" s="2">
        <v>25</v>
      </c>
      <c r="G10" s="2"/>
      <c r="I10" s="2"/>
      <c r="L10" s="4"/>
      <c r="M10" s="2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3"/>
    </row>
    <row r="11" spans="2:26" x14ac:dyDescent="0.3">
      <c r="C11" s="10" t="s">
        <v>22</v>
      </c>
      <c r="E11" s="2">
        <v>2</v>
      </c>
      <c r="G11" s="2"/>
      <c r="I11" s="2"/>
      <c r="L11" s="24"/>
      <c r="M11" s="25" t="s">
        <v>2</v>
      </c>
      <c r="N11" s="19"/>
      <c r="O11" s="20">
        <f>ResumoCenarios!D21</f>
        <v>0</v>
      </c>
      <c r="P11" s="20">
        <f>ResumoCenarios!E21</f>
        <v>0</v>
      </c>
      <c r="Q11" s="20">
        <f>ResumoCenarios!F21</f>
        <v>0</v>
      </c>
      <c r="R11" s="20">
        <f>ResumoCenarios!G21</f>
        <v>0</v>
      </c>
      <c r="S11" s="20">
        <f>ResumoCenarios!H21</f>
        <v>0</v>
      </c>
      <c r="T11" s="20">
        <f>ResumoCenarios!I21</f>
        <v>0</v>
      </c>
      <c r="U11" s="20">
        <f>ResumoCenarios!J21</f>
        <v>0</v>
      </c>
      <c r="V11" s="20">
        <f>ResumoCenarios!K21</f>
        <v>0</v>
      </c>
      <c r="W11" s="20">
        <f>ResumoCenarios!L21</f>
        <v>0</v>
      </c>
      <c r="X11" s="20">
        <f>ResumoCenarios!M21</f>
        <v>0</v>
      </c>
      <c r="Y11" s="19"/>
      <c r="Z11" s="21">
        <f>ResumoCenarios!O21</f>
        <v>0</v>
      </c>
    </row>
    <row r="12" spans="2:26" ht="15.75" customHeight="1" x14ac:dyDescent="0.25">
      <c r="C12" s="10" t="s">
        <v>23</v>
      </c>
      <c r="E12" s="2">
        <v>25</v>
      </c>
      <c r="G12" s="2"/>
      <c r="I12" s="2"/>
      <c r="K12" s="4"/>
      <c r="M12" s="2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3"/>
    </row>
    <row r="13" spans="2:26" x14ac:dyDescent="0.3">
      <c r="I13" s="26"/>
      <c r="K13" s="24"/>
      <c r="M13" s="27" t="s">
        <v>3</v>
      </c>
      <c r="N13" s="8"/>
      <c r="O13" s="28">
        <f>ResumoCenarios!D32</f>
        <v>0</v>
      </c>
      <c r="P13" s="28">
        <f>ResumoCenarios!E32</f>
        <v>0</v>
      </c>
      <c r="Q13" s="28">
        <f>ResumoCenarios!F32</f>
        <v>0</v>
      </c>
      <c r="R13" s="28">
        <f>ResumoCenarios!G32</f>
        <v>0</v>
      </c>
      <c r="S13" s="28">
        <f>ResumoCenarios!H32</f>
        <v>0</v>
      </c>
      <c r="T13" s="28">
        <f>ResumoCenarios!I32</f>
        <v>0</v>
      </c>
      <c r="U13" s="28">
        <f>ResumoCenarios!J32</f>
        <v>0</v>
      </c>
      <c r="V13" s="28">
        <f>ResumoCenarios!K32</f>
        <v>0</v>
      </c>
      <c r="W13" s="28">
        <f>ResumoCenarios!L32</f>
        <v>0</v>
      </c>
      <c r="X13" s="28">
        <f>ResumoCenarios!M32</f>
        <v>0</v>
      </c>
      <c r="Y13" s="8"/>
      <c r="Z13" s="29">
        <f>ResumoCenarios!O32</f>
        <v>0</v>
      </c>
    </row>
    <row r="14" spans="2:26" x14ac:dyDescent="0.3">
      <c r="C14" s="10" t="s">
        <v>24</v>
      </c>
      <c r="E14" s="30"/>
      <c r="F14" s="4"/>
      <c r="G14" s="30"/>
      <c r="H14" s="4"/>
      <c r="I14" s="31">
        <f>G14</f>
        <v>0</v>
      </c>
      <c r="L14" s="7"/>
    </row>
    <row r="15" spans="2:26" ht="15.75" customHeight="1" x14ac:dyDescent="0.25">
      <c r="C15" s="10"/>
      <c r="E15" s="4"/>
      <c r="F15" s="4"/>
      <c r="G15" s="4"/>
      <c r="H15" s="4"/>
      <c r="I15" s="26"/>
      <c r="L15" s="10"/>
    </row>
    <row r="16" spans="2:26" x14ac:dyDescent="0.3">
      <c r="C16" s="10" t="s">
        <v>25</v>
      </c>
      <c r="E16" s="11"/>
      <c r="F16" s="4"/>
      <c r="G16" s="11"/>
      <c r="H16" s="4"/>
      <c r="I16" s="32">
        <f>G16</f>
        <v>0</v>
      </c>
      <c r="K16" s="7"/>
      <c r="L16" s="10"/>
    </row>
    <row r="17" spans="2:12" ht="15.75" customHeight="1" x14ac:dyDescent="0.25">
      <c r="C17" s="10"/>
      <c r="E17" s="4"/>
      <c r="F17" s="4"/>
      <c r="G17" s="4"/>
      <c r="H17" s="4"/>
      <c r="I17" s="26"/>
      <c r="K17" s="10"/>
      <c r="L17" s="10"/>
    </row>
    <row r="18" spans="2:12" ht="15.75" customHeight="1" x14ac:dyDescent="0.25">
      <c r="C18" s="10" t="s">
        <v>26</v>
      </c>
      <c r="E18" s="4" t="b">
        <v>0</v>
      </c>
      <c r="F18" s="4"/>
      <c r="G18" s="4" t="b">
        <v>0</v>
      </c>
      <c r="H18" s="4"/>
      <c r="I18" s="33" t="b">
        <v>0</v>
      </c>
      <c r="K18" s="10"/>
      <c r="L18" s="10"/>
    </row>
    <row r="19" spans="2:12" x14ac:dyDescent="0.3">
      <c r="B19" s="8" t="s">
        <v>27</v>
      </c>
      <c r="C19" s="8"/>
      <c r="D19" s="8"/>
      <c r="E19" s="8"/>
      <c r="F19" s="4"/>
      <c r="G19" s="8"/>
      <c r="H19" s="4"/>
      <c r="I19" s="34"/>
      <c r="K19" s="10"/>
      <c r="L19" s="10"/>
    </row>
    <row r="20" spans="2:12" ht="13" x14ac:dyDescent="0.3">
      <c r="B20" s="10"/>
      <c r="E20" s="4"/>
      <c r="F20" s="4"/>
      <c r="G20" s="4"/>
      <c r="H20" s="4"/>
      <c r="I20" s="35"/>
      <c r="K20" s="10"/>
      <c r="L20" s="36"/>
    </row>
    <row r="21" spans="2:12" ht="13" x14ac:dyDescent="0.3">
      <c r="C21" s="37" t="s">
        <v>28</v>
      </c>
      <c r="D21" s="38"/>
      <c r="E21" s="38"/>
      <c r="F21" s="38"/>
      <c r="G21" s="39"/>
      <c r="H21" s="38"/>
      <c r="I21" s="40"/>
      <c r="K21" s="10"/>
      <c r="L21" s="36"/>
    </row>
    <row r="22" spans="2:12" ht="13" x14ac:dyDescent="0.3">
      <c r="C22" s="41" t="s">
        <v>29</v>
      </c>
      <c r="E22" s="30">
        <v>1</v>
      </c>
      <c r="F22" s="4"/>
      <c r="G22" s="30">
        <v>1</v>
      </c>
      <c r="H22" s="4"/>
      <c r="I22" s="42">
        <v>1</v>
      </c>
      <c r="K22" s="36"/>
    </row>
    <row r="23" spans="2:12" ht="13" x14ac:dyDescent="0.3">
      <c r="C23" s="41" t="s">
        <v>30</v>
      </c>
      <c r="E23" s="43">
        <v>600</v>
      </c>
      <c r="F23" s="4"/>
      <c r="G23" s="11">
        <v>500</v>
      </c>
      <c r="H23" s="4"/>
      <c r="I23" s="11"/>
      <c r="K23" s="36"/>
      <c r="L23" s="7"/>
    </row>
    <row r="24" spans="2:12" ht="13" x14ac:dyDescent="0.3">
      <c r="C24" s="37"/>
      <c r="I24" s="44"/>
      <c r="L24" s="10"/>
    </row>
    <row r="25" spans="2:12" ht="13" x14ac:dyDescent="0.3">
      <c r="C25" s="37" t="s">
        <v>31</v>
      </c>
      <c r="I25" s="26"/>
      <c r="K25" s="7"/>
      <c r="L25" s="10"/>
    </row>
    <row r="26" spans="2:12" ht="12.5" x14ac:dyDescent="0.25">
      <c r="C26" s="41" t="s">
        <v>30</v>
      </c>
      <c r="E26" s="30"/>
      <c r="F26" s="4"/>
      <c r="G26" s="11"/>
      <c r="H26" s="26"/>
      <c r="I26" s="31"/>
      <c r="K26" s="10"/>
      <c r="L26" s="10"/>
    </row>
    <row r="27" spans="2:12" ht="13" x14ac:dyDescent="0.3">
      <c r="C27" s="37" t="s">
        <v>32</v>
      </c>
      <c r="I27" s="26"/>
      <c r="K27" s="10"/>
      <c r="L27" s="10"/>
    </row>
    <row r="28" spans="2:12" ht="12.5" x14ac:dyDescent="0.25">
      <c r="C28" s="41" t="s">
        <v>30</v>
      </c>
      <c r="E28" s="43">
        <f>IF(E$29=TRUE,Premissas!$C$12,IF(E$30=TRUE,Premissas!$C$13,0))</f>
        <v>1622</v>
      </c>
      <c r="F28" s="4"/>
      <c r="G28" s="43">
        <f>IF(G$29=TRUE,Premissas!$C$12,IF(G$30=TRUE,Premissas!$C$13,0))</f>
        <v>1622</v>
      </c>
      <c r="H28" s="26"/>
      <c r="I28" s="43">
        <f>IF(I$29=TRUE,Premissas!$C$12,IF(I$30=TRUE,Premissas!$C$13,0))</f>
        <v>1622</v>
      </c>
      <c r="K28" s="10"/>
      <c r="L28" s="10"/>
    </row>
    <row r="29" spans="2:12" ht="13" x14ac:dyDescent="0.3">
      <c r="C29" s="10" t="s">
        <v>33</v>
      </c>
      <c r="E29" s="4" t="b">
        <v>0</v>
      </c>
      <c r="G29" s="4" t="b">
        <v>0</v>
      </c>
      <c r="I29" s="33" t="b">
        <v>0</v>
      </c>
      <c r="K29" s="10"/>
      <c r="L29" s="36"/>
    </row>
    <row r="30" spans="2:12" ht="13" x14ac:dyDescent="0.3">
      <c r="C30" s="10" t="s">
        <v>34</v>
      </c>
      <c r="E30" s="4" t="b">
        <v>1</v>
      </c>
      <c r="G30" s="4" t="b">
        <v>1</v>
      </c>
      <c r="I30" s="33" t="b">
        <v>1</v>
      </c>
      <c r="K30" s="10"/>
      <c r="L30" s="36"/>
    </row>
    <row r="31" spans="2:12" ht="13" x14ac:dyDescent="0.3">
      <c r="C31" s="37" t="s">
        <v>35</v>
      </c>
      <c r="I31" s="26"/>
      <c r="K31" s="36"/>
    </row>
    <row r="32" spans="2:12" ht="13" x14ac:dyDescent="0.3">
      <c r="C32" s="41" t="s">
        <v>30</v>
      </c>
      <c r="E32" s="11">
        <v>3000</v>
      </c>
      <c r="F32" s="4"/>
      <c r="G32" s="11">
        <v>3000</v>
      </c>
      <c r="H32" s="26"/>
      <c r="I32" s="11">
        <v>3000</v>
      </c>
      <c r="K32" s="36"/>
      <c r="L32" s="24"/>
    </row>
    <row r="33" spans="2:24" ht="12.5" x14ac:dyDescent="0.25">
      <c r="C33" s="46"/>
      <c r="I33" s="26"/>
      <c r="L33" s="10"/>
    </row>
    <row r="34" spans="2:24" ht="13" x14ac:dyDescent="0.3">
      <c r="B34" s="8" t="s">
        <v>36</v>
      </c>
      <c r="C34" s="8"/>
      <c r="D34" s="8"/>
      <c r="E34" s="8"/>
      <c r="F34" s="4"/>
      <c r="G34" s="8"/>
      <c r="H34" s="4"/>
      <c r="I34" s="34"/>
      <c r="K34" s="24"/>
      <c r="L34" s="10"/>
    </row>
    <row r="35" spans="2:24" ht="12.5" x14ac:dyDescent="0.25">
      <c r="E35" s="4"/>
      <c r="F35" s="4"/>
      <c r="G35" s="4"/>
      <c r="H35" s="4"/>
      <c r="I35" s="26"/>
      <c r="K35" s="10"/>
      <c r="L35" s="10"/>
    </row>
    <row r="36" spans="2:24" ht="13" x14ac:dyDescent="0.3">
      <c r="C36" s="36" t="s">
        <v>37</v>
      </c>
      <c r="I36" s="26"/>
      <c r="K36" s="10"/>
      <c r="L36" s="10"/>
    </row>
    <row r="37" spans="2:24" ht="12.5" x14ac:dyDescent="0.25">
      <c r="C37" s="41" t="s">
        <v>38</v>
      </c>
      <c r="E37" s="47"/>
      <c r="F37" s="4"/>
      <c r="G37" s="30"/>
      <c r="H37" s="4"/>
      <c r="I37" s="31"/>
      <c r="K37" s="10"/>
      <c r="L37" s="10"/>
    </row>
    <row r="38" spans="2:24" ht="13" x14ac:dyDescent="0.3">
      <c r="C38" s="48" t="s">
        <v>39</v>
      </c>
      <c r="E38" s="49"/>
      <c r="F38" s="4"/>
      <c r="G38" s="48" t="s">
        <v>39</v>
      </c>
      <c r="H38" s="49"/>
      <c r="I38" s="50" t="s">
        <v>39</v>
      </c>
      <c r="K38" s="10"/>
      <c r="L38" s="36"/>
    </row>
    <row r="39" spans="2:24" ht="13" x14ac:dyDescent="0.3">
      <c r="C39" s="36" t="s">
        <v>40</v>
      </c>
      <c r="E39" s="51">
        <v>0</v>
      </c>
      <c r="G39" s="52"/>
      <c r="H39" s="4"/>
      <c r="I39" s="52"/>
      <c r="K39" s="10"/>
      <c r="L39" s="36"/>
    </row>
    <row r="40" spans="2:24" ht="13" x14ac:dyDescent="0.3">
      <c r="C40" s="48" t="s">
        <v>39</v>
      </c>
      <c r="E40" s="49"/>
      <c r="F40" s="4"/>
      <c r="G40" s="48" t="s">
        <v>39</v>
      </c>
      <c r="H40" s="49"/>
      <c r="I40" s="50" t="s">
        <v>39</v>
      </c>
      <c r="K40" s="36"/>
      <c r="L40" s="53"/>
    </row>
    <row r="41" spans="2:24" ht="13" x14ac:dyDescent="0.3">
      <c r="C41" s="36" t="s">
        <v>41</v>
      </c>
      <c r="G41" s="4" t="b">
        <v>0</v>
      </c>
      <c r="I41" s="33" t="b">
        <v>0</v>
      </c>
      <c r="K41" s="36"/>
      <c r="L41" s="53"/>
    </row>
    <row r="42" spans="2:24" ht="13" x14ac:dyDescent="0.3">
      <c r="C42" s="48" t="s">
        <v>39</v>
      </c>
      <c r="E42" s="49"/>
      <c r="F42" s="4"/>
      <c r="G42" s="48" t="s">
        <v>39</v>
      </c>
      <c r="H42" s="49"/>
      <c r="I42" s="50" t="s">
        <v>39</v>
      </c>
      <c r="J42" s="53"/>
      <c r="K42" s="53"/>
      <c r="L42" s="53"/>
    </row>
    <row r="43" spans="2:24" ht="13" x14ac:dyDescent="0.3">
      <c r="C43" s="36" t="s">
        <v>42</v>
      </c>
      <c r="I43" s="26"/>
      <c r="J43" s="53"/>
      <c r="K43" s="53"/>
      <c r="L43" s="53"/>
    </row>
    <row r="44" spans="2:24" ht="12.5" x14ac:dyDescent="0.25">
      <c r="C44" s="41" t="s">
        <v>43</v>
      </c>
      <c r="E44" s="51"/>
      <c r="F44" s="4"/>
      <c r="G44" s="54"/>
      <c r="H44" s="4"/>
      <c r="I44" s="54"/>
      <c r="J44" s="53"/>
      <c r="K44" s="53"/>
      <c r="L44" s="53"/>
    </row>
    <row r="45" spans="2:24" ht="12.5" x14ac:dyDescent="0.25">
      <c r="C45" s="41" t="s">
        <v>44</v>
      </c>
      <c r="E45" s="47"/>
      <c r="F45" s="4"/>
      <c r="G45" s="30"/>
      <c r="H45" s="4"/>
      <c r="I45" s="30"/>
      <c r="J45" s="53"/>
      <c r="K45" s="53"/>
      <c r="L45" s="53"/>
    </row>
    <row r="46" spans="2:24" ht="13" x14ac:dyDescent="0.3">
      <c r="C46" s="36"/>
      <c r="D46" s="10"/>
      <c r="E46" s="4"/>
      <c r="F46" s="4"/>
      <c r="G46" s="4"/>
      <c r="H46" s="4"/>
      <c r="I46" s="4"/>
      <c r="J46" s="53"/>
      <c r="K46" s="53"/>
      <c r="L46" s="53"/>
    </row>
    <row r="47" spans="2:24" ht="13" x14ac:dyDescent="0.3">
      <c r="B47" s="8" t="s">
        <v>45</v>
      </c>
      <c r="C47" s="8"/>
      <c r="D47" s="8"/>
      <c r="E47" s="8"/>
      <c r="F47" s="4"/>
      <c r="G47" s="8"/>
      <c r="H47" s="4"/>
      <c r="I47" s="8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</row>
    <row r="48" spans="2:24" ht="13" x14ac:dyDescent="0.3">
      <c r="C48" s="36"/>
      <c r="D48" s="10"/>
      <c r="E48" s="4"/>
      <c r="F48" s="4"/>
      <c r="G48" s="4"/>
      <c r="H48" s="4"/>
      <c r="I48" s="4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</row>
    <row r="49" spans="2:24" ht="13" x14ac:dyDescent="0.3">
      <c r="C49" s="36" t="s">
        <v>46</v>
      </c>
      <c r="D49" s="10"/>
      <c r="E49" s="4"/>
      <c r="F49" s="4"/>
      <c r="G49" s="4"/>
      <c r="H49" s="4"/>
      <c r="I49" s="4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</row>
    <row r="50" spans="2:24" ht="12.5" x14ac:dyDescent="0.25">
      <c r="C50" s="41" t="s">
        <v>47</v>
      </c>
      <c r="D50" s="53"/>
      <c r="E50" s="47"/>
      <c r="F50" s="4"/>
      <c r="G50" s="30"/>
      <c r="H50" s="4"/>
      <c r="I50" s="42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</row>
    <row r="51" spans="2:24" ht="12.5" x14ac:dyDescent="0.25">
      <c r="C51" s="41" t="s">
        <v>48</v>
      </c>
      <c r="D51" s="53"/>
      <c r="E51" s="47"/>
      <c r="F51" s="4"/>
      <c r="G51" s="11"/>
      <c r="H51" s="4"/>
      <c r="I51" s="45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</row>
    <row r="52" spans="2:24" ht="12.5" x14ac:dyDescent="0.25">
      <c r="C52" s="41" t="s">
        <v>49</v>
      </c>
      <c r="D52" s="53"/>
      <c r="E52" s="47"/>
      <c r="F52" s="4"/>
      <c r="G52" s="47" t="e">
        <f>(G51*G50)/G10</f>
        <v>#DIV/0!</v>
      </c>
      <c r="H52" s="4"/>
      <c r="I52" s="47" t="e">
        <f>(I51*I50)/I10</f>
        <v>#DIV/0!</v>
      </c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</row>
    <row r="53" spans="2:24" ht="13" x14ac:dyDescent="0.3">
      <c r="C53" s="48" t="s">
        <v>39</v>
      </c>
      <c r="E53" s="49"/>
      <c r="F53" s="4"/>
      <c r="G53" s="48" t="s">
        <v>39</v>
      </c>
      <c r="H53" s="49"/>
      <c r="I53" s="48" t="s">
        <v>39</v>
      </c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</row>
    <row r="54" spans="2:24" ht="13" x14ac:dyDescent="0.3">
      <c r="C54" s="36" t="s">
        <v>50</v>
      </c>
      <c r="D54" s="10"/>
      <c r="E54" s="4"/>
      <c r="F54" s="4"/>
      <c r="H54" s="4"/>
      <c r="I54" s="4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</row>
    <row r="55" spans="2:24" ht="12.5" x14ac:dyDescent="0.25">
      <c r="C55" s="41" t="s">
        <v>51</v>
      </c>
      <c r="D55" s="53"/>
      <c r="E55" s="47"/>
      <c r="F55" s="4"/>
      <c r="G55" s="30"/>
      <c r="H55" s="4"/>
      <c r="I55" s="42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</row>
    <row r="56" spans="2:24" ht="12.5" x14ac:dyDescent="0.25">
      <c r="C56" s="41" t="s">
        <v>52</v>
      </c>
      <c r="D56" s="53"/>
      <c r="E56" s="47"/>
      <c r="F56" s="4"/>
      <c r="G56" s="11"/>
      <c r="H56" s="4"/>
      <c r="I56" s="45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</row>
    <row r="57" spans="2:24" ht="13" x14ac:dyDescent="0.3">
      <c r="B57" s="9"/>
      <c r="C57" s="36" t="s">
        <v>53</v>
      </c>
      <c r="D57" s="19"/>
      <c r="E57" s="19"/>
      <c r="F57" s="4"/>
      <c r="G57" s="19"/>
      <c r="H57" s="4"/>
      <c r="I57" s="19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</row>
    <row r="58" spans="2:24" ht="13" x14ac:dyDescent="0.3">
      <c r="B58" s="9"/>
      <c r="C58" s="41" t="s">
        <v>54</v>
      </c>
      <c r="D58" s="19"/>
      <c r="E58" s="19"/>
      <c r="F58" s="4"/>
      <c r="G58" s="11"/>
      <c r="H58" s="4"/>
      <c r="I58" s="11">
        <f>G58</f>
        <v>0</v>
      </c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</row>
    <row r="59" spans="2:24" ht="13" x14ac:dyDescent="0.3">
      <c r="B59" s="9"/>
      <c r="C59" s="36" t="s">
        <v>55</v>
      </c>
      <c r="D59" s="19"/>
      <c r="E59" s="19"/>
      <c r="F59" s="4"/>
      <c r="G59" s="19"/>
      <c r="H59" s="4"/>
      <c r="I59" s="19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</row>
    <row r="60" spans="2:24" ht="13" x14ac:dyDescent="0.3">
      <c r="B60" s="9"/>
      <c r="C60" s="41" t="s">
        <v>56</v>
      </c>
      <c r="D60" s="19"/>
      <c r="E60" s="19"/>
      <c r="F60" s="4"/>
      <c r="G60" s="30"/>
      <c r="H60" s="47"/>
      <c r="I60" s="30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</row>
    <row r="61" spans="2:24" ht="13" x14ac:dyDescent="0.3">
      <c r="B61" s="9"/>
      <c r="C61" s="36" t="s">
        <v>57</v>
      </c>
      <c r="D61" s="19"/>
      <c r="E61" s="19"/>
      <c r="F61" s="4"/>
      <c r="G61" s="47"/>
      <c r="H61" s="47"/>
      <c r="I61" s="47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</row>
    <row r="62" spans="2:24" ht="13" x14ac:dyDescent="0.3">
      <c r="B62" s="9"/>
      <c r="C62" s="41" t="s">
        <v>58</v>
      </c>
      <c r="D62" s="19"/>
      <c r="E62" s="19"/>
      <c r="F62" s="4"/>
      <c r="G62" s="30"/>
      <c r="H62" s="47"/>
      <c r="I62" s="30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</row>
    <row r="63" spans="2:24" ht="13" x14ac:dyDescent="0.3">
      <c r="B63" s="9"/>
      <c r="C63" s="36" t="s">
        <v>59</v>
      </c>
      <c r="D63" s="19"/>
      <c r="E63" s="19"/>
      <c r="F63" s="4"/>
      <c r="G63" s="47"/>
      <c r="H63" s="47"/>
      <c r="I63" s="47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</row>
    <row r="64" spans="2:24" ht="13" x14ac:dyDescent="0.3">
      <c r="B64" s="9"/>
      <c r="C64" s="41" t="s">
        <v>60</v>
      </c>
      <c r="D64" s="19"/>
      <c r="E64" s="19"/>
      <c r="F64" s="4"/>
      <c r="G64" s="55"/>
      <c r="H64" s="56"/>
      <c r="I64" s="55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</row>
    <row r="65" spans="2:24" ht="13" x14ac:dyDescent="0.3">
      <c r="B65" s="57"/>
      <c r="C65" s="8"/>
      <c r="D65" s="8"/>
      <c r="E65" s="8"/>
      <c r="F65" s="4"/>
      <c r="G65" s="8"/>
      <c r="H65" s="4"/>
      <c r="I65" s="8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</row>
    <row r="66" spans="2:24" ht="12.5" x14ac:dyDescent="0.25"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</row>
    <row r="67" spans="2:24" ht="12.5" x14ac:dyDescent="0.25">
      <c r="J67" s="53"/>
      <c r="K67" s="53"/>
      <c r="L67" s="53"/>
      <c r="M67" s="58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</row>
    <row r="68" spans="2:24" ht="12.5" x14ac:dyDescent="0.25">
      <c r="J68" s="53"/>
      <c r="K68" s="53"/>
      <c r="L68" s="53"/>
      <c r="M68" s="58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</row>
    <row r="69" spans="2:24" ht="12.5" x14ac:dyDescent="0.25">
      <c r="J69" s="53"/>
      <c r="K69" s="53"/>
      <c r="L69" s="53"/>
      <c r="M69" s="58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</row>
    <row r="70" spans="2:24" ht="12.5" x14ac:dyDescent="0.25"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</row>
    <row r="71" spans="2:24" ht="12.5" x14ac:dyDescent="0.25"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</row>
    <row r="72" spans="2:24" ht="12.5" x14ac:dyDescent="0.25"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</row>
    <row r="73" spans="2:24" ht="12.5" x14ac:dyDescent="0.25"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</row>
    <row r="74" spans="2:24" ht="12.5" x14ac:dyDescent="0.25"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</row>
    <row r="75" spans="2:24" ht="12.5" x14ac:dyDescent="0.25"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</row>
    <row r="76" spans="2:24" ht="12.5" x14ac:dyDescent="0.25"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</row>
    <row r="77" spans="2:24" ht="12.5" x14ac:dyDescent="0.25"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</row>
    <row r="78" spans="2:24" ht="12.5" x14ac:dyDescent="0.25"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</row>
    <row r="79" spans="2:24" ht="12.5" x14ac:dyDescent="0.25"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</row>
    <row r="80" spans="2:24" ht="12.5" x14ac:dyDescent="0.25">
      <c r="J80" s="53"/>
      <c r="K80" s="53"/>
      <c r="L80" s="53"/>
      <c r="M80" s="59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</row>
    <row r="81" spans="10:24" ht="12.5" x14ac:dyDescent="0.25"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</row>
    <row r="82" spans="10:24" ht="12.5" x14ac:dyDescent="0.25"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</row>
    <row r="83" spans="10:24" ht="12.5" x14ac:dyDescent="0.25">
      <c r="J83" s="53"/>
      <c r="K83" s="53"/>
      <c r="L83" s="53"/>
      <c r="M83" s="58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</row>
    <row r="84" spans="10:24" ht="12.5" x14ac:dyDescent="0.25">
      <c r="J84" s="53"/>
      <c r="K84" s="53"/>
      <c r="L84" s="53"/>
      <c r="M84" s="58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</row>
    <row r="85" spans="10:24" ht="12.5" x14ac:dyDescent="0.25">
      <c r="J85" s="53"/>
      <c r="K85" s="53"/>
      <c r="L85" s="53"/>
      <c r="M85" s="58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</row>
    <row r="86" spans="10:24" ht="12.5" x14ac:dyDescent="0.25">
      <c r="J86" s="53"/>
      <c r="K86" s="53"/>
      <c r="L86" s="53"/>
      <c r="M86" s="58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</row>
    <row r="87" spans="10:24" ht="12.5" x14ac:dyDescent="0.25">
      <c r="J87" s="53"/>
      <c r="K87" s="53"/>
      <c r="L87" s="53"/>
      <c r="M87" s="58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</row>
    <row r="88" spans="10:24" ht="12.5" x14ac:dyDescent="0.25">
      <c r="J88" s="53"/>
      <c r="K88" s="53"/>
      <c r="L88" s="53"/>
      <c r="M88" s="58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</row>
    <row r="89" spans="10:24" ht="12.5" x14ac:dyDescent="0.25">
      <c r="J89" s="53"/>
      <c r="K89" s="53"/>
      <c r="L89" s="53"/>
      <c r="M89" s="58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</row>
    <row r="90" spans="10:24" ht="12.5" x14ac:dyDescent="0.25">
      <c r="J90" s="53"/>
      <c r="K90" s="53"/>
      <c r="L90" s="53"/>
      <c r="M90" s="58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</row>
    <row r="91" spans="10:24" ht="12.5" x14ac:dyDescent="0.25">
      <c r="J91" s="53"/>
      <c r="K91" s="53"/>
      <c r="L91" s="53"/>
      <c r="M91" s="58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</row>
    <row r="92" spans="10:24" ht="12.5" x14ac:dyDescent="0.25">
      <c r="J92" s="53"/>
      <c r="K92" s="53"/>
      <c r="L92" s="53"/>
      <c r="M92" s="58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</row>
    <row r="93" spans="10:24" ht="12.5" x14ac:dyDescent="0.25">
      <c r="J93" s="53"/>
      <c r="K93" s="53"/>
      <c r="L93" s="53"/>
      <c r="M93" s="58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</row>
    <row r="94" spans="10:24" ht="12.5" x14ac:dyDescent="0.25">
      <c r="J94" s="53"/>
      <c r="K94" s="53"/>
      <c r="L94" s="53"/>
      <c r="M94" s="58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</row>
    <row r="95" spans="10:24" ht="12.5" x14ac:dyDescent="0.25">
      <c r="J95" s="53"/>
      <c r="K95" s="53"/>
      <c r="L95" s="53"/>
      <c r="M95" s="58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</row>
    <row r="96" spans="10:24" ht="12.5" x14ac:dyDescent="0.25">
      <c r="J96" s="53"/>
      <c r="K96" s="53"/>
      <c r="L96" s="53"/>
      <c r="M96" s="58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</row>
    <row r="97" spans="3:24" ht="12.5" x14ac:dyDescent="0.25">
      <c r="J97" s="53"/>
      <c r="K97" s="53"/>
      <c r="L97" s="53"/>
      <c r="M97" s="58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</row>
    <row r="98" spans="3:24" ht="12.5" x14ac:dyDescent="0.25">
      <c r="J98" s="53"/>
      <c r="K98" s="53"/>
      <c r="L98" s="53"/>
      <c r="M98" s="58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</row>
    <row r="99" spans="3:24" ht="12.5" x14ac:dyDescent="0.25">
      <c r="C99" s="53"/>
      <c r="D99" s="53"/>
      <c r="E99" s="53"/>
      <c r="F99" s="53"/>
      <c r="G99" s="60"/>
      <c r="H99" s="53"/>
      <c r="I99" s="53"/>
      <c r="J99" s="53"/>
      <c r="K99" s="53"/>
      <c r="L99" s="53"/>
      <c r="M99" s="58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Premissas!$G$2:$G$29</xm:f>
          </x14:formula1>
          <xm:sqref>E6 G6 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O33"/>
  <sheetViews>
    <sheetView showGridLines="0" workbookViewId="0"/>
  </sheetViews>
  <sheetFormatPr defaultColWidth="12.6328125" defaultRowHeight="15.75" customHeight="1" x14ac:dyDescent="0.25"/>
  <cols>
    <col min="2" max="2" width="15.7265625" customWidth="1"/>
  </cols>
  <sheetData>
    <row r="3" spans="2:15" x14ac:dyDescent="0.3">
      <c r="B3" s="3" t="s">
        <v>20</v>
      </c>
      <c r="C3" s="3"/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</row>
    <row r="4" spans="2:15" ht="15.75" customHeight="1" x14ac:dyDescent="0.25">
      <c r="B4" s="10" t="s">
        <v>61</v>
      </c>
      <c r="D4" s="61">
        <f>'Cenário 1'!D$7</f>
        <v>25</v>
      </c>
      <c r="E4" s="61">
        <f>'Cenário 1'!E$7</f>
        <v>25</v>
      </c>
      <c r="F4" s="61">
        <f>'Cenário 1'!F$7</f>
        <v>25</v>
      </c>
      <c r="G4" s="61">
        <f>'Cenário 1'!G$7</f>
        <v>25</v>
      </c>
      <c r="H4" s="61">
        <f>'Cenário 1'!H$7</f>
        <v>25</v>
      </c>
      <c r="I4" s="61">
        <f>'Cenário 1'!I$7</f>
        <v>0</v>
      </c>
      <c r="J4" s="61">
        <f>'Cenário 1'!J$7</f>
        <v>0</v>
      </c>
      <c r="K4" s="61">
        <f>'Cenário 1'!K$7</f>
        <v>0</v>
      </c>
      <c r="L4" s="61">
        <f>'Cenário 1'!L$7</f>
        <v>0</v>
      </c>
      <c r="M4" s="61">
        <f>'Cenário 1'!M$7</f>
        <v>0</v>
      </c>
      <c r="O4" s="46">
        <f t="shared" ref="O4:O5" si="0">MAX(D4:M4)</f>
        <v>25</v>
      </c>
    </row>
    <row r="5" spans="2:15" ht="15.75" customHeight="1" x14ac:dyDescent="0.25">
      <c r="B5" s="10" t="s">
        <v>62</v>
      </c>
      <c r="D5" s="46">
        <f>SUM('Cenário 1'!D9)</f>
        <v>25</v>
      </c>
      <c r="E5" s="46">
        <f>SUM('Cenário 1'!E9)</f>
        <v>25</v>
      </c>
      <c r="F5" s="46">
        <f>SUM('Cenário 1'!F9)</f>
        <v>25</v>
      </c>
      <c r="G5" s="46">
        <f>SUM('Cenário 1'!G9)</f>
        <v>25</v>
      </c>
      <c r="H5" s="46">
        <f>SUM('Cenário 1'!H9)</f>
        <v>25</v>
      </c>
      <c r="I5" s="46">
        <f>SUM('Cenário 1'!I9)</f>
        <v>0</v>
      </c>
      <c r="J5" s="46">
        <f>SUM('Cenário 1'!J9)</f>
        <v>0</v>
      </c>
      <c r="K5" s="46">
        <f>SUM('Cenário 1'!K9)</f>
        <v>0</v>
      </c>
      <c r="L5" s="46">
        <f>SUM('Cenário 1'!L9)</f>
        <v>0</v>
      </c>
      <c r="M5" s="46">
        <f>SUM('Cenário 1'!M9)</f>
        <v>0</v>
      </c>
      <c r="O5" s="46">
        <f t="shared" si="0"/>
        <v>25</v>
      </c>
    </row>
    <row r="6" spans="2:15" ht="15.75" customHeight="1" x14ac:dyDescent="0.25">
      <c r="B6" s="10" t="s">
        <v>63</v>
      </c>
      <c r="D6" s="62">
        <f>'Cenário 1'!D$11</f>
        <v>0</v>
      </c>
      <c r="E6" s="62">
        <f>'Cenário 1'!E$11</f>
        <v>0</v>
      </c>
      <c r="F6" s="62">
        <f>'Cenário 1'!F$11</f>
        <v>0</v>
      </c>
      <c r="G6" s="62">
        <f>'Cenário 1'!G$11</f>
        <v>0</v>
      </c>
      <c r="H6" s="62">
        <f>'Cenário 1'!H$11</f>
        <v>0</v>
      </c>
      <c r="I6" s="62">
        <f>'Cenário 1'!I$11</f>
        <v>0</v>
      </c>
      <c r="J6" s="62">
        <f>'Cenário 1'!J$11</f>
        <v>0</v>
      </c>
      <c r="K6" s="62">
        <f>'Cenário 1'!K$11</f>
        <v>0</v>
      </c>
      <c r="L6" s="62">
        <f>'Cenário 1'!L$11</f>
        <v>0</v>
      </c>
      <c r="M6" s="62">
        <f>'Cenário 1'!M$11</f>
        <v>0</v>
      </c>
      <c r="O6" s="46">
        <f t="shared" ref="O6:O9" si="1">SUM(D6:M6)</f>
        <v>0</v>
      </c>
    </row>
    <row r="7" spans="2:15" ht="15.75" customHeight="1" x14ac:dyDescent="0.25">
      <c r="B7" s="10" t="s">
        <v>64</v>
      </c>
      <c r="D7" s="62">
        <f>'Cenário 1'!D$13</f>
        <v>0</v>
      </c>
      <c r="E7" s="62">
        <f>'Cenário 1'!E$13</f>
        <v>0</v>
      </c>
      <c r="F7" s="62">
        <f>'Cenário 1'!F$13</f>
        <v>0</v>
      </c>
      <c r="G7" s="62">
        <f>'Cenário 1'!G$13</f>
        <v>0</v>
      </c>
      <c r="H7" s="62">
        <f>'Cenário 1'!H$13</f>
        <v>0</v>
      </c>
      <c r="I7" s="62">
        <f>'Cenário 1'!I$13</f>
        <v>0</v>
      </c>
      <c r="J7" s="62">
        <f>'Cenário 1'!J$13</f>
        <v>0</v>
      </c>
      <c r="K7" s="62">
        <f>'Cenário 1'!K$13</f>
        <v>0</v>
      </c>
      <c r="L7" s="62">
        <f>'Cenário 1'!L$13</f>
        <v>0</v>
      </c>
      <c r="M7" s="62">
        <f>'Cenário 1'!M$13</f>
        <v>0</v>
      </c>
      <c r="O7" s="46">
        <f t="shared" si="1"/>
        <v>0</v>
      </c>
    </row>
    <row r="8" spans="2:15" ht="15.75" customHeight="1" x14ac:dyDescent="0.25">
      <c r="B8" s="10" t="s">
        <v>65</v>
      </c>
      <c r="D8" s="62">
        <f>'Cenário 1'!D$29</f>
        <v>194328.125</v>
      </c>
      <c r="E8" s="62">
        <f>'Cenário 1'!E$29</f>
        <v>169830</v>
      </c>
      <c r="F8" s="62">
        <f>'Cenário 1'!F$29</f>
        <v>169830</v>
      </c>
      <c r="G8" s="62">
        <f>'Cenário 1'!G$29</f>
        <v>169830</v>
      </c>
      <c r="H8" s="62">
        <f>'Cenário 1'!H$29</f>
        <v>169830</v>
      </c>
      <c r="I8" s="62">
        <f>'Cenário 1'!I$29</f>
        <v>0</v>
      </c>
      <c r="J8" s="62">
        <f>'Cenário 1'!J$29</f>
        <v>0</v>
      </c>
      <c r="K8" s="62">
        <f>'Cenário 1'!K$29</f>
        <v>0</v>
      </c>
      <c r="L8" s="62">
        <f>'Cenário 1'!L$29</f>
        <v>0</v>
      </c>
      <c r="M8" s="62">
        <f>'Cenário 1'!M$29</f>
        <v>0</v>
      </c>
      <c r="O8" s="46">
        <f t="shared" si="1"/>
        <v>873648.125</v>
      </c>
    </row>
    <row r="9" spans="2:15" ht="15.75" customHeight="1" x14ac:dyDescent="0.25">
      <c r="B9" s="10" t="s">
        <v>66</v>
      </c>
      <c r="D9" s="62">
        <f>'Cenário 1'!D$46</f>
        <v>93560.26861702124</v>
      </c>
      <c r="E9" s="62">
        <f>'Cenário 1'!E$46</f>
        <v>130179.99999999996</v>
      </c>
      <c r="F9" s="62">
        <f>'Cenário 1'!F$46</f>
        <v>130179.99999999996</v>
      </c>
      <c r="G9" s="62">
        <f>'Cenário 1'!G$46</f>
        <v>130179.99999999996</v>
      </c>
      <c r="H9" s="62">
        <f>'Cenário 1'!H$46</f>
        <v>130179.99999999996</v>
      </c>
      <c r="I9" s="62">
        <f>'Cenário 1'!I$46</f>
        <v>0</v>
      </c>
      <c r="J9" s="62">
        <f>'Cenário 1'!J$46</f>
        <v>0</v>
      </c>
      <c r="K9" s="62">
        <f>'Cenário 1'!K$46</f>
        <v>0</v>
      </c>
      <c r="L9" s="62">
        <f>'Cenário 1'!L$46</f>
        <v>0</v>
      </c>
      <c r="M9" s="62">
        <f>'Cenário 1'!M$46</f>
        <v>0</v>
      </c>
      <c r="O9" s="46">
        <f t="shared" si="1"/>
        <v>614280.26861702104</v>
      </c>
    </row>
    <row r="10" spans="2:15" x14ac:dyDescent="0.3">
      <c r="B10" s="36" t="s">
        <v>67</v>
      </c>
      <c r="C10" s="38"/>
      <c r="D10" s="63">
        <f t="shared" ref="D10:M10" si="2">IFERROR(D9/D8,0)</f>
        <v>0.4814551090688558</v>
      </c>
      <c r="E10" s="63">
        <f t="shared" si="2"/>
        <v>0.76653123711947213</v>
      </c>
      <c r="F10" s="63">
        <f t="shared" si="2"/>
        <v>0.76653123711947213</v>
      </c>
      <c r="G10" s="63">
        <f t="shared" si="2"/>
        <v>0.76653123711947213</v>
      </c>
      <c r="H10" s="63">
        <f t="shared" si="2"/>
        <v>0.76653123711947213</v>
      </c>
      <c r="I10" s="63">
        <f t="shared" si="2"/>
        <v>0</v>
      </c>
      <c r="J10" s="63">
        <f t="shared" si="2"/>
        <v>0</v>
      </c>
      <c r="K10" s="63">
        <f t="shared" si="2"/>
        <v>0</v>
      </c>
      <c r="L10" s="63">
        <f t="shared" si="2"/>
        <v>0</v>
      </c>
      <c r="M10" s="63">
        <f t="shared" si="2"/>
        <v>0</v>
      </c>
      <c r="N10" s="63"/>
      <c r="O10" s="63">
        <f>IFERROR(O9/O8,0)</f>
        <v>0.70312091451809733</v>
      </c>
    </row>
    <row r="11" spans="2:15" x14ac:dyDescent="0.3">
      <c r="B11" s="36" t="s">
        <v>68</v>
      </c>
      <c r="O11" s="46">
        <f>'Cenário 1'!$D$49</f>
        <v>2</v>
      </c>
    </row>
    <row r="14" spans="2:15" x14ac:dyDescent="0.3">
      <c r="B14" s="5" t="s">
        <v>2</v>
      </c>
      <c r="C14" s="5"/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I14" s="5" t="s">
        <v>9</v>
      </c>
      <c r="J14" s="5" t="s">
        <v>10</v>
      </c>
      <c r="K14" s="5" t="s">
        <v>11</v>
      </c>
      <c r="L14" s="5" t="s">
        <v>12</v>
      </c>
      <c r="M14" s="5" t="s">
        <v>13</v>
      </c>
      <c r="N14" s="7"/>
      <c r="O14" s="5" t="s">
        <v>14</v>
      </c>
    </row>
    <row r="15" spans="2:15" ht="15.75" customHeight="1" x14ac:dyDescent="0.25">
      <c r="B15" s="10" t="s">
        <v>61</v>
      </c>
      <c r="D15" s="46" t="e">
        <f>'Cenário 2'!D$7</f>
        <v>#DIV/0!</v>
      </c>
      <c r="E15" s="46" t="e">
        <f>'Cenário 2'!E$7</f>
        <v>#DIV/0!</v>
      </c>
      <c r="F15" s="46" t="e">
        <f>'Cenário 2'!F$7</f>
        <v>#DIV/0!</v>
      </c>
      <c r="G15" s="46" t="e">
        <f>'Cenário 2'!G$7</f>
        <v>#DIV/0!</v>
      </c>
      <c r="H15" s="46" t="e">
        <f>'Cenário 2'!H$7</f>
        <v>#DIV/0!</v>
      </c>
      <c r="I15" s="46" t="e">
        <f>'Cenário 2'!I$7</f>
        <v>#DIV/0!</v>
      </c>
      <c r="J15" s="46" t="e">
        <f>'Cenário 2'!J$7</f>
        <v>#DIV/0!</v>
      </c>
      <c r="K15" s="46" t="e">
        <f>'Cenário 2'!K$7</f>
        <v>#DIV/0!</v>
      </c>
      <c r="L15" s="46" t="e">
        <f>'Cenário 2'!L$7</f>
        <v>#DIV/0!</v>
      </c>
      <c r="M15" s="46" t="e">
        <f>'Cenário 2'!M$7</f>
        <v>#DIV/0!</v>
      </c>
      <c r="O15" s="46" t="e">
        <f t="shared" ref="O15:O16" si="3">MAX(D15:M15)</f>
        <v>#DIV/0!</v>
      </c>
    </row>
    <row r="16" spans="2:15" ht="15.75" customHeight="1" x14ac:dyDescent="0.25">
      <c r="B16" s="10" t="s">
        <v>62</v>
      </c>
      <c r="D16" s="46" t="e">
        <f>SUM('Cenário 2'!D9)</f>
        <v>#DIV/0!</v>
      </c>
      <c r="E16" s="46" t="e">
        <f>SUM('Cenário 2'!E9)</f>
        <v>#DIV/0!</v>
      </c>
      <c r="F16" s="46" t="e">
        <f>SUM('Cenário 2'!F9)</f>
        <v>#DIV/0!</v>
      </c>
      <c r="G16" s="46" t="e">
        <f>SUM('Cenário 2'!G9)</f>
        <v>#DIV/0!</v>
      </c>
      <c r="H16" s="46" t="e">
        <f>SUM('Cenário 2'!H9)</f>
        <v>#DIV/0!</v>
      </c>
      <c r="I16" s="46" t="e">
        <f>SUM('Cenário 2'!I9)</f>
        <v>#DIV/0!</v>
      </c>
      <c r="J16" s="46" t="e">
        <f>SUM('Cenário 2'!J9)</f>
        <v>#DIV/0!</v>
      </c>
      <c r="K16" s="46" t="e">
        <f>SUM('Cenário 2'!K9)</f>
        <v>#DIV/0!</v>
      </c>
      <c r="L16" s="46" t="e">
        <f>SUM('Cenário 2'!L9)</f>
        <v>#DIV/0!</v>
      </c>
      <c r="M16" s="46" t="e">
        <f>SUM('Cenário 2'!M9)</f>
        <v>#DIV/0!</v>
      </c>
      <c r="O16" s="46" t="e">
        <f t="shared" si="3"/>
        <v>#DIV/0!</v>
      </c>
    </row>
    <row r="17" spans="2:15" ht="15.75" customHeight="1" x14ac:dyDescent="0.25">
      <c r="B17" s="10" t="s">
        <v>63</v>
      </c>
      <c r="D17" s="62" t="e">
        <f>'Cenário 2'!D$11</f>
        <v>#DIV/0!</v>
      </c>
      <c r="E17" s="62" t="e">
        <f>'Cenário 2'!E$11</f>
        <v>#DIV/0!</v>
      </c>
      <c r="F17" s="62" t="e">
        <f>'Cenário 2'!F$11</f>
        <v>#DIV/0!</v>
      </c>
      <c r="G17" s="62" t="e">
        <f>'Cenário 2'!G$11</f>
        <v>#DIV/0!</v>
      </c>
      <c r="H17" s="62" t="e">
        <f>'Cenário 2'!H$11</f>
        <v>#DIV/0!</v>
      </c>
      <c r="I17" s="62" t="e">
        <f>'Cenário 2'!I$11</f>
        <v>#DIV/0!</v>
      </c>
      <c r="J17" s="62" t="e">
        <f>'Cenário 2'!J$11</f>
        <v>#DIV/0!</v>
      </c>
      <c r="K17" s="62" t="e">
        <f>'Cenário 2'!K$11</f>
        <v>#DIV/0!</v>
      </c>
      <c r="L17" s="62" t="e">
        <f>'Cenário 2'!L$11</f>
        <v>#DIV/0!</v>
      </c>
      <c r="M17" s="62" t="e">
        <f>'Cenário 2'!M$11</f>
        <v>#DIV/0!</v>
      </c>
      <c r="O17" s="46" t="e">
        <f t="shared" ref="O17:O20" si="4">SUM(D17:M17)</f>
        <v>#DIV/0!</v>
      </c>
    </row>
    <row r="18" spans="2:15" ht="15.75" customHeight="1" x14ac:dyDescent="0.25">
      <c r="B18" s="10" t="s">
        <v>64</v>
      </c>
      <c r="D18" s="62" t="e">
        <f>'Cenário 2'!D$13</f>
        <v>#DIV/0!</v>
      </c>
      <c r="E18" s="62" t="e">
        <f>'Cenário 2'!E$13</f>
        <v>#DIV/0!</v>
      </c>
      <c r="F18" s="62" t="e">
        <f>'Cenário 2'!F$13</f>
        <v>#DIV/0!</v>
      </c>
      <c r="G18" s="62" t="e">
        <f>'Cenário 2'!G$13</f>
        <v>#DIV/0!</v>
      </c>
      <c r="H18" s="62" t="e">
        <f>'Cenário 2'!H$13</f>
        <v>#DIV/0!</v>
      </c>
      <c r="I18" s="62" t="e">
        <f>'Cenário 2'!I$13</f>
        <v>#DIV/0!</v>
      </c>
      <c r="J18" s="62" t="e">
        <f>'Cenário 2'!J$13</f>
        <v>#DIV/0!</v>
      </c>
      <c r="K18" s="62" t="e">
        <f>'Cenário 2'!K$13</f>
        <v>#DIV/0!</v>
      </c>
      <c r="L18" s="62" t="e">
        <f>'Cenário 2'!L$13</f>
        <v>#DIV/0!</v>
      </c>
      <c r="M18" s="62" t="e">
        <f>'Cenário 2'!M$13</f>
        <v>#DIV/0!</v>
      </c>
      <c r="O18" s="46" t="e">
        <f t="shared" si="4"/>
        <v>#DIV/0!</v>
      </c>
    </row>
    <row r="19" spans="2:15" ht="15.75" customHeight="1" x14ac:dyDescent="0.25">
      <c r="B19" s="10" t="s">
        <v>65</v>
      </c>
      <c r="D19" s="62" t="e">
        <f>'Cenário 2'!D$29</f>
        <v>#DIV/0!</v>
      </c>
      <c r="E19" s="62" t="e">
        <f>'Cenário 2'!E$29</f>
        <v>#DIV/0!</v>
      </c>
      <c r="F19" s="62" t="e">
        <f>'Cenário 2'!F$29</f>
        <v>#DIV/0!</v>
      </c>
      <c r="G19" s="62" t="e">
        <f>'Cenário 2'!G$29</f>
        <v>#DIV/0!</v>
      </c>
      <c r="H19" s="62" t="e">
        <f>'Cenário 2'!H$29</f>
        <v>#DIV/0!</v>
      </c>
      <c r="I19" s="62" t="e">
        <f>'Cenário 2'!I$29</f>
        <v>#DIV/0!</v>
      </c>
      <c r="J19" s="62" t="e">
        <f>'Cenário 2'!J$29</f>
        <v>#DIV/0!</v>
      </c>
      <c r="K19" s="62" t="e">
        <f>'Cenário 2'!K$29</f>
        <v>#DIV/0!</v>
      </c>
      <c r="L19" s="62" t="e">
        <f>'Cenário 2'!L$29</f>
        <v>#DIV/0!</v>
      </c>
      <c r="M19" s="62" t="e">
        <f>'Cenário 2'!M$29</f>
        <v>#DIV/0!</v>
      </c>
      <c r="O19" s="46" t="e">
        <f t="shared" si="4"/>
        <v>#DIV/0!</v>
      </c>
    </row>
    <row r="20" spans="2:15" ht="12.5" x14ac:dyDescent="0.25">
      <c r="B20" s="10" t="s">
        <v>66</v>
      </c>
      <c r="D20" s="62" t="e">
        <f>'Cenário 2'!D$46</f>
        <v>#DIV/0!</v>
      </c>
      <c r="E20" s="62" t="e">
        <f>'Cenário 2'!E$46</f>
        <v>#DIV/0!</v>
      </c>
      <c r="F20" s="62" t="e">
        <f>'Cenário 2'!F$46</f>
        <v>#DIV/0!</v>
      </c>
      <c r="G20" s="62" t="e">
        <f>'Cenário 2'!G$46</f>
        <v>#DIV/0!</v>
      </c>
      <c r="H20" s="62" t="e">
        <f>'Cenário 2'!H$46</f>
        <v>#DIV/0!</v>
      </c>
      <c r="I20" s="62" t="e">
        <f>'Cenário 2'!I$46</f>
        <v>#DIV/0!</v>
      </c>
      <c r="J20" s="62" t="e">
        <f>'Cenário 2'!J$46</f>
        <v>#DIV/0!</v>
      </c>
      <c r="K20" s="62" t="e">
        <f>'Cenário 2'!K$46</f>
        <v>#DIV/0!</v>
      </c>
      <c r="L20" s="62" t="e">
        <f>'Cenário 2'!L$46</f>
        <v>#DIV/0!</v>
      </c>
      <c r="M20" s="62" t="e">
        <f>'Cenário 2'!M$46</f>
        <v>#DIV/0!</v>
      </c>
      <c r="O20" s="46" t="e">
        <f t="shared" si="4"/>
        <v>#DIV/0!</v>
      </c>
    </row>
    <row r="21" spans="2:15" ht="13" x14ac:dyDescent="0.3">
      <c r="B21" s="36" t="s">
        <v>67</v>
      </c>
      <c r="C21" s="38"/>
      <c r="D21" s="63">
        <f t="shared" ref="D21:M21" si="5">IFERROR(D20/D19,0)</f>
        <v>0</v>
      </c>
      <c r="E21" s="63">
        <f t="shared" si="5"/>
        <v>0</v>
      </c>
      <c r="F21" s="63">
        <f t="shared" si="5"/>
        <v>0</v>
      </c>
      <c r="G21" s="63">
        <f t="shared" si="5"/>
        <v>0</v>
      </c>
      <c r="H21" s="63">
        <f t="shared" si="5"/>
        <v>0</v>
      </c>
      <c r="I21" s="63">
        <f t="shared" si="5"/>
        <v>0</v>
      </c>
      <c r="J21" s="63">
        <f t="shared" si="5"/>
        <v>0</v>
      </c>
      <c r="K21" s="63">
        <f t="shared" si="5"/>
        <v>0</v>
      </c>
      <c r="L21" s="63">
        <f t="shared" si="5"/>
        <v>0</v>
      </c>
      <c r="M21" s="63">
        <f t="shared" si="5"/>
        <v>0</v>
      </c>
      <c r="N21" s="63"/>
      <c r="O21" s="63">
        <f>IFERROR(O20/O19,0)</f>
        <v>0</v>
      </c>
    </row>
    <row r="22" spans="2:15" ht="13" x14ac:dyDescent="0.3">
      <c r="B22" s="36" t="s">
        <v>68</v>
      </c>
      <c r="O22" s="46" t="e">
        <f>'Cenário 2'!$D$49</f>
        <v>#DIV/0!</v>
      </c>
    </row>
    <row r="25" spans="2:15" ht="13" x14ac:dyDescent="0.3">
      <c r="B25" s="6" t="s">
        <v>3</v>
      </c>
      <c r="C25" s="6"/>
      <c r="D25" s="6" t="s">
        <v>4</v>
      </c>
      <c r="E25" s="6" t="s">
        <v>5</v>
      </c>
      <c r="F25" s="6" t="s">
        <v>6</v>
      </c>
      <c r="G25" s="6" t="s">
        <v>7</v>
      </c>
      <c r="H25" s="6" t="s">
        <v>8</v>
      </c>
      <c r="I25" s="6" t="s">
        <v>9</v>
      </c>
      <c r="J25" s="6" t="s">
        <v>10</v>
      </c>
      <c r="K25" s="6" t="s">
        <v>11</v>
      </c>
      <c r="L25" s="6" t="s">
        <v>12</v>
      </c>
      <c r="M25" s="6" t="s">
        <v>13</v>
      </c>
      <c r="N25" s="24"/>
      <c r="O25" s="6" t="s">
        <v>14</v>
      </c>
    </row>
    <row r="26" spans="2:15" ht="12.5" x14ac:dyDescent="0.25">
      <c r="B26" s="10" t="s">
        <v>61</v>
      </c>
      <c r="D26" s="46" t="e">
        <f>'Cenário 3'!D$7</f>
        <v>#DIV/0!</v>
      </c>
      <c r="E26" s="46" t="e">
        <f>'Cenário 3'!E$7</f>
        <v>#DIV/0!</v>
      </c>
      <c r="F26" s="46" t="e">
        <f>'Cenário 3'!F$7</f>
        <v>#DIV/0!</v>
      </c>
      <c r="G26" s="46" t="e">
        <f>'Cenário 3'!G$7</f>
        <v>#DIV/0!</v>
      </c>
      <c r="H26" s="46" t="e">
        <f>'Cenário 3'!H$7</f>
        <v>#DIV/0!</v>
      </c>
      <c r="I26" s="46" t="e">
        <f>'Cenário 3'!I$7</f>
        <v>#DIV/0!</v>
      </c>
      <c r="J26" s="46" t="e">
        <f>'Cenário 3'!J$7</f>
        <v>#DIV/0!</v>
      </c>
      <c r="K26" s="46" t="e">
        <f>'Cenário 3'!K$7</f>
        <v>#DIV/0!</v>
      </c>
      <c r="L26" s="46" t="e">
        <f>'Cenário 3'!L$7</f>
        <v>#DIV/0!</v>
      </c>
      <c r="M26" s="46" t="e">
        <f>'Cenário 3'!M$7</f>
        <v>#DIV/0!</v>
      </c>
      <c r="O26" s="46" t="e">
        <f t="shared" ref="O26:O27" si="6">MAX(D26:M26)</f>
        <v>#DIV/0!</v>
      </c>
    </row>
    <row r="27" spans="2:15" ht="12.5" x14ac:dyDescent="0.25">
      <c r="B27" s="10" t="s">
        <v>62</v>
      </c>
      <c r="D27" s="46" t="e">
        <f>SUM('Cenário 3'!D9)</f>
        <v>#DIV/0!</v>
      </c>
      <c r="E27" s="46" t="e">
        <f>SUM('Cenário 3'!E9)</f>
        <v>#DIV/0!</v>
      </c>
      <c r="F27" s="46" t="e">
        <f>SUM('Cenário 3'!F9)</f>
        <v>#DIV/0!</v>
      </c>
      <c r="G27" s="46" t="e">
        <f>SUM('Cenário 3'!G9)</f>
        <v>#DIV/0!</v>
      </c>
      <c r="H27" s="46" t="e">
        <f>SUM('Cenário 3'!H9)</f>
        <v>#DIV/0!</v>
      </c>
      <c r="I27" s="46" t="e">
        <f>SUM('Cenário 3'!I9)</f>
        <v>#DIV/0!</v>
      </c>
      <c r="J27" s="46" t="e">
        <f>SUM('Cenário 3'!J9)</f>
        <v>#DIV/0!</v>
      </c>
      <c r="K27" s="46" t="e">
        <f>SUM('Cenário 3'!K9)</f>
        <v>#DIV/0!</v>
      </c>
      <c r="L27" s="46" t="e">
        <f>SUM('Cenário 3'!L9)</f>
        <v>#DIV/0!</v>
      </c>
      <c r="M27" s="46" t="e">
        <f>SUM('Cenário 3'!M9)</f>
        <v>#DIV/0!</v>
      </c>
      <c r="O27" s="46" t="e">
        <f t="shared" si="6"/>
        <v>#DIV/0!</v>
      </c>
    </row>
    <row r="28" spans="2:15" ht="12.5" x14ac:dyDescent="0.25">
      <c r="B28" s="10" t="s">
        <v>63</v>
      </c>
      <c r="D28" s="62" t="e">
        <f>'Cenário 3'!D$11</f>
        <v>#DIV/0!</v>
      </c>
      <c r="E28" s="62" t="e">
        <f>'Cenário 3'!E$11</f>
        <v>#DIV/0!</v>
      </c>
      <c r="F28" s="62" t="e">
        <f>'Cenário 3'!F$11</f>
        <v>#DIV/0!</v>
      </c>
      <c r="G28" s="62" t="e">
        <f>'Cenário 3'!G$11</f>
        <v>#DIV/0!</v>
      </c>
      <c r="H28" s="62" t="e">
        <f>'Cenário 3'!H$11</f>
        <v>#DIV/0!</v>
      </c>
      <c r="I28" s="62" t="e">
        <f>'Cenário 3'!I$11</f>
        <v>#DIV/0!</v>
      </c>
      <c r="J28" s="62" t="e">
        <f>'Cenário 3'!J$11</f>
        <v>#DIV/0!</v>
      </c>
      <c r="K28" s="62" t="e">
        <f>'Cenário 3'!K$11</f>
        <v>#DIV/0!</v>
      </c>
      <c r="L28" s="62" t="e">
        <f>'Cenário 3'!L$11</f>
        <v>#DIV/0!</v>
      </c>
      <c r="M28" s="62" t="e">
        <f>'Cenário 3'!M$11</f>
        <v>#DIV/0!</v>
      </c>
      <c r="O28" s="46" t="e">
        <f t="shared" ref="O28:O31" si="7">SUM(D28:M28)</f>
        <v>#DIV/0!</v>
      </c>
    </row>
    <row r="29" spans="2:15" ht="12.5" x14ac:dyDescent="0.25">
      <c r="B29" s="10" t="s">
        <v>64</v>
      </c>
      <c r="D29" s="62" t="e">
        <f>'Cenário 3'!D$13</f>
        <v>#DIV/0!</v>
      </c>
      <c r="E29" s="62" t="e">
        <f>'Cenário 3'!E$13</f>
        <v>#DIV/0!</v>
      </c>
      <c r="F29" s="62" t="e">
        <f>'Cenário 3'!F$13</f>
        <v>#DIV/0!</v>
      </c>
      <c r="G29" s="62" t="e">
        <f>'Cenário 3'!G$13</f>
        <v>#DIV/0!</v>
      </c>
      <c r="H29" s="62" t="e">
        <f>'Cenário 3'!H$13</f>
        <v>#DIV/0!</v>
      </c>
      <c r="I29" s="62" t="e">
        <f>'Cenário 3'!I$13</f>
        <v>#DIV/0!</v>
      </c>
      <c r="J29" s="62" t="e">
        <f>'Cenário 3'!J$13</f>
        <v>#DIV/0!</v>
      </c>
      <c r="K29" s="62" t="e">
        <f>'Cenário 3'!K$13</f>
        <v>#DIV/0!</v>
      </c>
      <c r="L29" s="62" t="e">
        <f>'Cenário 3'!L$13</f>
        <v>#DIV/0!</v>
      </c>
      <c r="M29" s="62" t="e">
        <f>'Cenário 3'!M$13</f>
        <v>#DIV/0!</v>
      </c>
      <c r="O29" s="46" t="e">
        <f t="shared" si="7"/>
        <v>#DIV/0!</v>
      </c>
    </row>
    <row r="30" spans="2:15" ht="12.5" x14ac:dyDescent="0.25">
      <c r="B30" s="10" t="s">
        <v>65</v>
      </c>
      <c r="D30" s="62" t="e">
        <f>'Cenário 3'!D$29</f>
        <v>#DIV/0!</v>
      </c>
      <c r="E30" s="62" t="e">
        <f>'Cenário 3'!E$29</f>
        <v>#DIV/0!</v>
      </c>
      <c r="F30" s="62" t="e">
        <f>'Cenário 3'!F$29</f>
        <v>#DIV/0!</v>
      </c>
      <c r="G30" s="62" t="e">
        <f>'Cenário 3'!G$29</f>
        <v>#DIV/0!</v>
      </c>
      <c r="H30" s="62" t="e">
        <f>'Cenário 3'!H$29</f>
        <v>#DIV/0!</v>
      </c>
      <c r="I30" s="62" t="e">
        <f>'Cenário 3'!I$29</f>
        <v>#DIV/0!</v>
      </c>
      <c r="J30" s="62" t="e">
        <f>'Cenário 3'!J$29</f>
        <v>#DIV/0!</v>
      </c>
      <c r="K30" s="62" t="e">
        <f>'Cenário 3'!K$29</f>
        <v>#DIV/0!</v>
      </c>
      <c r="L30" s="62" t="e">
        <f>'Cenário 3'!L$29</f>
        <v>#DIV/0!</v>
      </c>
      <c r="M30" s="62" t="e">
        <f>'Cenário 3'!M$29</f>
        <v>#DIV/0!</v>
      </c>
      <c r="O30" s="46" t="e">
        <f t="shared" si="7"/>
        <v>#DIV/0!</v>
      </c>
    </row>
    <row r="31" spans="2:15" ht="12.5" x14ac:dyDescent="0.25">
      <c r="B31" s="10" t="s">
        <v>66</v>
      </c>
      <c r="D31" s="62" t="e">
        <f>'Cenário 3'!D$46</f>
        <v>#DIV/0!</v>
      </c>
      <c r="E31" s="62" t="e">
        <f>'Cenário 3'!E$46</f>
        <v>#DIV/0!</v>
      </c>
      <c r="F31" s="62" t="e">
        <f>'Cenário 3'!F$46</f>
        <v>#DIV/0!</v>
      </c>
      <c r="G31" s="62" t="e">
        <f>'Cenário 3'!G$46</f>
        <v>#DIV/0!</v>
      </c>
      <c r="H31" s="62" t="e">
        <f>'Cenário 3'!H$46</f>
        <v>#DIV/0!</v>
      </c>
      <c r="I31" s="62" t="e">
        <f>'Cenário 3'!I$46</f>
        <v>#DIV/0!</v>
      </c>
      <c r="J31" s="62" t="e">
        <f>'Cenário 3'!J$46</f>
        <v>#DIV/0!</v>
      </c>
      <c r="K31" s="62" t="e">
        <f>'Cenário 3'!K$46</f>
        <v>#DIV/0!</v>
      </c>
      <c r="L31" s="62" t="e">
        <f>'Cenário 3'!L$46</f>
        <v>#DIV/0!</v>
      </c>
      <c r="M31" s="62" t="e">
        <f>'Cenário 3'!M$46</f>
        <v>#DIV/0!</v>
      </c>
      <c r="O31" s="46" t="e">
        <f t="shared" si="7"/>
        <v>#DIV/0!</v>
      </c>
    </row>
    <row r="32" spans="2:15" ht="13" x14ac:dyDescent="0.3">
      <c r="B32" s="36" t="s">
        <v>67</v>
      </c>
      <c r="C32" s="38"/>
      <c r="D32" s="63">
        <f t="shared" ref="D32:M32" si="8">IFERROR(D31/D30,0)</f>
        <v>0</v>
      </c>
      <c r="E32" s="63">
        <f t="shared" si="8"/>
        <v>0</v>
      </c>
      <c r="F32" s="63">
        <f t="shared" si="8"/>
        <v>0</v>
      </c>
      <c r="G32" s="63">
        <f t="shared" si="8"/>
        <v>0</v>
      </c>
      <c r="H32" s="63">
        <f t="shared" si="8"/>
        <v>0</v>
      </c>
      <c r="I32" s="63">
        <f t="shared" si="8"/>
        <v>0</v>
      </c>
      <c r="J32" s="63">
        <f t="shared" si="8"/>
        <v>0</v>
      </c>
      <c r="K32" s="63">
        <f t="shared" si="8"/>
        <v>0</v>
      </c>
      <c r="L32" s="63">
        <f t="shared" si="8"/>
        <v>0</v>
      </c>
      <c r="M32" s="63">
        <f t="shared" si="8"/>
        <v>0</v>
      </c>
      <c r="N32" s="63"/>
      <c r="O32" s="63">
        <f>IFERROR(O31/O30,0)</f>
        <v>0</v>
      </c>
    </row>
    <row r="33" spans="2:15" ht="13" x14ac:dyDescent="0.3">
      <c r="B33" s="36" t="s">
        <v>68</v>
      </c>
      <c r="O33" s="46" t="e">
        <f>'Cenário 3'!$D$49</f>
        <v>#DIV/0!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E1017"/>
  <sheetViews>
    <sheetView showGridLines="0" workbookViewId="0">
      <pane xSplit="14" ySplit="5" topLeftCell="O6" activePane="bottomRight" state="frozen"/>
      <selection pane="topRight" activeCell="O1" sqref="O1"/>
      <selection pane="bottomLeft" activeCell="A6" sqref="A6"/>
      <selection pane="bottomRight" activeCell="O6" sqref="O6"/>
    </sheetView>
  </sheetViews>
  <sheetFormatPr defaultColWidth="12.6328125" defaultRowHeight="15.75" customHeight="1" x14ac:dyDescent="0.25"/>
  <cols>
    <col min="1" max="1" width="3.7265625" customWidth="1"/>
    <col min="2" max="2" width="38.36328125" customWidth="1"/>
    <col min="3" max="3" width="1.453125" customWidth="1"/>
    <col min="4" max="11" width="7" customWidth="1"/>
    <col min="12" max="13" width="7.36328125" customWidth="1"/>
    <col min="14" max="14" width="1.7265625" customWidth="1"/>
  </cols>
  <sheetData>
    <row r="1" spans="1:135" ht="12.5" x14ac:dyDescent="0.25">
      <c r="P1" s="53">
        <v>1</v>
      </c>
      <c r="Q1" s="53">
        <f t="shared" ref="Q1:ED1" si="0">P1+1</f>
        <v>2</v>
      </c>
      <c r="R1" s="53">
        <f t="shared" si="0"/>
        <v>3</v>
      </c>
      <c r="S1" s="53">
        <f t="shared" si="0"/>
        <v>4</v>
      </c>
      <c r="T1" s="53">
        <f t="shared" si="0"/>
        <v>5</v>
      </c>
      <c r="U1" s="53">
        <f t="shared" si="0"/>
        <v>6</v>
      </c>
      <c r="V1" s="53">
        <f t="shared" si="0"/>
        <v>7</v>
      </c>
      <c r="W1" s="53">
        <f t="shared" si="0"/>
        <v>8</v>
      </c>
      <c r="X1" s="53">
        <f t="shared" si="0"/>
        <v>9</v>
      </c>
      <c r="Y1" s="53">
        <f t="shared" si="0"/>
        <v>10</v>
      </c>
      <c r="Z1" s="53">
        <f t="shared" si="0"/>
        <v>11</v>
      </c>
      <c r="AA1" s="53">
        <f t="shared" si="0"/>
        <v>12</v>
      </c>
      <c r="AB1" s="53">
        <f t="shared" si="0"/>
        <v>13</v>
      </c>
      <c r="AC1" s="53">
        <f t="shared" si="0"/>
        <v>14</v>
      </c>
      <c r="AD1" s="53">
        <f t="shared" si="0"/>
        <v>15</v>
      </c>
      <c r="AE1" s="53">
        <f t="shared" si="0"/>
        <v>16</v>
      </c>
      <c r="AF1" s="53">
        <f t="shared" si="0"/>
        <v>17</v>
      </c>
      <c r="AG1" s="53">
        <f t="shared" si="0"/>
        <v>18</v>
      </c>
      <c r="AH1" s="53">
        <f t="shared" si="0"/>
        <v>19</v>
      </c>
      <c r="AI1" s="53">
        <f t="shared" si="0"/>
        <v>20</v>
      </c>
      <c r="AJ1" s="53">
        <f t="shared" si="0"/>
        <v>21</v>
      </c>
      <c r="AK1" s="53">
        <f t="shared" si="0"/>
        <v>22</v>
      </c>
      <c r="AL1" s="53">
        <f t="shared" si="0"/>
        <v>23</v>
      </c>
      <c r="AM1" s="53">
        <f t="shared" si="0"/>
        <v>24</v>
      </c>
      <c r="AN1" s="53">
        <f t="shared" si="0"/>
        <v>25</v>
      </c>
      <c r="AO1" s="53">
        <f t="shared" si="0"/>
        <v>26</v>
      </c>
      <c r="AP1" s="53">
        <f t="shared" si="0"/>
        <v>27</v>
      </c>
      <c r="AQ1" s="53">
        <f t="shared" si="0"/>
        <v>28</v>
      </c>
      <c r="AR1" s="53">
        <f t="shared" si="0"/>
        <v>29</v>
      </c>
      <c r="AS1" s="53">
        <f t="shared" si="0"/>
        <v>30</v>
      </c>
      <c r="AT1" s="53">
        <f t="shared" si="0"/>
        <v>31</v>
      </c>
      <c r="AU1" s="53">
        <f t="shared" si="0"/>
        <v>32</v>
      </c>
      <c r="AV1" s="53">
        <f t="shared" si="0"/>
        <v>33</v>
      </c>
      <c r="AW1" s="53">
        <f t="shared" si="0"/>
        <v>34</v>
      </c>
      <c r="AX1" s="53">
        <f t="shared" si="0"/>
        <v>35</v>
      </c>
      <c r="AY1" s="53">
        <f t="shared" si="0"/>
        <v>36</v>
      </c>
      <c r="AZ1" s="53">
        <f t="shared" si="0"/>
        <v>37</v>
      </c>
      <c r="BA1" s="53">
        <f t="shared" si="0"/>
        <v>38</v>
      </c>
      <c r="BB1" s="53">
        <f t="shared" si="0"/>
        <v>39</v>
      </c>
      <c r="BC1" s="53">
        <f t="shared" si="0"/>
        <v>40</v>
      </c>
      <c r="BD1" s="53">
        <f t="shared" si="0"/>
        <v>41</v>
      </c>
      <c r="BE1" s="53">
        <f t="shared" si="0"/>
        <v>42</v>
      </c>
      <c r="BF1" s="53">
        <f t="shared" si="0"/>
        <v>43</v>
      </c>
      <c r="BG1" s="53">
        <f t="shared" si="0"/>
        <v>44</v>
      </c>
      <c r="BH1" s="53">
        <f t="shared" si="0"/>
        <v>45</v>
      </c>
      <c r="BI1" s="53">
        <f t="shared" si="0"/>
        <v>46</v>
      </c>
      <c r="BJ1" s="53">
        <f t="shared" si="0"/>
        <v>47</v>
      </c>
      <c r="BK1" s="53">
        <f t="shared" si="0"/>
        <v>48</v>
      </c>
      <c r="BL1" s="53">
        <f t="shared" si="0"/>
        <v>49</v>
      </c>
      <c r="BM1" s="53">
        <f t="shared" si="0"/>
        <v>50</v>
      </c>
      <c r="BN1" s="53">
        <f t="shared" si="0"/>
        <v>51</v>
      </c>
      <c r="BO1" s="53">
        <f t="shared" si="0"/>
        <v>52</v>
      </c>
      <c r="BP1" s="53">
        <f t="shared" si="0"/>
        <v>53</v>
      </c>
      <c r="BQ1" s="53">
        <f t="shared" si="0"/>
        <v>54</v>
      </c>
      <c r="BR1" s="53">
        <f t="shared" si="0"/>
        <v>55</v>
      </c>
      <c r="BS1" s="53">
        <f t="shared" si="0"/>
        <v>56</v>
      </c>
      <c r="BT1" s="53">
        <f t="shared" si="0"/>
        <v>57</v>
      </c>
      <c r="BU1" s="53">
        <f t="shared" si="0"/>
        <v>58</v>
      </c>
      <c r="BV1" s="53">
        <f t="shared" si="0"/>
        <v>59</v>
      </c>
      <c r="BW1" s="53">
        <f t="shared" si="0"/>
        <v>60</v>
      </c>
      <c r="BX1" s="53">
        <f t="shared" si="0"/>
        <v>61</v>
      </c>
      <c r="BY1" s="53">
        <f t="shared" si="0"/>
        <v>62</v>
      </c>
      <c r="BZ1" s="53">
        <f t="shared" si="0"/>
        <v>63</v>
      </c>
      <c r="CA1" s="53">
        <f t="shared" si="0"/>
        <v>64</v>
      </c>
      <c r="CB1" s="53">
        <f t="shared" si="0"/>
        <v>65</v>
      </c>
      <c r="CC1" s="53">
        <f t="shared" si="0"/>
        <v>66</v>
      </c>
      <c r="CD1" s="53">
        <f t="shared" si="0"/>
        <v>67</v>
      </c>
      <c r="CE1" s="53">
        <f t="shared" si="0"/>
        <v>68</v>
      </c>
      <c r="CF1" s="53">
        <f t="shared" si="0"/>
        <v>69</v>
      </c>
      <c r="CG1" s="53">
        <f t="shared" si="0"/>
        <v>70</v>
      </c>
      <c r="CH1" s="53">
        <f t="shared" si="0"/>
        <v>71</v>
      </c>
      <c r="CI1" s="53">
        <f t="shared" si="0"/>
        <v>72</v>
      </c>
      <c r="CJ1" s="53">
        <f t="shared" si="0"/>
        <v>73</v>
      </c>
      <c r="CK1" s="53">
        <f t="shared" si="0"/>
        <v>74</v>
      </c>
      <c r="CL1" s="53">
        <f t="shared" si="0"/>
        <v>75</v>
      </c>
      <c r="CM1" s="53">
        <f t="shared" si="0"/>
        <v>76</v>
      </c>
      <c r="CN1" s="53">
        <f t="shared" si="0"/>
        <v>77</v>
      </c>
      <c r="CO1" s="53">
        <f t="shared" si="0"/>
        <v>78</v>
      </c>
      <c r="CP1" s="53">
        <f t="shared" si="0"/>
        <v>79</v>
      </c>
      <c r="CQ1" s="53">
        <f t="shared" si="0"/>
        <v>80</v>
      </c>
      <c r="CR1" s="53">
        <f t="shared" si="0"/>
        <v>81</v>
      </c>
      <c r="CS1" s="53">
        <f t="shared" si="0"/>
        <v>82</v>
      </c>
      <c r="CT1" s="53">
        <f t="shared" si="0"/>
        <v>83</v>
      </c>
      <c r="CU1" s="53">
        <f t="shared" si="0"/>
        <v>84</v>
      </c>
      <c r="CV1" s="53">
        <f t="shared" si="0"/>
        <v>85</v>
      </c>
      <c r="CW1" s="53">
        <f t="shared" si="0"/>
        <v>86</v>
      </c>
      <c r="CX1" s="53">
        <f t="shared" si="0"/>
        <v>87</v>
      </c>
      <c r="CY1" s="53">
        <f t="shared" si="0"/>
        <v>88</v>
      </c>
      <c r="CZ1" s="53">
        <f t="shared" si="0"/>
        <v>89</v>
      </c>
      <c r="DA1" s="53">
        <f t="shared" si="0"/>
        <v>90</v>
      </c>
      <c r="DB1" s="53">
        <f t="shared" si="0"/>
        <v>91</v>
      </c>
      <c r="DC1" s="53">
        <f t="shared" si="0"/>
        <v>92</v>
      </c>
      <c r="DD1" s="53">
        <f t="shared" si="0"/>
        <v>93</v>
      </c>
      <c r="DE1" s="53">
        <f t="shared" si="0"/>
        <v>94</v>
      </c>
      <c r="DF1" s="53">
        <f t="shared" si="0"/>
        <v>95</v>
      </c>
      <c r="DG1" s="53">
        <f t="shared" si="0"/>
        <v>96</v>
      </c>
      <c r="DH1" s="53">
        <f t="shared" si="0"/>
        <v>97</v>
      </c>
      <c r="DI1" s="53">
        <f t="shared" si="0"/>
        <v>98</v>
      </c>
      <c r="DJ1" s="53">
        <f t="shared" si="0"/>
        <v>99</v>
      </c>
      <c r="DK1" s="53">
        <f t="shared" si="0"/>
        <v>100</v>
      </c>
      <c r="DL1" s="53">
        <f t="shared" si="0"/>
        <v>101</v>
      </c>
      <c r="DM1" s="53">
        <f t="shared" si="0"/>
        <v>102</v>
      </c>
      <c r="DN1" s="53">
        <f t="shared" si="0"/>
        <v>103</v>
      </c>
      <c r="DO1" s="53">
        <f t="shared" si="0"/>
        <v>104</v>
      </c>
      <c r="DP1" s="53">
        <f t="shared" si="0"/>
        <v>105</v>
      </c>
      <c r="DQ1" s="53">
        <f t="shared" si="0"/>
        <v>106</v>
      </c>
      <c r="DR1" s="53">
        <f t="shared" si="0"/>
        <v>107</v>
      </c>
      <c r="DS1" s="53">
        <f t="shared" si="0"/>
        <v>108</v>
      </c>
      <c r="DT1" s="53">
        <f t="shared" si="0"/>
        <v>109</v>
      </c>
      <c r="DU1" s="53">
        <f t="shared" si="0"/>
        <v>110</v>
      </c>
      <c r="DV1" s="53">
        <f t="shared" si="0"/>
        <v>111</v>
      </c>
      <c r="DW1" s="53">
        <f t="shared" si="0"/>
        <v>112</v>
      </c>
      <c r="DX1" s="53">
        <f t="shared" si="0"/>
        <v>113</v>
      </c>
      <c r="DY1" s="53">
        <f t="shared" si="0"/>
        <v>114</v>
      </c>
      <c r="DZ1" s="53">
        <f t="shared" si="0"/>
        <v>115</v>
      </c>
      <c r="EA1" s="53">
        <f t="shared" si="0"/>
        <v>116</v>
      </c>
      <c r="EB1" s="53">
        <f t="shared" si="0"/>
        <v>117</v>
      </c>
      <c r="EC1" s="53">
        <f t="shared" si="0"/>
        <v>118</v>
      </c>
      <c r="ED1" s="53">
        <f t="shared" si="0"/>
        <v>119</v>
      </c>
    </row>
    <row r="2" spans="1:135" ht="12.5" x14ac:dyDescent="0.25"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>
        <v>1</v>
      </c>
      <c r="P2" s="53">
        <f t="shared" ref="P2:ED2" si="1">O2+1</f>
        <v>2</v>
      </c>
      <c r="Q2" s="53">
        <f t="shared" si="1"/>
        <v>3</v>
      </c>
      <c r="R2" s="53">
        <f t="shared" si="1"/>
        <v>4</v>
      </c>
      <c r="S2" s="53">
        <f t="shared" si="1"/>
        <v>5</v>
      </c>
      <c r="T2" s="53">
        <f t="shared" si="1"/>
        <v>6</v>
      </c>
      <c r="U2" s="53">
        <f t="shared" si="1"/>
        <v>7</v>
      </c>
      <c r="V2" s="53">
        <f t="shared" si="1"/>
        <v>8</v>
      </c>
      <c r="W2" s="53">
        <f t="shared" si="1"/>
        <v>9</v>
      </c>
      <c r="X2" s="53">
        <f t="shared" si="1"/>
        <v>10</v>
      </c>
      <c r="Y2" s="53">
        <f t="shared" si="1"/>
        <v>11</v>
      </c>
      <c r="Z2" s="53">
        <f t="shared" si="1"/>
        <v>12</v>
      </c>
      <c r="AA2" s="53">
        <f t="shared" si="1"/>
        <v>13</v>
      </c>
      <c r="AB2" s="53">
        <f t="shared" si="1"/>
        <v>14</v>
      </c>
      <c r="AC2" s="53">
        <f t="shared" si="1"/>
        <v>15</v>
      </c>
      <c r="AD2" s="53">
        <f t="shared" si="1"/>
        <v>16</v>
      </c>
      <c r="AE2" s="53">
        <f t="shared" si="1"/>
        <v>17</v>
      </c>
      <c r="AF2" s="53">
        <f t="shared" si="1"/>
        <v>18</v>
      </c>
      <c r="AG2" s="53">
        <f t="shared" si="1"/>
        <v>19</v>
      </c>
      <c r="AH2" s="53">
        <f t="shared" si="1"/>
        <v>20</v>
      </c>
      <c r="AI2" s="53">
        <f t="shared" si="1"/>
        <v>21</v>
      </c>
      <c r="AJ2" s="53">
        <f t="shared" si="1"/>
        <v>22</v>
      </c>
      <c r="AK2" s="53">
        <f t="shared" si="1"/>
        <v>23</v>
      </c>
      <c r="AL2" s="53">
        <f t="shared" si="1"/>
        <v>24</v>
      </c>
      <c r="AM2" s="53">
        <f t="shared" si="1"/>
        <v>25</v>
      </c>
      <c r="AN2" s="53">
        <f t="shared" si="1"/>
        <v>26</v>
      </c>
      <c r="AO2" s="53">
        <f t="shared" si="1"/>
        <v>27</v>
      </c>
      <c r="AP2" s="53">
        <f t="shared" si="1"/>
        <v>28</v>
      </c>
      <c r="AQ2" s="53">
        <f t="shared" si="1"/>
        <v>29</v>
      </c>
      <c r="AR2" s="53">
        <f t="shared" si="1"/>
        <v>30</v>
      </c>
      <c r="AS2" s="53">
        <f t="shared" si="1"/>
        <v>31</v>
      </c>
      <c r="AT2" s="53">
        <f t="shared" si="1"/>
        <v>32</v>
      </c>
      <c r="AU2" s="53">
        <f t="shared" si="1"/>
        <v>33</v>
      </c>
      <c r="AV2" s="53">
        <f t="shared" si="1"/>
        <v>34</v>
      </c>
      <c r="AW2" s="53">
        <f t="shared" si="1"/>
        <v>35</v>
      </c>
      <c r="AX2" s="53">
        <f t="shared" si="1"/>
        <v>36</v>
      </c>
      <c r="AY2" s="53">
        <f t="shared" si="1"/>
        <v>37</v>
      </c>
      <c r="AZ2" s="53">
        <f t="shared" si="1"/>
        <v>38</v>
      </c>
      <c r="BA2" s="53">
        <f t="shared" si="1"/>
        <v>39</v>
      </c>
      <c r="BB2" s="53">
        <f t="shared" si="1"/>
        <v>40</v>
      </c>
      <c r="BC2" s="53">
        <f t="shared" si="1"/>
        <v>41</v>
      </c>
      <c r="BD2" s="53">
        <f t="shared" si="1"/>
        <v>42</v>
      </c>
      <c r="BE2" s="53">
        <f t="shared" si="1"/>
        <v>43</v>
      </c>
      <c r="BF2" s="53">
        <f t="shared" si="1"/>
        <v>44</v>
      </c>
      <c r="BG2" s="53">
        <f t="shared" si="1"/>
        <v>45</v>
      </c>
      <c r="BH2" s="53">
        <f t="shared" si="1"/>
        <v>46</v>
      </c>
      <c r="BI2" s="53">
        <f t="shared" si="1"/>
        <v>47</v>
      </c>
      <c r="BJ2" s="53">
        <f t="shared" si="1"/>
        <v>48</v>
      </c>
      <c r="BK2" s="53">
        <f t="shared" si="1"/>
        <v>49</v>
      </c>
      <c r="BL2" s="53">
        <f t="shared" si="1"/>
        <v>50</v>
      </c>
      <c r="BM2" s="53">
        <f t="shared" si="1"/>
        <v>51</v>
      </c>
      <c r="BN2" s="53">
        <f t="shared" si="1"/>
        <v>52</v>
      </c>
      <c r="BO2" s="53">
        <f t="shared" si="1"/>
        <v>53</v>
      </c>
      <c r="BP2" s="53">
        <f t="shared" si="1"/>
        <v>54</v>
      </c>
      <c r="BQ2" s="53">
        <f t="shared" si="1"/>
        <v>55</v>
      </c>
      <c r="BR2" s="53">
        <f t="shared" si="1"/>
        <v>56</v>
      </c>
      <c r="BS2" s="53">
        <f t="shared" si="1"/>
        <v>57</v>
      </c>
      <c r="BT2" s="53">
        <f t="shared" si="1"/>
        <v>58</v>
      </c>
      <c r="BU2" s="53">
        <f t="shared" si="1"/>
        <v>59</v>
      </c>
      <c r="BV2" s="53">
        <f t="shared" si="1"/>
        <v>60</v>
      </c>
      <c r="BW2" s="53">
        <f t="shared" si="1"/>
        <v>61</v>
      </c>
      <c r="BX2" s="53">
        <f t="shared" si="1"/>
        <v>62</v>
      </c>
      <c r="BY2" s="53">
        <f t="shared" si="1"/>
        <v>63</v>
      </c>
      <c r="BZ2" s="53">
        <f t="shared" si="1"/>
        <v>64</v>
      </c>
      <c r="CA2" s="53">
        <f t="shared" si="1"/>
        <v>65</v>
      </c>
      <c r="CB2" s="53">
        <f t="shared" si="1"/>
        <v>66</v>
      </c>
      <c r="CC2" s="53">
        <f t="shared" si="1"/>
        <v>67</v>
      </c>
      <c r="CD2" s="53">
        <f t="shared" si="1"/>
        <v>68</v>
      </c>
      <c r="CE2" s="53">
        <f t="shared" si="1"/>
        <v>69</v>
      </c>
      <c r="CF2" s="53">
        <f t="shared" si="1"/>
        <v>70</v>
      </c>
      <c r="CG2" s="53">
        <f t="shared" si="1"/>
        <v>71</v>
      </c>
      <c r="CH2" s="53">
        <f t="shared" si="1"/>
        <v>72</v>
      </c>
      <c r="CI2" s="53">
        <f t="shared" si="1"/>
        <v>73</v>
      </c>
      <c r="CJ2" s="53">
        <f t="shared" si="1"/>
        <v>74</v>
      </c>
      <c r="CK2" s="53">
        <f t="shared" si="1"/>
        <v>75</v>
      </c>
      <c r="CL2" s="53">
        <f t="shared" si="1"/>
        <v>76</v>
      </c>
      <c r="CM2" s="53">
        <f t="shared" si="1"/>
        <v>77</v>
      </c>
      <c r="CN2" s="53">
        <f t="shared" si="1"/>
        <v>78</v>
      </c>
      <c r="CO2" s="53">
        <f t="shared" si="1"/>
        <v>79</v>
      </c>
      <c r="CP2" s="53">
        <f t="shared" si="1"/>
        <v>80</v>
      </c>
      <c r="CQ2" s="53">
        <f t="shared" si="1"/>
        <v>81</v>
      </c>
      <c r="CR2" s="53">
        <f t="shared" si="1"/>
        <v>82</v>
      </c>
      <c r="CS2" s="53">
        <f t="shared" si="1"/>
        <v>83</v>
      </c>
      <c r="CT2" s="53">
        <f t="shared" si="1"/>
        <v>84</v>
      </c>
      <c r="CU2" s="53">
        <f t="shared" si="1"/>
        <v>85</v>
      </c>
      <c r="CV2" s="53">
        <f t="shared" si="1"/>
        <v>86</v>
      </c>
      <c r="CW2" s="53">
        <f t="shared" si="1"/>
        <v>87</v>
      </c>
      <c r="CX2" s="53">
        <f t="shared" si="1"/>
        <v>88</v>
      </c>
      <c r="CY2" s="53">
        <f t="shared" si="1"/>
        <v>89</v>
      </c>
      <c r="CZ2" s="53">
        <f t="shared" si="1"/>
        <v>90</v>
      </c>
      <c r="DA2" s="53">
        <f t="shared" si="1"/>
        <v>91</v>
      </c>
      <c r="DB2" s="53">
        <f t="shared" si="1"/>
        <v>92</v>
      </c>
      <c r="DC2" s="53">
        <f t="shared" si="1"/>
        <v>93</v>
      </c>
      <c r="DD2" s="53">
        <f t="shared" si="1"/>
        <v>94</v>
      </c>
      <c r="DE2" s="53">
        <f t="shared" si="1"/>
        <v>95</v>
      </c>
      <c r="DF2" s="53">
        <f t="shared" si="1"/>
        <v>96</v>
      </c>
      <c r="DG2" s="53">
        <f t="shared" si="1"/>
        <v>97</v>
      </c>
      <c r="DH2" s="53">
        <f t="shared" si="1"/>
        <v>98</v>
      </c>
      <c r="DI2" s="53">
        <f t="shared" si="1"/>
        <v>99</v>
      </c>
      <c r="DJ2" s="53">
        <f t="shared" si="1"/>
        <v>100</v>
      </c>
      <c r="DK2" s="53">
        <f t="shared" si="1"/>
        <v>101</v>
      </c>
      <c r="DL2" s="53">
        <f t="shared" si="1"/>
        <v>102</v>
      </c>
      <c r="DM2" s="53">
        <f t="shared" si="1"/>
        <v>103</v>
      </c>
      <c r="DN2" s="53">
        <f t="shared" si="1"/>
        <v>104</v>
      </c>
      <c r="DO2" s="53">
        <f t="shared" si="1"/>
        <v>105</v>
      </c>
      <c r="DP2" s="53">
        <f t="shared" si="1"/>
        <v>106</v>
      </c>
      <c r="DQ2" s="53">
        <f t="shared" si="1"/>
        <v>107</v>
      </c>
      <c r="DR2" s="53">
        <f t="shared" si="1"/>
        <v>108</v>
      </c>
      <c r="DS2" s="53">
        <f t="shared" si="1"/>
        <v>109</v>
      </c>
      <c r="DT2" s="53">
        <f t="shared" si="1"/>
        <v>110</v>
      </c>
      <c r="DU2" s="53">
        <f t="shared" si="1"/>
        <v>111</v>
      </c>
      <c r="DV2" s="53">
        <f t="shared" si="1"/>
        <v>112</v>
      </c>
      <c r="DW2" s="53">
        <f t="shared" si="1"/>
        <v>113</v>
      </c>
      <c r="DX2" s="53">
        <f t="shared" si="1"/>
        <v>114</v>
      </c>
      <c r="DY2" s="53">
        <f t="shared" si="1"/>
        <v>115</v>
      </c>
      <c r="DZ2" s="53">
        <f t="shared" si="1"/>
        <v>116</v>
      </c>
      <c r="EA2" s="53">
        <f t="shared" si="1"/>
        <v>117</v>
      </c>
      <c r="EB2" s="53">
        <f t="shared" si="1"/>
        <v>118</v>
      </c>
      <c r="EC2" s="53">
        <f t="shared" si="1"/>
        <v>119</v>
      </c>
      <c r="ED2" s="53">
        <f t="shared" si="1"/>
        <v>120</v>
      </c>
    </row>
    <row r="3" spans="1:135" ht="13" x14ac:dyDescent="0.3">
      <c r="C3" s="53"/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3"/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  <c r="T3" s="5" t="s">
        <v>74</v>
      </c>
      <c r="U3" s="5" t="s">
        <v>75</v>
      </c>
      <c r="V3" s="5" t="s">
        <v>76</v>
      </c>
      <c r="W3" s="5" t="s">
        <v>77</v>
      </c>
      <c r="X3" s="5" t="s">
        <v>78</v>
      </c>
      <c r="Y3" s="5" t="s">
        <v>79</v>
      </c>
      <c r="Z3" s="5" t="s">
        <v>80</v>
      </c>
      <c r="AA3" s="5" t="s">
        <v>81</v>
      </c>
      <c r="AB3" s="5" t="s">
        <v>82</v>
      </c>
      <c r="AC3" s="5" t="s">
        <v>83</v>
      </c>
      <c r="AD3" s="5" t="s">
        <v>84</v>
      </c>
      <c r="AE3" s="5" t="s">
        <v>85</v>
      </c>
      <c r="AF3" s="5" t="s">
        <v>86</v>
      </c>
      <c r="AG3" s="5" t="s">
        <v>87</v>
      </c>
      <c r="AH3" s="5" t="s">
        <v>88</v>
      </c>
      <c r="AI3" s="5" t="s">
        <v>89</v>
      </c>
      <c r="AJ3" s="5" t="s">
        <v>90</v>
      </c>
      <c r="AK3" s="5" t="s">
        <v>91</v>
      </c>
      <c r="AL3" s="5" t="s">
        <v>92</v>
      </c>
      <c r="AM3" s="5" t="s">
        <v>93</v>
      </c>
      <c r="AN3" s="5" t="s">
        <v>94</v>
      </c>
      <c r="AO3" s="5" t="s">
        <v>95</v>
      </c>
      <c r="AP3" s="5" t="s">
        <v>96</v>
      </c>
      <c r="AQ3" s="5" t="s">
        <v>97</v>
      </c>
      <c r="AR3" s="5" t="s">
        <v>98</v>
      </c>
      <c r="AS3" s="5" t="s">
        <v>99</v>
      </c>
      <c r="AT3" s="5" t="s">
        <v>100</v>
      </c>
      <c r="AU3" s="5" t="s">
        <v>101</v>
      </c>
      <c r="AV3" s="5" t="s">
        <v>102</v>
      </c>
      <c r="AW3" s="5" t="s">
        <v>103</v>
      </c>
      <c r="AX3" s="5" t="s">
        <v>104</v>
      </c>
      <c r="AY3" s="5" t="s">
        <v>105</v>
      </c>
      <c r="AZ3" s="5" t="s">
        <v>106</v>
      </c>
      <c r="BA3" s="5" t="s">
        <v>107</v>
      </c>
      <c r="BB3" s="5" t="s">
        <v>108</v>
      </c>
      <c r="BC3" s="5" t="s">
        <v>109</v>
      </c>
      <c r="BD3" s="5" t="s">
        <v>110</v>
      </c>
      <c r="BE3" s="5" t="s">
        <v>111</v>
      </c>
      <c r="BF3" s="5" t="s">
        <v>112</v>
      </c>
      <c r="BG3" s="5" t="s">
        <v>113</v>
      </c>
      <c r="BH3" s="5" t="s">
        <v>114</v>
      </c>
      <c r="BI3" s="5" t="s">
        <v>115</v>
      </c>
      <c r="BJ3" s="5" t="s">
        <v>116</v>
      </c>
      <c r="BK3" s="5" t="s">
        <v>117</v>
      </c>
      <c r="BL3" s="5" t="s">
        <v>118</v>
      </c>
      <c r="BM3" s="5" t="s">
        <v>119</v>
      </c>
      <c r="BN3" s="5" t="s">
        <v>120</v>
      </c>
      <c r="BO3" s="5" t="s">
        <v>121</v>
      </c>
      <c r="BP3" s="5" t="s">
        <v>122</v>
      </c>
      <c r="BQ3" s="5" t="s">
        <v>123</v>
      </c>
      <c r="BR3" s="5" t="s">
        <v>124</v>
      </c>
      <c r="BS3" s="5" t="s">
        <v>125</v>
      </c>
      <c r="BT3" s="5" t="s">
        <v>126</v>
      </c>
      <c r="BU3" s="5" t="s">
        <v>127</v>
      </c>
      <c r="BV3" s="5" t="s">
        <v>128</v>
      </c>
      <c r="BW3" s="5" t="s">
        <v>129</v>
      </c>
      <c r="BX3" s="5" t="s">
        <v>130</v>
      </c>
      <c r="BY3" s="5" t="s">
        <v>131</v>
      </c>
      <c r="BZ3" s="5" t="s">
        <v>132</v>
      </c>
      <c r="CA3" s="5" t="s">
        <v>133</v>
      </c>
      <c r="CB3" s="5" t="s">
        <v>134</v>
      </c>
      <c r="CC3" s="5" t="s">
        <v>135</v>
      </c>
      <c r="CD3" s="5" t="s">
        <v>136</v>
      </c>
      <c r="CE3" s="5" t="s">
        <v>137</v>
      </c>
      <c r="CF3" s="5" t="s">
        <v>138</v>
      </c>
      <c r="CG3" s="5" t="s">
        <v>139</v>
      </c>
      <c r="CH3" s="5" t="s">
        <v>140</v>
      </c>
      <c r="CI3" s="5" t="s">
        <v>141</v>
      </c>
      <c r="CJ3" s="5" t="s">
        <v>142</v>
      </c>
      <c r="CK3" s="5" t="s">
        <v>143</v>
      </c>
      <c r="CL3" s="5" t="s">
        <v>144</v>
      </c>
      <c r="CM3" s="5" t="s">
        <v>145</v>
      </c>
      <c r="CN3" s="5" t="s">
        <v>146</v>
      </c>
      <c r="CO3" s="5" t="s">
        <v>147</v>
      </c>
      <c r="CP3" s="5" t="s">
        <v>148</v>
      </c>
      <c r="CQ3" s="5" t="s">
        <v>149</v>
      </c>
      <c r="CR3" s="5" t="s">
        <v>150</v>
      </c>
      <c r="CS3" s="5" t="s">
        <v>151</v>
      </c>
      <c r="CT3" s="5" t="s">
        <v>152</v>
      </c>
      <c r="CU3" s="5" t="s">
        <v>153</v>
      </c>
      <c r="CV3" s="5" t="s">
        <v>154</v>
      </c>
      <c r="CW3" s="5" t="s">
        <v>155</v>
      </c>
      <c r="CX3" s="5" t="s">
        <v>156</v>
      </c>
      <c r="CY3" s="5" t="s">
        <v>157</v>
      </c>
      <c r="CZ3" s="5" t="s">
        <v>158</v>
      </c>
      <c r="DA3" s="5" t="s">
        <v>159</v>
      </c>
      <c r="DB3" s="5" t="s">
        <v>160</v>
      </c>
      <c r="DC3" s="5" t="s">
        <v>161</v>
      </c>
      <c r="DD3" s="5" t="s">
        <v>162</v>
      </c>
      <c r="DE3" s="5" t="s">
        <v>163</v>
      </c>
      <c r="DF3" s="5" t="s">
        <v>164</v>
      </c>
      <c r="DG3" s="5" t="s">
        <v>165</v>
      </c>
      <c r="DH3" s="5" t="s">
        <v>166</v>
      </c>
      <c r="DI3" s="5" t="s">
        <v>167</v>
      </c>
      <c r="DJ3" s="5" t="s">
        <v>168</v>
      </c>
      <c r="DK3" s="5" t="s">
        <v>169</v>
      </c>
      <c r="DL3" s="5" t="s">
        <v>170</v>
      </c>
      <c r="DM3" s="5" t="s">
        <v>171</v>
      </c>
      <c r="DN3" s="5" t="s">
        <v>172</v>
      </c>
      <c r="DO3" s="5" t="s">
        <v>173</v>
      </c>
      <c r="DP3" s="5" t="s">
        <v>174</v>
      </c>
      <c r="DQ3" s="5" t="s">
        <v>175</v>
      </c>
      <c r="DR3" s="5" t="s">
        <v>176</v>
      </c>
      <c r="DS3" s="5" t="s">
        <v>177</v>
      </c>
      <c r="DT3" s="5" t="s">
        <v>178</v>
      </c>
      <c r="DU3" s="5" t="s">
        <v>179</v>
      </c>
      <c r="DV3" s="5" t="s">
        <v>180</v>
      </c>
      <c r="DW3" s="5" t="s">
        <v>181</v>
      </c>
      <c r="DX3" s="5" t="s">
        <v>182</v>
      </c>
      <c r="DY3" s="5" t="s">
        <v>183</v>
      </c>
      <c r="DZ3" s="5" t="s">
        <v>184</v>
      </c>
      <c r="EA3" s="5" t="s">
        <v>185</v>
      </c>
      <c r="EB3" s="5" t="s">
        <v>186</v>
      </c>
      <c r="EC3" s="5" t="s">
        <v>187</v>
      </c>
      <c r="ED3" s="5" t="s">
        <v>188</v>
      </c>
    </row>
    <row r="4" spans="1:135" ht="12.5" x14ac:dyDescent="0.25">
      <c r="C4" s="53"/>
      <c r="D4" s="53" t="s">
        <v>80</v>
      </c>
      <c r="E4" s="53" t="s">
        <v>92</v>
      </c>
      <c r="F4" s="53" t="s">
        <v>104</v>
      </c>
      <c r="G4" s="53" t="s">
        <v>116</v>
      </c>
      <c r="H4" s="53" t="s">
        <v>128</v>
      </c>
      <c r="I4" s="53" t="s">
        <v>140</v>
      </c>
      <c r="J4" s="53" t="s">
        <v>152</v>
      </c>
      <c r="K4" s="53" t="s">
        <v>164</v>
      </c>
      <c r="L4" s="53" t="s">
        <v>176</v>
      </c>
      <c r="M4" s="53" t="s">
        <v>188</v>
      </c>
      <c r="N4" s="53"/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53" t="s">
        <v>4</v>
      </c>
      <c r="V4" s="53" t="s">
        <v>4</v>
      </c>
      <c r="W4" s="53" t="s">
        <v>4</v>
      </c>
      <c r="X4" s="53" t="s">
        <v>4</v>
      </c>
      <c r="Y4" s="53" t="s">
        <v>4</v>
      </c>
      <c r="Z4" s="53" t="s">
        <v>4</v>
      </c>
      <c r="AA4" s="53" t="s">
        <v>5</v>
      </c>
      <c r="AB4" s="53" t="s">
        <v>5</v>
      </c>
      <c r="AC4" s="53" t="s">
        <v>5</v>
      </c>
      <c r="AD4" s="53" t="s">
        <v>5</v>
      </c>
      <c r="AE4" s="53" t="s">
        <v>5</v>
      </c>
      <c r="AF4" s="53" t="s">
        <v>5</v>
      </c>
      <c r="AG4" s="53" t="s">
        <v>5</v>
      </c>
      <c r="AH4" s="53" t="s">
        <v>5</v>
      </c>
      <c r="AI4" s="53" t="s">
        <v>5</v>
      </c>
      <c r="AJ4" s="53" t="s">
        <v>5</v>
      </c>
      <c r="AK4" s="53" t="s">
        <v>5</v>
      </c>
      <c r="AL4" s="53" t="s">
        <v>5</v>
      </c>
      <c r="AM4" s="53" t="s">
        <v>6</v>
      </c>
      <c r="AN4" s="53" t="s">
        <v>6</v>
      </c>
      <c r="AO4" s="53" t="s">
        <v>6</v>
      </c>
      <c r="AP4" s="53" t="s">
        <v>6</v>
      </c>
      <c r="AQ4" s="53" t="s">
        <v>6</v>
      </c>
      <c r="AR4" s="53" t="s">
        <v>6</v>
      </c>
      <c r="AS4" s="53" t="s">
        <v>6</v>
      </c>
      <c r="AT4" s="53" t="s">
        <v>6</v>
      </c>
      <c r="AU4" s="53" t="s">
        <v>6</v>
      </c>
      <c r="AV4" s="53" t="s">
        <v>6</v>
      </c>
      <c r="AW4" s="53" t="s">
        <v>6</v>
      </c>
      <c r="AX4" s="53" t="s">
        <v>6</v>
      </c>
      <c r="AY4" s="53" t="s">
        <v>7</v>
      </c>
      <c r="AZ4" s="53" t="s">
        <v>7</v>
      </c>
      <c r="BA4" s="53" t="s">
        <v>7</v>
      </c>
      <c r="BB4" s="53" t="s">
        <v>7</v>
      </c>
      <c r="BC4" s="53" t="s">
        <v>7</v>
      </c>
      <c r="BD4" s="53" t="s">
        <v>7</v>
      </c>
      <c r="BE4" s="53" t="s">
        <v>7</v>
      </c>
      <c r="BF4" s="53" t="s">
        <v>7</v>
      </c>
      <c r="BG4" s="53" t="s">
        <v>7</v>
      </c>
      <c r="BH4" s="53" t="s">
        <v>7</v>
      </c>
      <c r="BI4" s="53" t="s">
        <v>7</v>
      </c>
      <c r="BJ4" s="53" t="s">
        <v>7</v>
      </c>
      <c r="BK4" s="53" t="s">
        <v>8</v>
      </c>
      <c r="BL4" s="53" t="s">
        <v>8</v>
      </c>
      <c r="BM4" s="53" t="s">
        <v>8</v>
      </c>
      <c r="BN4" s="53" t="s">
        <v>8</v>
      </c>
      <c r="BO4" s="53" t="s">
        <v>8</v>
      </c>
      <c r="BP4" s="53" t="s">
        <v>8</v>
      </c>
      <c r="BQ4" s="53" t="s">
        <v>8</v>
      </c>
      <c r="BR4" s="53" t="s">
        <v>8</v>
      </c>
      <c r="BS4" s="53" t="s">
        <v>8</v>
      </c>
      <c r="BT4" s="53" t="s">
        <v>8</v>
      </c>
      <c r="BU4" s="53" t="s">
        <v>8</v>
      </c>
      <c r="BV4" s="53" t="s">
        <v>8</v>
      </c>
      <c r="BW4" s="53" t="s">
        <v>9</v>
      </c>
      <c r="BX4" s="53" t="s">
        <v>9</v>
      </c>
      <c r="BY4" s="53" t="s">
        <v>9</v>
      </c>
      <c r="BZ4" s="53" t="s">
        <v>9</v>
      </c>
      <c r="CA4" s="53" t="s">
        <v>9</v>
      </c>
      <c r="CB4" s="53" t="s">
        <v>9</v>
      </c>
      <c r="CC4" s="53" t="s">
        <v>9</v>
      </c>
      <c r="CD4" s="53" t="s">
        <v>9</v>
      </c>
      <c r="CE4" s="53" t="s">
        <v>9</v>
      </c>
      <c r="CF4" s="53" t="s">
        <v>9</v>
      </c>
      <c r="CG4" s="53" t="s">
        <v>9</v>
      </c>
      <c r="CH4" s="53" t="s">
        <v>9</v>
      </c>
      <c r="CI4" s="53" t="s">
        <v>10</v>
      </c>
      <c r="CJ4" s="53" t="s">
        <v>10</v>
      </c>
      <c r="CK4" s="53" t="s">
        <v>10</v>
      </c>
      <c r="CL4" s="53" t="s">
        <v>10</v>
      </c>
      <c r="CM4" s="53" t="s">
        <v>10</v>
      </c>
      <c r="CN4" s="53" t="s">
        <v>10</v>
      </c>
      <c r="CO4" s="53" t="s">
        <v>10</v>
      </c>
      <c r="CP4" s="53" t="s">
        <v>10</v>
      </c>
      <c r="CQ4" s="53" t="s">
        <v>10</v>
      </c>
      <c r="CR4" s="53" t="s">
        <v>10</v>
      </c>
      <c r="CS4" s="53" t="s">
        <v>10</v>
      </c>
      <c r="CT4" s="53" t="s">
        <v>10</v>
      </c>
      <c r="CU4" s="53" t="s">
        <v>11</v>
      </c>
      <c r="CV4" s="53" t="s">
        <v>11</v>
      </c>
      <c r="CW4" s="53" t="s">
        <v>11</v>
      </c>
      <c r="CX4" s="53" t="s">
        <v>11</v>
      </c>
      <c r="CY4" s="53" t="s">
        <v>11</v>
      </c>
      <c r="CZ4" s="53" t="s">
        <v>11</v>
      </c>
      <c r="DA4" s="53" t="s">
        <v>11</v>
      </c>
      <c r="DB4" s="53" t="s">
        <v>11</v>
      </c>
      <c r="DC4" s="53" t="s">
        <v>11</v>
      </c>
      <c r="DD4" s="53" t="s">
        <v>11</v>
      </c>
      <c r="DE4" s="53" t="s">
        <v>11</v>
      </c>
      <c r="DF4" s="53" t="s">
        <v>11</v>
      </c>
      <c r="DG4" s="53" t="s">
        <v>12</v>
      </c>
      <c r="DH4" s="53" t="s">
        <v>12</v>
      </c>
      <c r="DI4" s="53" t="s">
        <v>12</v>
      </c>
      <c r="DJ4" s="53" t="s">
        <v>12</v>
      </c>
      <c r="DK4" s="53" t="s">
        <v>12</v>
      </c>
      <c r="DL4" s="53" t="s">
        <v>12</v>
      </c>
      <c r="DM4" s="53" t="s">
        <v>12</v>
      </c>
      <c r="DN4" s="53" t="s">
        <v>12</v>
      </c>
      <c r="DO4" s="53" t="s">
        <v>12</v>
      </c>
      <c r="DP4" s="53" t="s">
        <v>12</v>
      </c>
      <c r="DQ4" s="53" t="s">
        <v>12</v>
      </c>
      <c r="DR4" s="53" t="s">
        <v>12</v>
      </c>
      <c r="DS4" s="53" t="s">
        <v>13</v>
      </c>
      <c r="DT4" s="53" t="s">
        <v>13</v>
      </c>
      <c r="DU4" s="53" t="s">
        <v>13</v>
      </c>
      <c r="DV4" s="53" t="s">
        <v>13</v>
      </c>
      <c r="DW4" s="53" t="s">
        <v>13</v>
      </c>
      <c r="DX4" s="53" t="s">
        <v>13</v>
      </c>
      <c r="DY4" s="53" t="s">
        <v>13</v>
      </c>
      <c r="DZ4" s="53" t="s">
        <v>13</v>
      </c>
      <c r="EA4" s="53" t="s">
        <v>13</v>
      </c>
      <c r="EB4" s="53" t="s">
        <v>13</v>
      </c>
      <c r="EC4" s="53" t="s">
        <v>13</v>
      </c>
      <c r="ED4" s="53" t="s">
        <v>13</v>
      </c>
    </row>
    <row r="5" spans="1:135" ht="12.5" x14ac:dyDescent="0.25">
      <c r="C5" s="53"/>
      <c r="N5" s="53"/>
      <c r="R5" s="64"/>
    </row>
    <row r="6" spans="1:135" ht="6.75" customHeight="1" x14ac:dyDescent="0.25">
      <c r="C6" s="53"/>
      <c r="N6" s="53"/>
    </row>
    <row r="7" spans="1:135" ht="13" x14ac:dyDescent="0.3">
      <c r="A7" s="61"/>
      <c r="B7" s="65" t="s">
        <v>189</v>
      </c>
      <c r="C7" s="66"/>
      <c r="D7" s="65">
        <f>IF(AND(SUMIFS($O7:$BV7,$O$3:$BV$3,D$4)=0,D$11&lt;&gt;0),MAX(O7:BV7),SUMIFS($O7:$BV7,$O$3:$BV$3,D$4))</f>
        <v>25</v>
      </c>
      <c r="E7" s="65">
        <f t="shared" ref="E7:H7" si="2">IF(AND(SUMIFS($O7:$BV7,$O$3:$BV$3,E$4)=0,E$11&lt;&gt;0),MAX(P7:EE7),SUMIFS($O7:$BV7,$O$3:$BV$3,E$4))</f>
        <v>25</v>
      </c>
      <c r="F7" s="65">
        <f t="shared" si="2"/>
        <v>25</v>
      </c>
      <c r="G7" s="65">
        <f t="shared" si="2"/>
        <v>25</v>
      </c>
      <c r="H7" s="65">
        <f t="shared" si="2"/>
        <v>25</v>
      </c>
      <c r="I7" s="65">
        <f t="shared" ref="I7:M7" si="3">IF(AND(SUMIFS($O7:$ED7,$O$3:$ED$3,I$4)=0,I$11&lt;&gt;0),MAX(T7:EI7),SUMIFS($O7:$ED7,$O$3:$ED$3,I$4))</f>
        <v>0</v>
      </c>
      <c r="J7" s="65">
        <f t="shared" si="3"/>
        <v>0</v>
      </c>
      <c r="K7" s="65">
        <f t="shared" si="3"/>
        <v>0</v>
      </c>
      <c r="L7" s="65">
        <f t="shared" si="3"/>
        <v>0</v>
      </c>
      <c r="M7" s="65">
        <f t="shared" si="3"/>
        <v>0</v>
      </c>
      <c r="N7" s="66"/>
      <c r="O7" s="61">
        <f>IF(Simulador!$E$10=Simulador!$E$12,
    IF(AND(O$2&lt;=Simulador!$E$11,ROUNDUP(Simulador!$E$10/Simulador!$E$11*O$2,0)&lt;=Simulador!$E$12),
        ROUNDUP(Simulador!$E$10/Simulador!$E$11*O$2,0),
        IF(O$2&lt;=Simulador!$E$8,Simulador!$E$12,0)
    ),
    IF(O$2&lt;=Simulador!$E$11,
        IF(ROUNDUP(Simulador!$E$10/Simulador!$E$11*O$2,0)&lt;=Simulador!$E$12,
            ROUNDUP(Simulador!$E$10/Simulador!$E$11*O$2,0),
            0
        ),
        IF(ROUNDUP(Simulador!$E$10+(Simulador!$E$12-Simulador!$E$10)/(Simulador!$E$8-Simulador!$E$11)*(O$2-Simulador!$E$11),0)&lt;=Simulador!$E$12,
            IF(O$2&lt;=Simulador!$E$8,
                ROUNDUP(Simulador!$E$10+(Simulador!$E$12-Simulador!$E$10)/(Simulador!$E$8-Simulador!$E$11)*(O$2-Simulador!$E$11),0),
                0
            ),
            0
        )
    )
)</f>
        <v>13</v>
      </c>
      <c r="P7" s="61">
        <f>IF(Simulador!$E$10=Simulador!$E$12,
    IF(AND(P$2&lt;=Simulador!$E$11,ROUNDUP(Simulador!$E$10/Simulador!$E$11*P$2,0)&lt;=Simulador!$E$12),
        ROUNDUP(Simulador!$E$10/Simulador!$E$11*P$2,0),
        IF(P$2&lt;=Simulador!$E$8,Simulador!$E$12,0)
    ),
    IF(P$2&lt;=Simulador!$E$11,
        IF(ROUNDUP(Simulador!$E$10/Simulador!$E$11*P$2,0)&lt;=Simulador!$E$12,
            ROUNDUP(Simulador!$E$10/Simulador!$E$11*P$2,0),
            0
        ),
        IF(ROUNDUP(Simulador!$E$10+(Simulador!$E$12-Simulador!$E$10)/(Simulador!$E$8-Simulador!$E$11)*(P$2-Simulador!$E$11),0)&lt;=Simulador!$E$12,
            IF(P$2&lt;=Simulador!$E$8,
                ROUNDUP(Simulador!$E$10+(Simulador!$E$12-Simulador!$E$10)/(Simulador!$E$8-Simulador!$E$11)*(P$2-Simulador!$E$11),0),
                0
            ),
            0
        )
    )
)</f>
        <v>25</v>
      </c>
      <c r="Q7" s="61">
        <f>IF(Simulador!$E$10=Simulador!$E$12,
    IF(AND(Q$2&lt;=Simulador!$E$11,ROUNDUP(Simulador!$E$10/Simulador!$E$11*Q$2,0)&lt;=Simulador!$E$12),
        ROUNDUP(Simulador!$E$10/Simulador!$E$11*Q$2,0),
        IF(Q$2&lt;=Simulador!$E$8,Simulador!$E$12,0)
    ),
    IF(Q$2&lt;=Simulador!$E$11,
        IF(ROUNDUP(Simulador!$E$10/Simulador!$E$11*Q$2,0)&lt;=Simulador!$E$12,
            ROUNDUP(Simulador!$E$10/Simulador!$E$11*Q$2,0),
            0
        ),
        IF(ROUNDUP(Simulador!$E$10+(Simulador!$E$12-Simulador!$E$10)/(Simulador!$E$8-Simulador!$E$11)*(Q$2-Simulador!$E$11),0)&lt;=Simulador!$E$12,
            IF(Q$2&lt;=Simulador!$E$8,
                ROUNDUP(Simulador!$E$10+(Simulador!$E$12-Simulador!$E$10)/(Simulador!$E$8-Simulador!$E$11)*(Q$2-Simulador!$E$11),0),
                0
            ),
            0
        )
    )
)</f>
        <v>25</v>
      </c>
      <c r="R7" s="61">
        <f>IF(Simulador!$E$10=Simulador!$E$12,
    IF(AND(R$2&lt;=Simulador!$E$11,ROUNDUP(Simulador!$E$10/Simulador!$E$11*R$2,0)&lt;=Simulador!$E$12),
        ROUNDUP(Simulador!$E$10/Simulador!$E$11*R$2,0),
        IF(R$2&lt;=Simulador!$E$8,Simulador!$E$12,0)
    ),
    IF(R$2&lt;=Simulador!$E$11,
        IF(ROUNDUP(Simulador!$E$10/Simulador!$E$11*R$2,0)&lt;=Simulador!$E$12,
            ROUNDUP(Simulador!$E$10/Simulador!$E$11*R$2,0),
            0
        ),
        IF(ROUNDUP(Simulador!$E$10+(Simulador!$E$12-Simulador!$E$10)/(Simulador!$E$8-Simulador!$E$11)*(R$2-Simulador!$E$11),0)&lt;=Simulador!$E$12,
            IF(R$2&lt;=Simulador!$E$8,
                ROUNDUP(Simulador!$E$10+(Simulador!$E$12-Simulador!$E$10)/(Simulador!$E$8-Simulador!$E$11)*(R$2-Simulador!$E$11),0),
                0
            ),
            0
        )
    )
)</f>
        <v>25</v>
      </c>
      <c r="S7" s="61">
        <f>IF(Simulador!$E$10=Simulador!$E$12,
    IF(AND(S$2&lt;=Simulador!$E$11,ROUNDUP(Simulador!$E$10/Simulador!$E$11*S$2,0)&lt;=Simulador!$E$12),
        ROUNDUP(Simulador!$E$10/Simulador!$E$11*S$2,0),
        IF(S$2&lt;=Simulador!$E$8,Simulador!$E$12,0)
    ),
    IF(S$2&lt;=Simulador!$E$11,
        IF(ROUNDUP(Simulador!$E$10/Simulador!$E$11*S$2,0)&lt;=Simulador!$E$12,
            ROUNDUP(Simulador!$E$10/Simulador!$E$11*S$2,0),
            0
        ),
        IF(ROUNDUP(Simulador!$E$10+(Simulador!$E$12-Simulador!$E$10)/(Simulador!$E$8-Simulador!$E$11)*(S$2-Simulador!$E$11),0)&lt;=Simulador!$E$12,
            IF(S$2&lt;=Simulador!$E$8,
                ROUNDUP(Simulador!$E$10+(Simulador!$E$12-Simulador!$E$10)/(Simulador!$E$8-Simulador!$E$11)*(S$2-Simulador!$E$11),0),
                0
            ),
            0
        )
    )
)</f>
        <v>25</v>
      </c>
      <c r="T7" s="61">
        <f>IF(Simulador!$E$10=Simulador!$E$12,
    IF(AND(T$2&lt;=Simulador!$E$11,ROUNDUP(Simulador!$E$10/Simulador!$E$11*T$2,0)&lt;=Simulador!$E$12),
        ROUNDUP(Simulador!$E$10/Simulador!$E$11*T$2,0),
        IF(T$2&lt;=Simulador!$E$8,Simulador!$E$12,0)
    ),
    IF(T$2&lt;=Simulador!$E$11,
        IF(ROUNDUP(Simulador!$E$10/Simulador!$E$11*T$2,0)&lt;=Simulador!$E$12,
            ROUNDUP(Simulador!$E$10/Simulador!$E$11*T$2,0),
            0
        ),
        IF(ROUNDUP(Simulador!$E$10+(Simulador!$E$12-Simulador!$E$10)/(Simulador!$E$8-Simulador!$E$11)*(T$2-Simulador!$E$11),0)&lt;=Simulador!$E$12,
            IF(T$2&lt;=Simulador!$E$8,
                ROUNDUP(Simulador!$E$10+(Simulador!$E$12-Simulador!$E$10)/(Simulador!$E$8-Simulador!$E$11)*(T$2-Simulador!$E$11),0),
                0
            ),
            0
        )
    )
)</f>
        <v>25</v>
      </c>
      <c r="U7" s="61">
        <f>IF(Simulador!$E$10=Simulador!$E$12,
    IF(AND(U$2&lt;=Simulador!$E$11,ROUNDUP(Simulador!$E$10/Simulador!$E$11*U$2,0)&lt;=Simulador!$E$12),
        ROUNDUP(Simulador!$E$10/Simulador!$E$11*U$2,0),
        IF(U$2&lt;=Simulador!$E$8,Simulador!$E$12,0)
    ),
    IF(U$2&lt;=Simulador!$E$11,
        IF(ROUNDUP(Simulador!$E$10/Simulador!$E$11*U$2,0)&lt;=Simulador!$E$12,
            ROUNDUP(Simulador!$E$10/Simulador!$E$11*U$2,0),
            0
        ),
        IF(ROUNDUP(Simulador!$E$10+(Simulador!$E$12-Simulador!$E$10)/(Simulador!$E$8-Simulador!$E$11)*(U$2-Simulador!$E$11),0)&lt;=Simulador!$E$12,
            IF(U$2&lt;=Simulador!$E$8,
                ROUNDUP(Simulador!$E$10+(Simulador!$E$12-Simulador!$E$10)/(Simulador!$E$8-Simulador!$E$11)*(U$2-Simulador!$E$11),0),
                0
            ),
            0
        )
    )
)</f>
        <v>25</v>
      </c>
      <c r="V7" s="61">
        <f>IF(Simulador!$E$10=Simulador!$E$12,
    IF(AND(V$2&lt;=Simulador!$E$11,ROUNDUP(Simulador!$E$10/Simulador!$E$11*V$2,0)&lt;=Simulador!$E$12),
        ROUNDUP(Simulador!$E$10/Simulador!$E$11*V$2,0),
        IF(V$2&lt;=Simulador!$E$8,Simulador!$E$12,0)
    ),
    IF(V$2&lt;=Simulador!$E$11,
        IF(ROUNDUP(Simulador!$E$10/Simulador!$E$11*V$2,0)&lt;=Simulador!$E$12,
            ROUNDUP(Simulador!$E$10/Simulador!$E$11*V$2,0),
            0
        ),
        IF(ROUNDUP(Simulador!$E$10+(Simulador!$E$12-Simulador!$E$10)/(Simulador!$E$8-Simulador!$E$11)*(V$2-Simulador!$E$11),0)&lt;=Simulador!$E$12,
            IF(V$2&lt;=Simulador!$E$8,
                ROUNDUP(Simulador!$E$10+(Simulador!$E$12-Simulador!$E$10)/(Simulador!$E$8-Simulador!$E$11)*(V$2-Simulador!$E$11),0),
                0
            ),
            0
        )
    )
)</f>
        <v>25</v>
      </c>
      <c r="W7" s="61">
        <f>IF(Simulador!$E$10=Simulador!$E$12,
    IF(AND(W$2&lt;=Simulador!$E$11,ROUNDUP(Simulador!$E$10/Simulador!$E$11*W$2,0)&lt;=Simulador!$E$12),
        ROUNDUP(Simulador!$E$10/Simulador!$E$11*W$2,0),
        IF(W$2&lt;=Simulador!$E$8,Simulador!$E$12,0)
    ),
    IF(W$2&lt;=Simulador!$E$11,
        IF(ROUNDUP(Simulador!$E$10/Simulador!$E$11*W$2,0)&lt;=Simulador!$E$12,
            ROUNDUP(Simulador!$E$10/Simulador!$E$11*W$2,0),
            0
        ),
        IF(ROUNDUP(Simulador!$E$10+(Simulador!$E$12-Simulador!$E$10)/(Simulador!$E$8-Simulador!$E$11)*(W$2-Simulador!$E$11),0)&lt;=Simulador!$E$12,
            IF(W$2&lt;=Simulador!$E$8,
                ROUNDUP(Simulador!$E$10+(Simulador!$E$12-Simulador!$E$10)/(Simulador!$E$8-Simulador!$E$11)*(W$2-Simulador!$E$11),0),
                0
            ),
            0
        )
    )
)</f>
        <v>25</v>
      </c>
      <c r="X7" s="61">
        <f>IF(Simulador!$E$10=Simulador!$E$12,
    IF(AND(X$2&lt;=Simulador!$E$11,ROUNDUP(Simulador!$E$10/Simulador!$E$11*X$2,0)&lt;=Simulador!$E$12),
        ROUNDUP(Simulador!$E$10/Simulador!$E$11*X$2,0),
        IF(X$2&lt;=Simulador!$E$8,Simulador!$E$12,0)
    ),
    IF(X$2&lt;=Simulador!$E$11,
        IF(ROUNDUP(Simulador!$E$10/Simulador!$E$11*X$2,0)&lt;=Simulador!$E$12,
            ROUNDUP(Simulador!$E$10/Simulador!$E$11*X$2,0),
            0
        ),
        IF(ROUNDUP(Simulador!$E$10+(Simulador!$E$12-Simulador!$E$10)/(Simulador!$E$8-Simulador!$E$11)*(X$2-Simulador!$E$11),0)&lt;=Simulador!$E$12,
            IF(X$2&lt;=Simulador!$E$8,
                ROUNDUP(Simulador!$E$10+(Simulador!$E$12-Simulador!$E$10)/(Simulador!$E$8-Simulador!$E$11)*(X$2-Simulador!$E$11),0),
                0
            ),
            0
        )
    )
)</f>
        <v>25</v>
      </c>
      <c r="Y7" s="61">
        <f>IF(Simulador!$E$10=Simulador!$E$12,
    IF(AND(Y$2&lt;=Simulador!$E$11,ROUNDUP(Simulador!$E$10/Simulador!$E$11*Y$2,0)&lt;=Simulador!$E$12),
        ROUNDUP(Simulador!$E$10/Simulador!$E$11*Y$2,0),
        IF(Y$2&lt;=Simulador!$E$8,Simulador!$E$12,0)
    ),
    IF(Y$2&lt;=Simulador!$E$11,
        IF(ROUNDUP(Simulador!$E$10/Simulador!$E$11*Y$2,0)&lt;=Simulador!$E$12,
            ROUNDUP(Simulador!$E$10/Simulador!$E$11*Y$2,0),
            0
        ),
        IF(ROUNDUP(Simulador!$E$10+(Simulador!$E$12-Simulador!$E$10)/(Simulador!$E$8-Simulador!$E$11)*(Y$2-Simulador!$E$11),0)&lt;=Simulador!$E$12,
            IF(Y$2&lt;=Simulador!$E$8,
                ROUNDUP(Simulador!$E$10+(Simulador!$E$12-Simulador!$E$10)/(Simulador!$E$8-Simulador!$E$11)*(Y$2-Simulador!$E$11),0),
                0
            ),
            0
        )
    )
)</f>
        <v>25</v>
      </c>
      <c r="Z7" s="61">
        <f>IF(Simulador!$E$10=Simulador!$E$12,
    IF(AND(Z$2&lt;=Simulador!$E$11,ROUNDUP(Simulador!$E$10/Simulador!$E$11*Z$2,0)&lt;=Simulador!$E$12),
        ROUNDUP(Simulador!$E$10/Simulador!$E$11*Z$2,0),
        IF(Z$2&lt;=Simulador!$E$8,Simulador!$E$12,0)
    ),
    IF(Z$2&lt;=Simulador!$E$11,
        IF(ROUNDUP(Simulador!$E$10/Simulador!$E$11*Z$2,0)&lt;=Simulador!$E$12,
            ROUNDUP(Simulador!$E$10/Simulador!$E$11*Z$2,0),
            0
        ),
        IF(ROUNDUP(Simulador!$E$10+(Simulador!$E$12-Simulador!$E$10)/(Simulador!$E$8-Simulador!$E$11)*(Z$2-Simulador!$E$11),0)&lt;=Simulador!$E$12,
            IF(Z$2&lt;=Simulador!$E$8,
                ROUNDUP(Simulador!$E$10+(Simulador!$E$12-Simulador!$E$10)/(Simulador!$E$8-Simulador!$E$11)*(Z$2-Simulador!$E$11),0),
                0
            ),
            0
        )
    )
)</f>
        <v>25</v>
      </c>
      <c r="AA7" s="61">
        <f>IF(Simulador!$E$10=Simulador!$E$12,
    IF(AND(AA$2&lt;=Simulador!$E$11,ROUNDUP(Simulador!$E$10/Simulador!$E$11*AA$2,0)&lt;=Simulador!$E$12),
        ROUNDUP(Simulador!$E$10/Simulador!$E$11*AA$2,0),
        IF(AA$2&lt;=Simulador!$E$8,Simulador!$E$12,0)
    ),
    IF(AA$2&lt;=Simulador!$E$11,
        IF(ROUNDUP(Simulador!$E$10/Simulador!$E$11*AA$2,0)&lt;=Simulador!$E$12,
            ROUNDUP(Simulador!$E$10/Simulador!$E$11*AA$2,0),
            0
        ),
        IF(ROUNDUP(Simulador!$E$10+(Simulador!$E$12-Simulador!$E$10)/(Simulador!$E$8-Simulador!$E$11)*(AA$2-Simulador!$E$11),0)&lt;=Simulador!$E$12,
            IF(AA$2&lt;=Simulador!$E$8,
                ROUNDUP(Simulador!$E$10+(Simulador!$E$12-Simulador!$E$10)/(Simulador!$E$8-Simulador!$E$11)*(AA$2-Simulador!$E$11),0),
                0
            ),
            0
        )
    )
)</f>
        <v>25</v>
      </c>
      <c r="AB7" s="61">
        <f>IF(Simulador!$E$10=Simulador!$E$12,
    IF(AND(AB$2&lt;=Simulador!$E$11,ROUNDUP(Simulador!$E$10/Simulador!$E$11*AB$2,0)&lt;=Simulador!$E$12),
        ROUNDUP(Simulador!$E$10/Simulador!$E$11*AB$2,0),
        IF(AB$2&lt;=Simulador!$E$8,Simulador!$E$12,0)
    ),
    IF(AB$2&lt;=Simulador!$E$11,
        IF(ROUNDUP(Simulador!$E$10/Simulador!$E$11*AB$2,0)&lt;=Simulador!$E$12,
            ROUNDUP(Simulador!$E$10/Simulador!$E$11*AB$2,0),
            0
        ),
        IF(ROUNDUP(Simulador!$E$10+(Simulador!$E$12-Simulador!$E$10)/(Simulador!$E$8-Simulador!$E$11)*(AB$2-Simulador!$E$11),0)&lt;=Simulador!$E$12,
            IF(AB$2&lt;=Simulador!$E$8,
                ROUNDUP(Simulador!$E$10+(Simulador!$E$12-Simulador!$E$10)/(Simulador!$E$8-Simulador!$E$11)*(AB$2-Simulador!$E$11),0),
                0
            ),
            0
        )
    )
)</f>
        <v>25</v>
      </c>
      <c r="AC7" s="61">
        <f>IF(Simulador!$E$10=Simulador!$E$12,
    IF(AND(AC$2&lt;=Simulador!$E$11,ROUNDUP(Simulador!$E$10/Simulador!$E$11*AC$2,0)&lt;=Simulador!$E$12),
        ROUNDUP(Simulador!$E$10/Simulador!$E$11*AC$2,0),
        IF(AC$2&lt;=Simulador!$E$8,Simulador!$E$12,0)
    ),
    IF(AC$2&lt;=Simulador!$E$11,
        IF(ROUNDUP(Simulador!$E$10/Simulador!$E$11*AC$2,0)&lt;=Simulador!$E$12,
            ROUNDUP(Simulador!$E$10/Simulador!$E$11*AC$2,0),
            0
        ),
        IF(ROUNDUP(Simulador!$E$10+(Simulador!$E$12-Simulador!$E$10)/(Simulador!$E$8-Simulador!$E$11)*(AC$2-Simulador!$E$11),0)&lt;=Simulador!$E$12,
            IF(AC$2&lt;=Simulador!$E$8,
                ROUNDUP(Simulador!$E$10+(Simulador!$E$12-Simulador!$E$10)/(Simulador!$E$8-Simulador!$E$11)*(AC$2-Simulador!$E$11),0),
                0
            ),
            0
        )
    )
)</f>
        <v>25</v>
      </c>
      <c r="AD7" s="61">
        <f>IF(Simulador!$E$10=Simulador!$E$12,
    IF(AND(AD$2&lt;=Simulador!$E$11,ROUNDUP(Simulador!$E$10/Simulador!$E$11*AD$2,0)&lt;=Simulador!$E$12),
        ROUNDUP(Simulador!$E$10/Simulador!$E$11*AD$2,0),
        IF(AD$2&lt;=Simulador!$E$8,Simulador!$E$12,0)
    ),
    IF(AD$2&lt;=Simulador!$E$11,
        IF(ROUNDUP(Simulador!$E$10/Simulador!$E$11*AD$2,0)&lt;=Simulador!$E$12,
            ROUNDUP(Simulador!$E$10/Simulador!$E$11*AD$2,0),
            0
        ),
        IF(ROUNDUP(Simulador!$E$10+(Simulador!$E$12-Simulador!$E$10)/(Simulador!$E$8-Simulador!$E$11)*(AD$2-Simulador!$E$11),0)&lt;=Simulador!$E$12,
            IF(AD$2&lt;=Simulador!$E$8,
                ROUNDUP(Simulador!$E$10+(Simulador!$E$12-Simulador!$E$10)/(Simulador!$E$8-Simulador!$E$11)*(AD$2-Simulador!$E$11),0),
                0
            ),
            0
        )
    )
)</f>
        <v>25</v>
      </c>
      <c r="AE7" s="61">
        <f>IF(Simulador!$E$10=Simulador!$E$12,
    IF(AND(AE$2&lt;=Simulador!$E$11,ROUNDUP(Simulador!$E$10/Simulador!$E$11*AE$2,0)&lt;=Simulador!$E$12),
        ROUNDUP(Simulador!$E$10/Simulador!$E$11*AE$2,0),
        IF(AE$2&lt;=Simulador!$E$8,Simulador!$E$12,0)
    ),
    IF(AE$2&lt;=Simulador!$E$11,
        IF(ROUNDUP(Simulador!$E$10/Simulador!$E$11*AE$2,0)&lt;=Simulador!$E$12,
            ROUNDUP(Simulador!$E$10/Simulador!$E$11*AE$2,0),
            0
        ),
        IF(ROUNDUP(Simulador!$E$10+(Simulador!$E$12-Simulador!$E$10)/(Simulador!$E$8-Simulador!$E$11)*(AE$2-Simulador!$E$11),0)&lt;=Simulador!$E$12,
            IF(AE$2&lt;=Simulador!$E$8,
                ROUNDUP(Simulador!$E$10+(Simulador!$E$12-Simulador!$E$10)/(Simulador!$E$8-Simulador!$E$11)*(AE$2-Simulador!$E$11),0),
                0
            ),
            0
        )
    )
)</f>
        <v>25</v>
      </c>
      <c r="AF7" s="61">
        <f>IF(Simulador!$E$10=Simulador!$E$12,
    IF(AND(AF$2&lt;=Simulador!$E$11,ROUNDUP(Simulador!$E$10/Simulador!$E$11*AF$2,0)&lt;=Simulador!$E$12),
        ROUNDUP(Simulador!$E$10/Simulador!$E$11*AF$2,0),
        IF(AF$2&lt;=Simulador!$E$8,Simulador!$E$12,0)
    ),
    IF(AF$2&lt;=Simulador!$E$11,
        IF(ROUNDUP(Simulador!$E$10/Simulador!$E$11*AF$2,0)&lt;=Simulador!$E$12,
            ROUNDUP(Simulador!$E$10/Simulador!$E$11*AF$2,0),
            0
        ),
        IF(ROUNDUP(Simulador!$E$10+(Simulador!$E$12-Simulador!$E$10)/(Simulador!$E$8-Simulador!$E$11)*(AF$2-Simulador!$E$11),0)&lt;=Simulador!$E$12,
            IF(AF$2&lt;=Simulador!$E$8,
                ROUNDUP(Simulador!$E$10+(Simulador!$E$12-Simulador!$E$10)/(Simulador!$E$8-Simulador!$E$11)*(AF$2-Simulador!$E$11),0),
                0
            ),
            0
        )
    )
)</f>
        <v>25</v>
      </c>
      <c r="AG7" s="61">
        <f>IF(Simulador!$E$10=Simulador!$E$12,
    IF(AND(AG$2&lt;=Simulador!$E$11,ROUNDUP(Simulador!$E$10/Simulador!$E$11*AG$2,0)&lt;=Simulador!$E$12),
        ROUNDUP(Simulador!$E$10/Simulador!$E$11*AG$2,0),
        IF(AG$2&lt;=Simulador!$E$8,Simulador!$E$12,0)
    ),
    IF(AG$2&lt;=Simulador!$E$11,
        IF(ROUNDUP(Simulador!$E$10/Simulador!$E$11*AG$2,0)&lt;=Simulador!$E$12,
            ROUNDUP(Simulador!$E$10/Simulador!$E$11*AG$2,0),
            0
        ),
        IF(ROUNDUP(Simulador!$E$10+(Simulador!$E$12-Simulador!$E$10)/(Simulador!$E$8-Simulador!$E$11)*(AG$2-Simulador!$E$11),0)&lt;=Simulador!$E$12,
            IF(AG$2&lt;=Simulador!$E$8,
                ROUNDUP(Simulador!$E$10+(Simulador!$E$12-Simulador!$E$10)/(Simulador!$E$8-Simulador!$E$11)*(AG$2-Simulador!$E$11),0),
                0
            ),
            0
        )
    )
)</f>
        <v>25</v>
      </c>
      <c r="AH7" s="61">
        <f>IF(Simulador!$E$10=Simulador!$E$12,
    IF(AND(AH$2&lt;=Simulador!$E$11,ROUNDUP(Simulador!$E$10/Simulador!$E$11*AH$2,0)&lt;=Simulador!$E$12),
        ROUNDUP(Simulador!$E$10/Simulador!$E$11*AH$2,0),
        IF(AH$2&lt;=Simulador!$E$8,Simulador!$E$12,0)
    ),
    IF(AH$2&lt;=Simulador!$E$11,
        IF(ROUNDUP(Simulador!$E$10/Simulador!$E$11*AH$2,0)&lt;=Simulador!$E$12,
            ROUNDUP(Simulador!$E$10/Simulador!$E$11*AH$2,0),
            0
        ),
        IF(ROUNDUP(Simulador!$E$10+(Simulador!$E$12-Simulador!$E$10)/(Simulador!$E$8-Simulador!$E$11)*(AH$2-Simulador!$E$11),0)&lt;=Simulador!$E$12,
            IF(AH$2&lt;=Simulador!$E$8,
                ROUNDUP(Simulador!$E$10+(Simulador!$E$12-Simulador!$E$10)/(Simulador!$E$8-Simulador!$E$11)*(AH$2-Simulador!$E$11),0),
                0
            ),
            0
        )
    )
)</f>
        <v>25</v>
      </c>
      <c r="AI7" s="61">
        <f>IF(Simulador!$E$10=Simulador!$E$12,
    IF(AND(AI$2&lt;=Simulador!$E$11,ROUNDUP(Simulador!$E$10/Simulador!$E$11*AI$2,0)&lt;=Simulador!$E$12),
        ROUNDUP(Simulador!$E$10/Simulador!$E$11*AI$2,0),
        IF(AI$2&lt;=Simulador!$E$8,Simulador!$E$12,0)
    ),
    IF(AI$2&lt;=Simulador!$E$11,
        IF(ROUNDUP(Simulador!$E$10/Simulador!$E$11*AI$2,0)&lt;=Simulador!$E$12,
            ROUNDUP(Simulador!$E$10/Simulador!$E$11*AI$2,0),
            0
        ),
        IF(ROUNDUP(Simulador!$E$10+(Simulador!$E$12-Simulador!$E$10)/(Simulador!$E$8-Simulador!$E$11)*(AI$2-Simulador!$E$11),0)&lt;=Simulador!$E$12,
            IF(AI$2&lt;=Simulador!$E$8,
                ROUNDUP(Simulador!$E$10+(Simulador!$E$12-Simulador!$E$10)/(Simulador!$E$8-Simulador!$E$11)*(AI$2-Simulador!$E$11),0),
                0
            ),
            0
        )
    )
)</f>
        <v>25</v>
      </c>
      <c r="AJ7" s="61">
        <f>IF(Simulador!$E$10=Simulador!$E$12,
    IF(AND(AJ$2&lt;=Simulador!$E$11,ROUNDUP(Simulador!$E$10/Simulador!$E$11*AJ$2,0)&lt;=Simulador!$E$12),
        ROUNDUP(Simulador!$E$10/Simulador!$E$11*AJ$2,0),
        IF(AJ$2&lt;=Simulador!$E$8,Simulador!$E$12,0)
    ),
    IF(AJ$2&lt;=Simulador!$E$11,
        IF(ROUNDUP(Simulador!$E$10/Simulador!$E$11*AJ$2,0)&lt;=Simulador!$E$12,
            ROUNDUP(Simulador!$E$10/Simulador!$E$11*AJ$2,0),
            0
        ),
        IF(ROUNDUP(Simulador!$E$10+(Simulador!$E$12-Simulador!$E$10)/(Simulador!$E$8-Simulador!$E$11)*(AJ$2-Simulador!$E$11),0)&lt;=Simulador!$E$12,
            IF(AJ$2&lt;=Simulador!$E$8,
                ROUNDUP(Simulador!$E$10+(Simulador!$E$12-Simulador!$E$10)/(Simulador!$E$8-Simulador!$E$11)*(AJ$2-Simulador!$E$11),0),
                0
            ),
            0
        )
    )
)</f>
        <v>25</v>
      </c>
      <c r="AK7" s="61">
        <f>IF(Simulador!$E$10=Simulador!$E$12,
    IF(AND(AK$2&lt;=Simulador!$E$11,ROUNDUP(Simulador!$E$10/Simulador!$E$11*AK$2,0)&lt;=Simulador!$E$12),
        ROUNDUP(Simulador!$E$10/Simulador!$E$11*AK$2,0),
        IF(AK$2&lt;=Simulador!$E$8,Simulador!$E$12,0)
    ),
    IF(AK$2&lt;=Simulador!$E$11,
        IF(ROUNDUP(Simulador!$E$10/Simulador!$E$11*AK$2,0)&lt;=Simulador!$E$12,
            ROUNDUP(Simulador!$E$10/Simulador!$E$11*AK$2,0),
            0
        ),
        IF(ROUNDUP(Simulador!$E$10+(Simulador!$E$12-Simulador!$E$10)/(Simulador!$E$8-Simulador!$E$11)*(AK$2-Simulador!$E$11),0)&lt;=Simulador!$E$12,
            IF(AK$2&lt;=Simulador!$E$8,
                ROUNDUP(Simulador!$E$10+(Simulador!$E$12-Simulador!$E$10)/(Simulador!$E$8-Simulador!$E$11)*(AK$2-Simulador!$E$11),0),
                0
            ),
            0
        )
    )
)</f>
        <v>25</v>
      </c>
      <c r="AL7" s="61">
        <f>IF(Simulador!$E$10=Simulador!$E$12,
    IF(AND(AL$2&lt;=Simulador!$E$11,ROUNDUP(Simulador!$E$10/Simulador!$E$11*AL$2,0)&lt;=Simulador!$E$12),
        ROUNDUP(Simulador!$E$10/Simulador!$E$11*AL$2,0),
        IF(AL$2&lt;=Simulador!$E$8,Simulador!$E$12,0)
    ),
    IF(AL$2&lt;=Simulador!$E$11,
        IF(ROUNDUP(Simulador!$E$10/Simulador!$E$11*AL$2,0)&lt;=Simulador!$E$12,
            ROUNDUP(Simulador!$E$10/Simulador!$E$11*AL$2,0),
            0
        ),
        IF(ROUNDUP(Simulador!$E$10+(Simulador!$E$12-Simulador!$E$10)/(Simulador!$E$8-Simulador!$E$11)*(AL$2-Simulador!$E$11),0)&lt;=Simulador!$E$12,
            IF(AL$2&lt;=Simulador!$E$8,
                ROUNDUP(Simulador!$E$10+(Simulador!$E$12-Simulador!$E$10)/(Simulador!$E$8-Simulador!$E$11)*(AL$2-Simulador!$E$11),0),
                0
            ),
            0
        )
    )
)</f>
        <v>25</v>
      </c>
      <c r="AM7" s="61">
        <f>IF(Simulador!$E$10=Simulador!$E$12,
    IF(AND(AM$2&lt;=Simulador!$E$11,ROUNDUP(Simulador!$E$10/Simulador!$E$11*AM$2,0)&lt;=Simulador!$E$12),
        ROUNDUP(Simulador!$E$10/Simulador!$E$11*AM$2,0),
        IF(AM$2&lt;=Simulador!$E$8,Simulador!$E$12,0)
    ),
    IF(AM$2&lt;=Simulador!$E$11,
        IF(ROUNDUP(Simulador!$E$10/Simulador!$E$11*AM$2,0)&lt;=Simulador!$E$12,
            ROUNDUP(Simulador!$E$10/Simulador!$E$11*AM$2,0),
            0
        ),
        IF(ROUNDUP(Simulador!$E$10+(Simulador!$E$12-Simulador!$E$10)/(Simulador!$E$8-Simulador!$E$11)*(AM$2-Simulador!$E$11),0)&lt;=Simulador!$E$12,
            IF(AM$2&lt;=Simulador!$E$8,
                ROUNDUP(Simulador!$E$10+(Simulador!$E$12-Simulador!$E$10)/(Simulador!$E$8-Simulador!$E$11)*(AM$2-Simulador!$E$11),0),
                0
            ),
            0
        )
    )
)</f>
        <v>25</v>
      </c>
      <c r="AN7" s="61">
        <f>IF(Simulador!$E$10=Simulador!$E$12,
    IF(AND(AN$2&lt;=Simulador!$E$11,ROUNDUP(Simulador!$E$10/Simulador!$E$11*AN$2,0)&lt;=Simulador!$E$12),
        ROUNDUP(Simulador!$E$10/Simulador!$E$11*AN$2,0),
        IF(AN$2&lt;=Simulador!$E$8,Simulador!$E$12,0)
    ),
    IF(AN$2&lt;=Simulador!$E$11,
        IF(ROUNDUP(Simulador!$E$10/Simulador!$E$11*AN$2,0)&lt;=Simulador!$E$12,
            ROUNDUP(Simulador!$E$10/Simulador!$E$11*AN$2,0),
            0
        ),
        IF(ROUNDUP(Simulador!$E$10+(Simulador!$E$12-Simulador!$E$10)/(Simulador!$E$8-Simulador!$E$11)*(AN$2-Simulador!$E$11),0)&lt;=Simulador!$E$12,
            IF(AN$2&lt;=Simulador!$E$8,
                ROUNDUP(Simulador!$E$10+(Simulador!$E$12-Simulador!$E$10)/(Simulador!$E$8-Simulador!$E$11)*(AN$2-Simulador!$E$11),0),
                0
            ),
            0
        )
    )
)</f>
        <v>25</v>
      </c>
      <c r="AO7" s="61">
        <f>IF(Simulador!$E$10=Simulador!$E$12,
    IF(AND(AO$2&lt;=Simulador!$E$11,ROUNDUP(Simulador!$E$10/Simulador!$E$11*AO$2,0)&lt;=Simulador!$E$12),
        ROUNDUP(Simulador!$E$10/Simulador!$E$11*AO$2,0),
        IF(AO$2&lt;=Simulador!$E$8,Simulador!$E$12,0)
    ),
    IF(AO$2&lt;=Simulador!$E$11,
        IF(ROUNDUP(Simulador!$E$10/Simulador!$E$11*AO$2,0)&lt;=Simulador!$E$12,
            ROUNDUP(Simulador!$E$10/Simulador!$E$11*AO$2,0),
            0
        ),
        IF(ROUNDUP(Simulador!$E$10+(Simulador!$E$12-Simulador!$E$10)/(Simulador!$E$8-Simulador!$E$11)*(AO$2-Simulador!$E$11),0)&lt;=Simulador!$E$12,
            IF(AO$2&lt;=Simulador!$E$8,
                ROUNDUP(Simulador!$E$10+(Simulador!$E$12-Simulador!$E$10)/(Simulador!$E$8-Simulador!$E$11)*(AO$2-Simulador!$E$11),0),
                0
            ),
            0
        )
    )
)</f>
        <v>25</v>
      </c>
      <c r="AP7" s="61">
        <f>IF(Simulador!$E$10=Simulador!$E$12,
    IF(AND(AP$2&lt;=Simulador!$E$11,ROUNDUP(Simulador!$E$10/Simulador!$E$11*AP$2,0)&lt;=Simulador!$E$12),
        ROUNDUP(Simulador!$E$10/Simulador!$E$11*AP$2,0),
        IF(AP$2&lt;=Simulador!$E$8,Simulador!$E$12,0)
    ),
    IF(AP$2&lt;=Simulador!$E$11,
        IF(ROUNDUP(Simulador!$E$10/Simulador!$E$11*AP$2,0)&lt;=Simulador!$E$12,
            ROUNDUP(Simulador!$E$10/Simulador!$E$11*AP$2,0),
            0
        ),
        IF(ROUNDUP(Simulador!$E$10+(Simulador!$E$12-Simulador!$E$10)/(Simulador!$E$8-Simulador!$E$11)*(AP$2-Simulador!$E$11),0)&lt;=Simulador!$E$12,
            IF(AP$2&lt;=Simulador!$E$8,
                ROUNDUP(Simulador!$E$10+(Simulador!$E$12-Simulador!$E$10)/(Simulador!$E$8-Simulador!$E$11)*(AP$2-Simulador!$E$11),0),
                0
            ),
            0
        )
    )
)</f>
        <v>25</v>
      </c>
      <c r="AQ7" s="61">
        <f>IF(Simulador!$E$10=Simulador!$E$12,
    IF(AND(AQ$2&lt;=Simulador!$E$11,ROUNDUP(Simulador!$E$10/Simulador!$E$11*AQ$2,0)&lt;=Simulador!$E$12),
        ROUNDUP(Simulador!$E$10/Simulador!$E$11*AQ$2,0),
        IF(AQ$2&lt;=Simulador!$E$8,Simulador!$E$12,0)
    ),
    IF(AQ$2&lt;=Simulador!$E$11,
        IF(ROUNDUP(Simulador!$E$10/Simulador!$E$11*AQ$2,0)&lt;=Simulador!$E$12,
            ROUNDUP(Simulador!$E$10/Simulador!$E$11*AQ$2,0),
            0
        ),
        IF(ROUNDUP(Simulador!$E$10+(Simulador!$E$12-Simulador!$E$10)/(Simulador!$E$8-Simulador!$E$11)*(AQ$2-Simulador!$E$11),0)&lt;=Simulador!$E$12,
            IF(AQ$2&lt;=Simulador!$E$8,
                ROUNDUP(Simulador!$E$10+(Simulador!$E$12-Simulador!$E$10)/(Simulador!$E$8-Simulador!$E$11)*(AQ$2-Simulador!$E$11),0),
                0
            ),
            0
        )
    )
)</f>
        <v>25</v>
      </c>
      <c r="AR7" s="61">
        <f>IF(Simulador!$E$10=Simulador!$E$12,
    IF(AND(AR$2&lt;=Simulador!$E$11,ROUNDUP(Simulador!$E$10/Simulador!$E$11*AR$2,0)&lt;=Simulador!$E$12),
        ROUNDUP(Simulador!$E$10/Simulador!$E$11*AR$2,0),
        IF(AR$2&lt;=Simulador!$E$8,Simulador!$E$12,0)
    ),
    IF(AR$2&lt;=Simulador!$E$11,
        IF(ROUNDUP(Simulador!$E$10/Simulador!$E$11*AR$2,0)&lt;=Simulador!$E$12,
            ROUNDUP(Simulador!$E$10/Simulador!$E$11*AR$2,0),
            0
        ),
        IF(ROUNDUP(Simulador!$E$10+(Simulador!$E$12-Simulador!$E$10)/(Simulador!$E$8-Simulador!$E$11)*(AR$2-Simulador!$E$11),0)&lt;=Simulador!$E$12,
            IF(AR$2&lt;=Simulador!$E$8,
                ROUNDUP(Simulador!$E$10+(Simulador!$E$12-Simulador!$E$10)/(Simulador!$E$8-Simulador!$E$11)*(AR$2-Simulador!$E$11),0),
                0
            ),
            0
        )
    )
)</f>
        <v>25</v>
      </c>
      <c r="AS7" s="61">
        <f>IF(Simulador!$E$10=Simulador!$E$12,
    IF(AND(AS$2&lt;=Simulador!$E$11,ROUNDUP(Simulador!$E$10/Simulador!$E$11*AS$2,0)&lt;=Simulador!$E$12),
        ROUNDUP(Simulador!$E$10/Simulador!$E$11*AS$2,0),
        IF(AS$2&lt;=Simulador!$E$8,Simulador!$E$12,0)
    ),
    IF(AS$2&lt;=Simulador!$E$11,
        IF(ROUNDUP(Simulador!$E$10/Simulador!$E$11*AS$2,0)&lt;=Simulador!$E$12,
            ROUNDUP(Simulador!$E$10/Simulador!$E$11*AS$2,0),
            0
        ),
        IF(ROUNDUP(Simulador!$E$10+(Simulador!$E$12-Simulador!$E$10)/(Simulador!$E$8-Simulador!$E$11)*(AS$2-Simulador!$E$11),0)&lt;=Simulador!$E$12,
            IF(AS$2&lt;=Simulador!$E$8,
                ROUNDUP(Simulador!$E$10+(Simulador!$E$12-Simulador!$E$10)/(Simulador!$E$8-Simulador!$E$11)*(AS$2-Simulador!$E$11),0),
                0
            ),
            0
        )
    )
)</f>
        <v>25</v>
      </c>
      <c r="AT7" s="61">
        <f>IF(Simulador!$E$10=Simulador!$E$12,
    IF(AND(AT$2&lt;=Simulador!$E$11,ROUNDUP(Simulador!$E$10/Simulador!$E$11*AT$2,0)&lt;=Simulador!$E$12),
        ROUNDUP(Simulador!$E$10/Simulador!$E$11*AT$2,0),
        IF(AT$2&lt;=Simulador!$E$8,Simulador!$E$12,0)
    ),
    IF(AT$2&lt;=Simulador!$E$11,
        IF(ROUNDUP(Simulador!$E$10/Simulador!$E$11*AT$2,0)&lt;=Simulador!$E$12,
            ROUNDUP(Simulador!$E$10/Simulador!$E$11*AT$2,0),
            0
        ),
        IF(ROUNDUP(Simulador!$E$10+(Simulador!$E$12-Simulador!$E$10)/(Simulador!$E$8-Simulador!$E$11)*(AT$2-Simulador!$E$11),0)&lt;=Simulador!$E$12,
            IF(AT$2&lt;=Simulador!$E$8,
                ROUNDUP(Simulador!$E$10+(Simulador!$E$12-Simulador!$E$10)/(Simulador!$E$8-Simulador!$E$11)*(AT$2-Simulador!$E$11),0),
                0
            ),
            0
        )
    )
)</f>
        <v>25</v>
      </c>
      <c r="AU7" s="61">
        <f>IF(Simulador!$E$10=Simulador!$E$12,
    IF(AND(AU$2&lt;=Simulador!$E$11,ROUNDUP(Simulador!$E$10/Simulador!$E$11*AU$2,0)&lt;=Simulador!$E$12),
        ROUNDUP(Simulador!$E$10/Simulador!$E$11*AU$2,0),
        IF(AU$2&lt;=Simulador!$E$8,Simulador!$E$12,0)
    ),
    IF(AU$2&lt;=Simulador!$E$11,
        IF(ROUNDUP(Simulador!$E$10/Simulador!$E$11*AU$2,0)&lt;=Simulador!$E$12,
            ROUNDUP(Simulador!$E$10/Simulador!$E$11*AU$2,0),
            0
        ),
        IF(ROUNDUP(Simulador!$E$10+(Simulador!$E$12-Simulador!$E$10)/(Simulador!$E$8-Simulador!$E$11)*(AU$2-Simulador!$E$11),0)&lt;=Simulador!$E$12,
            IF(AU$2&lt;=Simulador!$E$8,
                ROUNDUP(Simulador!$E$10+(Simulador!$E$12-Simulador!$E$10)/(Simulador!$E$8-Simulador!$E$11)*(AU$2-Simulador!$E$11),0),
                0
            ),
            0
        )
    )
)</f>
        <v>25</v>
      </c>
      <c r="AV7" s="61">
        <f>IF(Simulador!$E$10=Simulador!$E$12,
    IF(AND(AV$2&lt;=Simulador!$E$11,ROUNDUP(Simulador!$E$10/Simulador!$E$11*AV$2,0)&lt;=Simulador!$E$12),
        ROUNDUP(Simulador!$E$10/Simulador!$E$11*AV$2,0),
        IF(AV$2&lt;=Simulador!$E$8,Simulador!$E$12,0)
    ),
    IF(AV$2&lt;=Simulador!$E$11,
        IF(ROUNDUP(Simulador!$E$10/Simulador!$E$11*AV$2,0)&lt;=Simulador!$E$12,
            ROUNDUP(Simulador!$E$10/Simulador!$E$11*AV$2,0),
            0
        ),
        IF(ROUNDUP(Simulador!$E$10+(Simulador!$E$12-Simulador!$E$10)/(Simulador!$E$8-Simulador!$E$11)*(AV$2-Simulador!$E$11),0)&lt;=Simulador!$E$12,
            IF(AV$2&lt;=Simulador!$E$8,
                ROUNDUP(Simulador!$E$10+(Simulador!$E$12-Simulador!$E$10)/(Simulador!$E$8-Simulador!$E$11)*(AV$2-Simulador!$E$11),0),
                0
            ),
            0
        )
    )
)</f>
        <v>25</v>
      </c>
      <c r="AW7" s="61">
        <f>IF(Simulador!$E$10=Simulador!$E$12,
    IF(AND(AW$2&lt;=Simulador!$E$11,ROUNDUP(Simulador!$E$10/Simulador!$E$11*AW$2,0)&lt;=Simulador!$E$12),
        ROUNDUP(Simulador!$E$10/Simulador!$E$11*AW$2,0),
        IF(AW$2&lt;=Simulador!$E$8,Simulador!$E$12,0)
    ),
    IF(AW$2&lt;=Simulador!$E$11,
        IF(ROUNDUP(Simulador!$E$10/Simulador!$E$11*AW$2,0)&lt;=Simulador!$E$12,
            ROUNDUP(Simulador!$E$10/Simulador!$E$11*AW$2,0),
            0
        ),
        IF(ROUNDUP(Simulador!$E$10+(Simulador!$E$12-Simulador!$E$10)/(Simulador!$E$8-Simulador!$E$11)*(AW$2-Simulador!$E$11),0)&lt;=Simulador!$E$12,
            IF(AW$2&lt;=Simulador!$E$8,
                ROUNDUP(Simulador!$E$10+(Simulador!$E$12-Simulador!$E$10)/(Simulador!$E$8-Simulador!$E$11)*(AW$2-Simulador!$E$11),0),
                0
            ),
            0
        )
    )
)</f>
        <v>25</v>
      </c>
      <c r="AX7" s="61">
        <f>IF(Simulador!$E$10=Simulador!$E$12,
    IF(AND(AX$2&lt;=Simulador!$E$11,ROUNDUP(Simulador!$E$10/Simulador!$E$11*AX$2,0)&lt;=Simulador!$E$12),
        ROUNDUP(Simulador!$E$10/Simulador!$E$11*AX$2,0),
        IF(AX$2&lt;=Simulador!$E$8,Simulador!$E$12,0)
    ),
    IF(AX$2&lt;=Simulador!$E$11,
        IF(ROUNDUP(Simulador!$E$10/Simulador!$E$11*AX$2,0)&lt;=Simulador!$E$12,
            ROUNDUP(Simulador!$E$10/Simulador!$E$11*AX$2,0),
            0
        ),
        IF(ROUNDUP(Simulador!$E$10+(Simulador!$E$12-Simulador!$E$10)/(Simulador!$E$8-Simulador!$E$11)*(AX$2-Simulador!$E$11),0)&lt;=Simulador!$E$12,
            IF(AX$2&lt;=Simulador!$E$8,
                ROUNDUP(Simulador!$E$10+(Simulador!$E$12-Simulador!$E$10)/(Simulador!$E$8-Simulador!$E$11)*(AX$2-Simulador!$E$11),0),
                0
            ),
            0
        )
    )
)</f>
        <v>25</v>
      </c>
      <c r="AY7" s="61">
        <f>IF(Simulador!$E$10=Simulador!$E$12,
    IF(AND(AY$2&lt;=Simulador!$E$11,ROUNDUP(Simulador!$E$10/Simulador!$E$11*AY$2,0)&lt;=Simulador!$E$12),
        ROUNDUP(Simulador!$E$10/Simulador!$E$11*AY$2,0),
        IF(AY$2&lt;=Simulador!$E$8,Simulador!$E$12,0)
    ),
    IF(AY$2&lt;=Simulador!$E$11,
        IF(ROUNDUP(Simulador!$E$10/Simulador!$E$11*AY$2,0)&lt;=Simulador!$E$12,
            ROUNDUP(Simulador!$E$10/Simulador!$E$11*AY$2,0),
            0
        ),
        IF(ROUNDUP(Simulador!$E$10+(Simulador!$E$12-Simulador!$E$10)/(Simulador!$E$8-Simulador!$E$11)*(AY$2-Simulador!$E$11),0)&lt;=Simulador!$E$12,
            IF(AY$2&lt;=Simulador!$E$8,
                ROUNDUP(Simulador!$E$10+(Simulador!$E$12-Simulador!$E$10)/(Simulador!$E$8-Simulador!$E$11)*(AY$2-Simulador!$E$11),0),
                0
            ),
            0
        )
    )
)</f>
        <v>25</v>
      </c>
      <c r="AZ7" s="61">
        <f>IF(Simulador!$E$10=Simulador!$E$12,
    IF(AND(AZ$2&lt;=Simulador!$E$11,ROUNDUP(Simulador!$E$10/Simulador!$E$11*AZ$2,0)&lt;=Simulador!$E$12),
        ROUNDUP(Simulador!$E$10/Simulador!$E$11*AZ$2,0),
        IF(AZ$2&lt;=Simulador!$E$8,Simulador!$E$12,0)
    ),
    IF(AZ$2&lt;=Simulador!$E$11,
        IF(ROUNDUP(Simulador!$E$10/Simulador!$E$11*AZ$2,0)&lt;=Simulador!$E$12,
            ROUNDUP(Simulador!$E$10/Simulador!$E$11*AZ$2,0),
            0
        ),
        IF(ROUNDUP(Simulador!$E$10+(Simulador!$E$12-Simulador!$E$10)/(Simulador!$E$8-Simulador!$E$11)*(AZ$2-Simulador!$E$11),0)&lt;=Simulador!$E$12,
            IF(AZ$2&lt;=Simulador!$E$8,
                ROUNDUP(Simulador!$E$10+(Simulador!$E$12-Simulador!$E$10)/(Simulador!$E$8-Simulador!$E$11)*(AZ$2-Simulador!$E$11),0),
                0
            ),
            0
        )
    )
)</f>
        <v>25</v>
      </c>
      <c r="BA7" s="61">
        <f>IF(Simulador!$E$10=Simulador!$E$12,
    IF(AND(BA$2&lt;=Simulador!$E$11,ROUNDUP(Simulador!$E$10/Simulador!$E$11*BA$2,0)&lt;=Simulador!$E$12),
        ROUNDUP(Simulador!$E$10/Simulador!$E$11*BA$2,0),
        IF(BA$2&lt;=Simulador!$E$8,Simulador!$E$12,0)
    ),
    IF(BA$2&lt;=Simulador!$E$11,
        IF(ROUNDUP(Simulador!$E$10/Simulador!$E$11*BA$2,0)&lt;=Simulador!$E$12,
            ROUNDUP(Simulador!$E$10/Simulador!$E$11*BA$2,0),
            0
        ),
        IF(ROUNDUP(Simulador!$E$10+(Simulador!$E$12-Simulador!$E$10)/(Simulador!$E$8-Simulador!$E$11)*(BA$2-Simulador!$E$11),0)&lt;=Simulador!$E$12,
            IF(BA$2&lt;=Simulador!$E$8,
                ROUNDUP(Simulador!$E$10+(Simulador!$E$12-Simulador!$E$10)/(Simulador!$E$8-Simulador!$E$11)*(BA$2-Simulador!$E$11),0),
                0
            ),
            0
        )
    )
)</f>
        <v>25</v>
      </c>
      <c r="BB7" s="61">
        <f>IF(Simulador!$E$10=Simulador!$E$12,
    IF(AND(BB$2&lt;=Simulador!$E$11,ROUNDUP(Simulador!$E$10/Simulador!$E$11*BB$2,0)&lt;=Simulador!$E$12),
        ROUNDUP(Simulador!$E$10/Simulador!$E$11*BB$2,0),
        IF(BB$2&lt;=Simulador!$E$8,Simulador!$E$12,0)
    ),
    IF(BB$2&lt;=Simulador!$E$11,
        IF(ROUNDUP(Simulador!$E$10/Simulador!$E$11*BB$2,0)&lt;=Simulador!$E$12,
            ROUNDUP(Simulador!$E$10/Simulador!$E$11*BB$2,0),
            0
        ),
        IF(ROUNDUP(Simulador!$E$10+(Simulador!$E$12-Simulador!$E$10)/(Simulador!$E$8-Simulador!$E$11)*(BB$2-Simulador!$E$11),0)&lt;=Simulador!$E$12,
            IF(BB$2&lt;=Simulador!$E$8,
                ROUNDUP(Simulador!$E$10+(Simulador!$E$12-Simulador!$E$10)/(Simulador!$E$8-Simulador!$E$11)*(BB$2-Simulador!$E$11),0),
                0
            ),
            0
        )
    )
)</f>
        <v>25</v>
      </c>
      <c r="BC7" s="61">
        <f>IF(Simulador!$E$10=Simulador!$E$12,
    IF(AND(BC$2&lt;=Simulador!$E$11,ROUNDUP(Simulador!$E$10/Simulador!$E$11*BC$2,0)&lt;=Simulador!$E$12),
        ROUNDUP(Simulador!$E$10/Simulador!$E$11*BC$2,0),
        IF(BC$2&lt;=Simulador!$E$8,Simulador!$E$12,0)
    ),
    IF(BC$2&lt;=Simulador!$E$11,
        IF(ROUNDUP(Simulador!$E$10/Simulador!$E$11*BC$2,0)&lt;=Simulador!$E$12,
            ROUNDUP(Simulador!$E$10/Simulador!$E$11*BC$2,0),
            0
        ),
        IF(ROUNDUP(Simulador!$E$10+(Simulador!$E$12-Simulador!$E$10)/(Simulador!$E$8-Simulador!$E$11)*(BC$2-Simulador!$E$11),0)&lt;=Simulador!$E$12,
            IF(BC$2&lt;=Simulador!$E$8,
                ROUNDUP(Simulador!$E$10+(Simulador!$E$12-Simulador!$E$10)/(Simulador!$E$8-Simulador!$E$11)*(BC$2-Simulador!$E$11),0),
                0
            ),
            0
        )
    )
)</f>
        <v>25</v>
      </c>
      <c r="BD7" s="61">
        <f>IF(Simulador!$E$10=Simulador!$E$12,
    IF(AND(BD$2&lt;=Simulador!$E$11,ROUNDUP(Simulador!$E$10/Simulador!$E$11*BD$2,0)&lt;=Simulador!$E$12),
        ROUNDUP(Simulador!$E$10/Simulador!$E$11*BD$2,0),
        IF(BD$2&lt;=Simulador!$E$8,Simulador!$E$12,0)
    ),
    IF(BD$2&lt;=Simulador!$E$11,
        IF(ROUNDUP(Simulador!$E$10/Simulador!$E$11*BD$2,0)&lt;=Simulador!$E$12,
            ROUNDUP(Simulador!$E$10/Simulador!$E$11*BD$2,0),
            0
        ),
        IF(ROUNDUP(Simulador!$E$10+(Simulador!$E$12-Simulador!$E$10)/(Simulador!$E$8-Simulador!$E$11)*(BD$2-Simulador!$E$11),0)&lt;=Simulador!$E$12,
            IF(BD$2&lt;=Simulador!$E$8,
                ROUNDUP(Simulador!$E$10+(Simulador!$E$12-Simulador!$E$10)/(Simulador!$E$8-Simulador!$E$11)*(BD$2-Simulador!$E$11),0),
                0
            ),
            0
        )
    )
)</f>
        <v>25</v>
      </c>
      <c r="BE7" s="61">
        <f>IF(Simulador!$E$10=Simulador!$E$12,
    IF(AND(BE$2&lt;=Simulador!$E$11,ROUNDUP(Simulador!$E$10/Simulador!$E$11*BE$2,0)&lt;=Simulador!$E$12),
        ROUNDUP(Simulador!$E$10/Simulador!$E$11*BE$2,0),
        IF(BE$2&lt;=Simulador!$E$8,Simulador!$E$12,0)
    ),
    IF(BE$2&lt;=Simulador!$E$11,
        IF(ROUNDUP(Simulador!$E$10/Simulador!$E$11*BE$2,0)&lt;=Simulador!$E$12,
            ROUNDUP(Simulador!$E$10/Simulador!$E$11*BE$2,0),
            0
        ),
        IF(ROUNDUP(Simulador!$E$10+(Simulador!$E$12-Simulador!$E$10)/(Simulador!$E$8-Simulador!$E$11)*(BE$2-Simulador!$E$11),0)&lt;=Simulador!$E$12,
            IF(BE$2&lt;=Simulador!$E$8,
                ROUNDUP(Simulador!$E$10+(Simulador!$E$12-Simulador!$E$10)/(Simulador!$E$8-Simulador!$E$11)*(BE$2-Simulador!$E$11),0),
                0
            ),
            0
        )
    )
)</f>
        <v>25</v>
      </c>
      <c r="BF7" s="61">
        <f>IF(Simulador!$E$10=Simulador!$E$12,
    IF(AND(BF$2&lt;=Simulador!$E$11,ROUNDUP(Simulador!$E$10/Simulador!$E$11*BF$2,0)&lt;=Simulador!$E$12),
        ROUNDUP(Simulador!$E$10/Simulador!$E$11*BF$2,0),
        IF(BF$2&lt;=Simulador!$E$8,Simulador!$E$12,0)
    ),
    IF(BF$2&lt;=Simulador!$E$11,
        IF(ROUNDUP(Simulador!$E$10/Simulador!$E$11*BF$2,0)&lt;=Simulador!$E$12,
            ROUNDUP(Simulador!$E$10/Simulador!$E$11*BF$2,0),
            0
        ),
        IF(ROUNDUP(Simulador!$E$10+(Simulador!$E$12-Simulador!$E$10)/(Simulador!$E$8-Simulador!$E$11)*(BF$2-Simulador!$E$11),0)&lt;=Simulador!$E$12,
            IF(BF$2&lt;=Simulador!$E$8,
                ROUNDUP(Simulador!$E$10+(Simulador!$E$12-Simulador!$E$10)/(Simulador!$E$8-Simulador!$E$11)*(BF$2-Simulador!$E$11),0),
                0
            ),
            0
        )
    )
)</f>
        <v>25</v>
      </c>
      <c r="BG7" s="61">
        <f>IF(Simulador!$E$10=Simulador!$E$12,
    IF(AND(BG$2&lt;=Simulador!$E$11,ROUNDUP(Simulador!$E$10/Simulador!$E$11*BG$2,0)&lt;=Simulador!$E$12),
        ROUNDUP(Simulador!$E$10/Simulador!$E$11*BG$2,0),
        IF(BG$2&lt;=Simulador!$E$8,Simulador!$E$12,0)
    ),
    IF(BG$2&lt;=Simulador!$E$11,
        IF(ROUNDUP(Simulador!$E$10/Simulador!$E$11*BG$2,0)&lt;=Simulador!$E$12,
            ROUNDUP(Simulador!$E$10/Simulador!$E$11*BG$2,0),
            0
        ),
        IF(ROUNDUP(Simulador!$E$10+(Simulador!$E$12-Simulador!$E$10)/(Simulador!$E$8-Simulador!$E$11)*(BG$2-Simulador!$E$11),0)&lt;=Simulador!$E$12,
            IF(BG$2&lt;=Simulador!$E$8,
                ROUNDUP(Simulador!$E$10+(Simulador!$E$12-Simulador!$E$10)/(Simulador!$E$8-Simulador!$E$11)*(BG$2-Simulador!$E$11),0),
                0
            ),
            0
        )
    )
)</f>
        <v>25</v>
      </c>
      <c r="BH7" s="61">
        <f>IF(Simulador!$E$10=Simulador!$E$12,
    IF(AND(BH$2&lt;=Simulador!$E$11,ROUNDUP(Simulador!$E$10/Simulador!$E$11*BH$2,0)&lt;=Simulador!$E$12),
        ROUNDUP(Simulador!$E$10/Simulador!$E$11*BH$2,0),
        IF(BH$2&lt;=Simulador!$E$8,Simulador!$E$12,0)
    ),
    IF(BH$2&lt;=Simulador!$E$11,
        IF(ROUNDUP(Simulador!$E$10/Simulador!$E$11*BH$2,0)&lt;=Simulador!$E$12,
            ROUNDUP(Simulador!$E$10/Simulador!$E$11*BH$2,0),
            0
        ),
        IF(ROUNDUP(Simulador!$E$10+(Simulador!$E$12-Simulador!$E$10)/(Simulador!$E$8-Simulador!$E$11)*(BH$2-Simulador!$E$11),0)&lt;=Simulador!$E$12,
            IF(BH$2&lt;=Simulador!$E$8,
                ROUNDUP(Simulador!$E$10+(Simulador!$E$12-Simulador!$E$10)/(Simulador!$E$8-Simulador!$E$11)*(BH$2-Simulador!$E$11),0),
                0
            ),
            0
        )
    )
)</f>
        <v>25</v>
      </c>
      <c r="BI7" s="61">
        <f>IF(Simulador!$E$10=Simulador!$E$12,
    IF(AND(BI$2&lt;=Simulador!$E$11,ROUNDUP(Simulador!$E$10/Simulador!$E$11*BI$2,0)&lt;=Simulador!$E$12),
        ROUNDUP(Simulador!$E$10/Simulador!$E$11*BI$2,0),
        IF(BI$2&lt;=Simulador!$E$8,Simulador!$E$12,0)
    ),
    IF(BI$2&lt;=Simulador!$E$11,
        IF(ROUNDUP(Simulador!$E$10/Simulador!$E$11*BI$2,0)&lt;=Simulador!$E$12,
            ROUNDUP(Simulador!$E$10/Simulador!$E$11*BI$2,0),
            0
        ),
        IF(ROUNDUP(Simulador!$E$10+(Simulador!$E$12-Simulador!$E$10)/(Simulador!$E$8-Simulador!$E$11)*(BI$2-Simulador!$E$11),0)&lt;=Simulador!$E$12,
            IF(BI$2&lt;=Simulador!$E$8,
                ROUNDUP(Simulador!$E$10+(Simulador!$E$12-Simulador!$E$10)/(Simulador!$E$8-Simulador!$E$11)*(BI$2-Simulador!$E$11),0),
                0
            ),
            0
        )
    )
)</f>
        <v>25</v>
      </c>
      <c r="BJ7" s="61">
        <f>IF(Simulador!$E$10=Simulador!$E$12,
    IF(AND(BJ$2&lt;=Simulador!$E$11,ROUNDUP(Simulador!$E$10/Simulador!$E$11*BJ$2,0)&lt;=Simulador!$E$12),
        ROUNDUP(Simulador!$E$10/Simulador!$E$11*BJ$2,0),
        IF(BJ$2&lt;=Simulador!$E$8,Simulador!$E$12,0)
    ),
    IF(BJ$2&lt;=Simulador!$E$11,
        IF(ROUNDUP(Simulador!$E$10/Simulador!$E$11*BJ$2,0)&lt;=Simulador!$E$12,
            ROUNDUP(Simulador!$E$10/Simulador!$E$11*BJ$2,0),
            0
        ),
        IF(ROUNDUP(Simulador!$E$10+(Simulador!$E$12-Simulador!$E$10)/(Simulador!$E$8-Simulador!$E$11)*(BJ$2-Simulador!$E$11),0)&lt;=Simulador!$E$12,
            IF(BJ$2&lt;=Simulador!$E$8,
                ROUNDUP(Simulador!$E$10+(Simulador!$E$12-Simulador!$E$10)/(Simulador!$E$8-Simulador!$E$11)*(BJ$2-Simulador!$E$11),0),
                0
            ),
            0
        )
    )
)</f>
        <v>25</v>
      </c>
      <c r="BK7" s="61">
        <f>IF(Simulador!$E$10=Simulador!$E$12,
    IF(AND(BK$2&lt;=Simulador!$E$11,ROUNDUP(Simulador!$E$10/Simulador!$E$11*BK$2,0)&lt;=Simulador!$E$12),
        ROUNDUP(Simulador!$E$10/Simulador!$E$11*BK$2,0),
        IF(BK$2&lt;=Simulador!$E$8,Simulador!$E$12,0)
    ),
    IF(BK$2&lt;=Simulador!$E$11,
        IF(ROUNDUP(Simulador!$E$10/Simulador!$E$11*BK$2,0)&lt;=Simulador!$E$12,
            ROUNDUP(Simulador!$E$10/Simulador!$E$11*BK$2,0),
            0
        ),
        IF(ROUNDUP(Simulador!$E$10+(Simulador!$E$12-Simulador!$E$10)/(Simulador!$E$8-Simulador!$E$11)*(BK$2-Simulador!$E$11),0)&lt;=Simulador!$E$12,
            IF(BK$2&lt;=Simulador!$E$8,
                ROUNDUP(Simulador!$E$10+(Simulador!$E$12-Simulador!$E$10)/(Simulador!$E$8-Simulador!$E$11)*(BK$2-Simulador!$E$11),0),
                0
            ),
            0
        )
    )
)</f>
        <v>25</v>
      </c>
      <c r="BL7" s="61">
        <f>IF(Simulador!$E$10=Simulador!$E$12,
    IF(AND(BL$2&lt;=Simulador!$E$11,ROUNDUP(Simulador!$E$10/Simulador!$E$11*BL$2,0)&lt;=Simulador!$E$12),
        ROUNDUP(Simulador!$E$10/Simulador!$E$11*BL$2,0),
        IF(BL$2&lt;=Simulador!$E$8,Simulador!$E$12,0)
    ),
    IF(BL$2&lt;=Simulador!$E$11,
        IF(ROUNDUP(Simulador!$E$10/Simulador!$E$11*BL$2,0)&lt;=Simulador!$E$12,
            ROUNDUP(Simulador!$E$10/Simulador!$E$11*BL$2,0),
            0
        ),
        IF(ROUNDUP(Simulador!$E$10+(Simulador!$E$12-Simulador!$E$10)/(Simulador!$E$8-Simulador!$E$11)*(BL$2-Simulador!$E$11),0)&lt;=Simulador!$E$12,
            IF(BL$2&lt;=Simulador!$E$8,
                ROUNDUP(Simulador!$E$10+(Simulador!$E$12-Simulador!$E$10)/(Simulador!$E$8-Simulador!$E$11)*(BL$2-Simulador!$E$11),0),
                0
            ),
            0
        )
    )
)</f>
        <v>25</v>
      </c>
      <c r="BM7" s="61">
        <f>IF(Simulador!$E$10=Simulador!$E$12,
    IF(AND(BM$2&lt;=Simulador!$E$11,ROUNDUP(Simulador!$E$10/Simulador!$E$11*BM$2,0)&lt;=Simulador!$E$12),
        ROUNDUP(Simulador!$E$10/Simulador!$E$11*BM$2,0),
        IF(BM$2&lt;=Simulador!$E$8,Simulador!$E$12,0)
    ),
    IF(BM$2&lt;=Simulador!$E$11,
        IF(ROUNDUP(Simulador!$E$10/Simulador!$E$11*BM$2,0)&lt;=Simulador!$E$12,
            ROUNDUP(Simulador!$E$10/Simulador!$E$11*BM$2,0),
            0
        ),
        IF(ROUNDUP(Simulador!$E$10+(Simulador!$E$12-Simulador!$E$10)/(Simulador!$E$8-Simulador!$E$11)*(BM$2-Simulador!$E$11),0)&lt;=Simulador!$E$12,
            IF(BM$2&lt;=Simulador!$E$8,
                ROUNDUP(Simulador!$E$10+(Simulador!$E$12-Simulador!$E$10)/(Simulador!$E$8-Simulador!$E$11)*(BM$2-Simulador!$E$11),0),
                0
            ),
            0
        )
    )
)</f>
        <v>25</v>
      </c>
      <c r="BN7" s="61">
        <f>IF(Simulador!$E$10=Simulador!$E$12,
    IF(AND(BN$2&lt;=Simulador!$E$11,ROUNDUP(Simulador!$E$10/Simulador!$E$11*BN$2,0)&lt;=Simulador!$E$12),
        ROUNDUP(Simulador!$E$10/Simulador!$E$11*BN$2,0),
        IF(BN$2&lt;=Simulador!$E$8,Simulador!$E$12,0)
    ),
    IF(BN$2&lt;=Simulador!$E$11,
        IF(ROUNDUP(Simulador!$E$10/Simulador!$E$11*BN$2,0)&lt;=Simulador!$E$12,
            ROUNDUP(Simulador!$E$10/Simulador!$E$11*BN$2,0),
            0
        ),
        IF(ROUNDUP(Simulador!$E$10+(Simulador!$E$12-Simulador!$E$10)/(Simulador!$E$8-Simulador!$E$11)*(BN$2-Simulador!$E$11),0)&lt;=Simulador!$E$12,
            IF(BN$2&lt;=Simulador!$E$8,
                ROUNDUP(Simulador!$E$10+(Simulador!$E$12-Simulador!$E$10)/(Simulador!$E$8-Simulador!$E$11)*(BN$2-Simulador!$E$11),0),
                0
            ),
            0
        )
    )
)</f>
        <v>25</v>
      </c>
      <c r="BO7" s="61">
        <f>IF(Simulador!$E$10=Simulador!$E$12,
    IF(AND(BO$2&lt;=Simulador!$E$11,ROUNDUP(Simulador!$E$10/Simulador!$E$11*BO$2,0)&lt;=Simulador!$E$12),
        ROUNDUP(Simulador!$E$10/Simulador!$E$11*BO$2,0),
        IF(BO$2&lt;=Simulador!$E$8,Simulador!$E$12,0)
    ),
    IF(BO$2&lt;=Simulador!$E$11,
        IF(ROUNDUP(Simulador!$E$10/Simulador!$E$11*BO$2,0)&lt;=Simulador!$E$12,
            ROUNDUP(Simulador!$E$10/Simulador!$E$11*BO$2,0),
            0
        ),
        IF(ROUNDUP(Simulador!$E$10+(Simulador!$E$12-Simulador!$E$10)/(Simulador!$E$8-Simulador!$E$11)*(BO$2-Simulador!$E$11),0)&lt;=Simulador!$E$12,
            IF(BO$2&lt;=Simulador!$E$8,
                ROUNDUP(Simulador!$E$10+(Simulador!$E$12-Simulador!$E$10)/(Simulador!$E$8-Simulador!$E$11)*(BO$2-Simulador!$E$11),0),
                0
            ),
            0
        )
    )
)</f>
        <v>25</v>
      </c>
      <c r="BP7" s="61">
        <f>IF(Simulador!$E$10=Simulador!$E$12,
    IF(AND(BP$2&lt;=Simulador!$E$11,ROUNDUP(Simulador!$E$10/Simulador!$E$11*BP$2,0)&lt;=Simulador!$E$12),
        ROUNDUP(Simulador!$E$10/Simulador!$E$11*BP$2,0),
        IF(BP$2&lt;=Simulador!$E$8,Simulador!$E$12,0)
    ),
    IF(BP$2&lt;=Simulador!$E$11,
        IF(ROUNDUP(Simulador!$E$10/Simulador!$E$11*BP$2,0)&lt;=Simulador!$E$12,
            ROUNDUP(Simulador!$E$10/Simulador!$E$11*BP$2,0),
            0
        ),
        IF(ROUNDUP(Simulador!$E$10+(Simulador!$E$12-Simulador!$E$10)/(Simulador!$E$8-Simulador!$E$11)*(BP$2-Simulador!$E$11),0)&lt;=Simulador!$E$12,
            IF(BP$2&lt;=Simulador!$E$8,
                ROUNDUP(Simulador!$E$10+(Simulador!$E$12-Simulador!$E$10)/(Simulador!$E$8-Simulador!$E$11)*(BP$2-Simulador!$E$11),0),
                0
            ),
            0
        )
    )
)</f>
        <v>25</v>
      </c>
      <c r="BQ7" s="61">
        <f>IF(Simulador!$E$10=Simulador!$E$12,
    IF(AND(BQ$2&lt;=Simulador!$E$11,ROUNDUP(Simulador!$E$10/Simulador!$E$11*BQ$2,0)&lt;=Simulador!$E$12),
        ROUNDUP(Simulador!$E$10/Simulador!$E$11*BQ$2,0),
        IF(BQ$2&lt;=Simulador!$E$8,Simulador!$E$12,0)
    ),
    IF(BQ$2&lt;=Simulador!$E$11,
        IF(ROUNDUP(Simulador!$E$10/Simulador!$E$11*BQ$2,0)&lt;=Simulador!$E$12,
            ROUNDUP(Simulador!$E$10/Simulador!$E$11*BQ$2,0),
            0
        ),
        IF(ROUNDUP(Simulador!$E$10+(Simulador!$E$12-Simulador!$E$10)/(Simulador!$E$8-Simulador!$E$11)*(BQ$2-Simulador!$E$11),0)&lt;=Simulador!$E$12,
            IF(BQ$2&lt;=Simulador!$E$8,
                ROUNDUP(Simulador!$E$10+(Simulador!$E$12-Simulador!$E$10)/(Simulador!$E$8-Simulador!$E$11)*(BQ$2-Simulador!$E$11),0),
                0
            ),
            0
        )
    )
)</f>
        <v>25</v>
      </c>
      <c r="BR7" s="61">
        <f>IF(Simulador!$E$10=Simulador!$E$12,
    IF(AND(BR$2&lt;=Simulador!$E$11,ROUNDUP(Simulador!$E$10/Simulador!$E$11*BR$2,0)&lt;=Simulador!$E$12),
        ROUNDUP(Simulador!$E$10/Simulador!$E$11*BR$2,0),
        IF(BR$2&lt;=Simulador!$E$8,Simulador!$E$12,0)
    ),
    IF(BR$2&lt;=Simulador!$E$11,
        IF(ROUNDUP(Simulador!$E$10/Simulador!$E$11*BR$2,0)&lt;=Simulador!$E$12,
            ROUNDUP(Simulador!$E$10/Simulador!$E$11*BR$2,0),
            0
        ),
        IF(ROUNDUP(Simulador!$E$10+(Simulador!$E$12-Simulador!$E$10)/(Simulador!$E$8-Simulador!$E$11)*(BR$2-Simulador!$E$11),0)&lt;=Simulador!$E$12,
            IF(BR$2&lt;=Simulador!$E$8,
                ROUNDUP(Simulador!$E$10+(Simulador!$E$12-Simulador!$E$10)/(Simulador!$E$8-Simulador!$E$11)*(BR$2-Simulador!$E$11),0),
                0
            ),
            0
        )
    )
)</f>
        <v>25</v>
      </c>
      <c r="BS7" s="61">
        <f>IF(Simulador!$E$10=Simulador!$E$12,
    IF(AND(BS$2&lt;=Simulador!$E$11,ROUNDUP(Simulador!$E$10/Simulador!$E$11*BS$2,0)&lt;=Simulador!$E$12),
        ROUNDUP(Simulador!$E$10/Simulador!$E$11*BS$2,0),
        IF(BS$2&lt;=Simulador!$E$8,Simulador!$E$12,0)
    ),
    IF(BS$2&lt;=Simulador!$E$11,
        IF(ROUNDUP(Simulador!$E$10/Simulador!$E$11*BS$2,0)&lt;=Simulador!$E$12,
            ROUNDUP(Simulador!$E$10/Simulador!$E$11*BS$2,0),
            0
        ),
        IF(ROUNDUP(Simulador!$E$10+(Simulador!$E$12-Simulador!$E$10)/(Simulador!$E$8-Simulador!$E$11)*(BS$2-Simulador!$E$11),0)&lt;=Simulador!$E$12,
            IF(BS$2&lt;=Simulador!$E$8,
                ROUNDUP(Simulador!$E$10+(Simulador!$E$12-Simulador!$E$10)/(Simulador!$E$8-Simulador!$E$11)*(BS$2-Simulador!$E$11),0),
                0
            ),
            0
        )
    )
)</f>
        <v>25</v>
      </c>
      <c r="BT7" s="61">
        <f>IF(Simulador!$E$10=Simulador!$E$12,
    IF(AND(BT$2&lt;=Simulador!$E$11,ROUNDUP(Simulador!$E$10/Simulador!$E$11*BT$2,0)&lt;=Simulador!$E$12),
        ROUNDUP(Simulador!$E$10/Simulador!$E$11*BT$2,0),
        IF(BT$2&lt;=Simulador!$E$8,Simulador!$E$12,0)
    ),
    IF(BT$2&lt;=Simulador!$E$11,
        IF(ROUNDUP(Simulador!$E$10/Simulador!$E$11*BT$2,0)&lt;=Simulador!$E$12,
            ROUNDUP(Simulador!$E$10/Simulador!$E$11*BT$2,0),
            0
        ),
        IF(ROUNDUP(Simulador!$E$10+(Simulador!$E$12-Simulador!$E$10)/(Simulador!$E$8-Simulador!$E$11)*(BT$2-Simulador!$E$11),0)&lt;=Simulador!$E$12,
            IF(BT$2&lt;=Simulador!$E$8,
                ROUNDUP(Simulador!$E$10+(Simulador!$E$12-Simulador!$E$10)/(Simulador!$E$8-Simulador!$E$11)*(BT$2-Simulador!$E$11),0),
                0
            ),
            0
        )
    )
)</f>
        <v>25</v>
      </c>
      <c r="BU7" s="61">
        <f>IF(Simulador!$E$10=Simulador!$E$12,
    IF(AND(BU$2&lt;=Simulador!$E$11,ROUNDUP(Simulador!$E$10/Simulador!$E$11*BU$2,0)&lt;=Simulador!$E$12),
        ROUNDUP(Simulador!$E$10/Simulador!$E$11*BU$2,0),
        IF(BU$2&lt;=Simulador!$E$8,Simulador!$E$12,0)
    ),
    IF(BU$2&lt;=Simulador!$E$11,
        IF(ROUNDUP(Simulador!$E$10/Simulador!$E$11*BU$2,0)&lt;=Simulador!$E$12,
            ROUNDUP(Simulador!$E$10/Simulador!$E$11*BU$2,0),
            0
        ),
        IF(ROUNDUP(Simulador!$E$10+(Simulador!$E$12-Simulador!$E$10)/(Simulador!$E$8-Simulador!$E$11)*(BU$2-Simulador!$E$11),0)&lt;=Simulador!$E$12,
            IF(BU$2&lt;=Simulador!$E$8,
                ROUNDUP(Simulador!$E$10+(Simulador!$E$12-Simulador!$E$10)/(Simulador!$E$8-Simulador!$E$11)*(BU$2-Simulador!$E$11),0),
                0
            ),
            0
        )
    )
)</f>
        <v>25</v>
      </c>
      <c r="BV7" s="61">
        <f>IF(Simulador!$E$10=Simulador!$E$12,
    IF(AND(BV$2&lt;=Simulador!$E$11,ROUNDUP(Simulador!$E$10/Simulador!$E$11*BV$2,0)&lt;=Simulador!$E$12),
        ROUNDUP(Simulador!$E$10/Simulador!$E$11*BV$2,0),
        IF(BV$2&lt;=Simulador!$E$8,Simulador!$E$12,0)
    ),
    IF(BV$2&lt;=Simulador!$E$11,
        IF(ROUNDUP(Simulador!$E$10/Simulador!$E$11*BV$2,0)&lt;=Simulador!$E$12,
            ROUNDUP(Simulador!$E$10/Simulador!$E$11*BV$2,0),
            0
        ),
        IF(ROUNDUP(Simulador!$E$10+(Simulador!$E$12-Simulador!$E$10)/(Simulador!$E$8-Simulador!$E$11)*(BV$2-Simulador!$E$11),0)&lt;=Simulador!$E$12,
            IF(BV$2&lt;=Simulador!$E$8,
                ROUNDUP(Simulador!$E$10+(Simulador!$E$12-Simulador!$E$10)/(Simulador!$E$8-Simulador!$E$11)*(BV$2-Simulador!$E$11),0),
                0
            ),
            0
        )
    )
)</f>
        <v>25</v>
      </c>
      <c r="BW7" s="61">
        <f>IF(Simulador!$E$10=Simulador!$E$12,
    IF(AND(BW$2&lt;=Simulador!$E$11,ROUNDUP(Simulador!$E$10/Simulador!$E$11*BW$2,0)&lt;=Simulador!$E$12),
        ROUNDUP(Simulador!$E$10/Simulador!$E$11*BW$2,0),
        IF(BW$2&lt;=Simulador!$E$8,Simulador!$E$12,0)
    ),
    IF(BW$2&lt;=Simulador!$E$11,
        IF(ROUNDUP(Simulador!$E$10/Simulador!$E$11*BW$2,0)&lt;=Simulador!$E$12,
            ROUNDUP(Simulador!$E$10/Simulador!$E$11*BW$2,0),
            0
        ),
        IF(ROUNDUP(Simulador!$E$10+(Simulador!$E$12-Simulador!$E$10)/(Simulador!$E$8-Simulador!$E$11)*(BW$2-Simulador!$E$11),0)&lt;=Simulador!$E$12,
            IF(BW$2&lt;=Simulador!$E$8,
                ROUNDUP(Simulador!$E$10+(Simulador!$E$12-Simulador!$E$10)/(Simulador!$E$8-Simulador!$E$11)*(BW$2-Simulador!$E$11),0),
                0
            ),
            0
        )
    )
)</f>
        <v>0</v>
      </c>
      <c r="BX7" s="61">
        <f>IF(Simulador!$E$10=Simulador!$E$12,
    IF(AND(BX$2&lt;=Simulador!$E$11,ROUNDUP(Simulador!$E$10/Simulador!$E$11*BX$2,0)&lt;=Simulador!$E$12),
        ROUNDUP(Simulador!$E$10/Simulador!$E$11*BX$2,0),
        IF(BX$2&lt;=Simulador!$E$8,Simulador!$E$12,0)
    ),
    IF(BX$2&lt;=Simulador!$E$11,
        IF(ROUNDUP(Simulador!$E$10/Simulador!$E$11*BX$2,0)&lt;=Simulador!$E$12,
            ROUNDUP(Simulador!$E$10/Simulador!$E$11*BX$2,0),
            0
        ),
        IF(ROUNDUP(Simulador!$E$10+(Simulador!$E$12-Simulador!$E$10)/(Simulador!$E$8-Simulador!$E$11)*(BX$2-Simulador!$E$11),0)&lt;=Simulador!$E$12,
            IF(BX$2&lt;=Simulador!$E$8,
                ROUNDUP(Simulador!$E$10+(Simulador!$E$12-Simulador!$E$10)/(Simulador!$E$8-Simulador!$E$11)*(BX$2-Simulador!$E$11),0),
                0
            ),
            0
        )
    )
)</f>
        <v>0</v>
      </c>
      <c r="BY7" s="61">
        <f>IF(Simulador!$E$10=Simulador!$E$12,
    IF(AND(BY$2&lt;=Simulador!$E$11,ROUNDUP(Simulador!$E$10/Simulador!$E$11*BY$2,0)&lt;=Simulador!$E$12),
        ROUNDUP(Simulador!$E$10/Simulador!$E$11*BY$2,0),
        IF(BY$2&lt;=Simulador!$E$8,Simulador!$E$12,0)
    ),
    IF(BY$2&lt;=Simulador!$E$11,
        IF(ROUNDUP(Simulador!$E$10/Simulador!$E$11*BY$2,0)&lt;=Simulador!$E$12,
            ROUNDUP(Simulador!$E$10/Simulador!$E$11*BY$2,0),
            0
        ),
        IF(ROUNDUP(Simulador!$E$10+(Simulador!$E$12-Simulador!$E$10)/(Simulador!$E$8-Simulador!$E$11)*(BY$2-Simulador!$E$11),0)&lt;=Simulador!$E$12,
            IF(BY$2&lt;=Simulador!$E$8,
                ROUNDUP(Simulador!$E$10+(Simulador!$E$12-Simulador!$E$10)/(Simulador!$E$8-Simulador!$E$11)*(BY$2-Simulador!$E$11),0),
                0
            ),
            0
        )
    )
)</f>
        <v>0</v>
      </c>
      <c r="BZ7" s="61">
        <f>IF(Simulador!$E$10=Simulador!$E$12,
    IF(AND(BZ$2&lt;=Simulador!$E$11,ROUNDUP(Simulador!$E$10/Simulador!$E$11*BZ$2,0)&lt;=Simulador!$E$12),
        ROUNDUP(Simulador!$E$10/Simulador!$E$11*BZ$2,0),
        IF(BZ$2&lt;=Simulador!$E$8,Simulador!$E$12,0)
    ),
    IF(BZ$2&lt;=Simulador!$E$11,
        IF(ROUNDUP(Simulador!$E$10/Simulador!$E$11*BZ$2,0)&lt;=Simulador!$E$12,
            ROUNDUP(Simulador!$E$10/Simulador!$E$11*BZ$2,0),
            0
        ),
        IF(ROUNDUP(Simulador!$E$10+(Simulador!$E$12-Simulador!$E$10)/(Simulador!$E$8-Simulador!$E$11)*(BZ$2-Simulador!$E$11),0)&lt;=Simulador!$E$12,
            IF(BZ$2&lt;=Simulador!$E$8,
                ROUNDUP(Simulador!$E$10+(Simulador!$E$12-Simulador!$E$10)/(Simulador!$E$8-Simulador!$E$11)*(BZ$2-Simulador!$E$11),0),
                0
            ),
            0
        )
    )
)</f>
        <v>0</v>
      </c>
      <c r="CA7" s="61">
        <f>IF(Simulador!$E$10=Simulador!$E$12,
    IF(AND(CA$2&lt;=Simulador!$E$11,ROUNDUP(Simulador!$E$10/Simulador!$E$11*CA$2,0)&lt;=Simulador!$E$12),
        ROUNDUP(Simulador!$E$10/Simulador!$E$11*CA$2,0),
        IF(CA$2&lt;=Simulador!$E$8,Simulador!$E$12,0)
    ),
    IF(CA$2&lt;=Simulador!$E$11,
        IF(ROUNDUP(Simulador!$E$10/Simulador!$E$11*CA$2,0)&lt;=Simulador!$E$12,
            ROUNDUP(Simulador!$E$10/Simulador!$E$11*CA$2,0),
            0
        ),
        IF(ROUNDUP(Simulador!$E$10+(Simulador!$E$12-Simulador!$E$10)/(Simulador!$E$8-Simulador!$E$11)*(CA$2-Simulador!$E$11),0)&lt;=Simulador!$E$12,
            IF(CA$2&lt;=Simulador!$E$8,
                ROUNDUP(Simulador!$E$10+(Simulador!$E$12-Simulador!$E$10)/(Simulador!$E$8-Simulador!$E$11)*(CA$2-Simulador!$E$11),0),
                0
            ),
            0
        )
    )
)</f>
        <v>0</v>
      </c>
      <c r="CB7" s="61">
        <f>IF(Simulador!$E$10=Simulador!$E$12,
    IF(AND(CB$2&lt;=Simulador!$E$11,ROUNDUP(Simulador!$E$10/Simulador!$E$11*CB$2,0)&lt;=Simulador!$E$12),
        ROUNDUP(Simulador!$E$10/Simulador!$E$11*CB$2,0),
        IF(CB$2&lt;=Simulador!$E$8,Simulador!$E$12,0)
    ),
    IF(CB$2&lt;=Simulador!$E$11,
        IF(ROUNDUP(Simulador!$E$10/Simulador!$E$11*CB$2,0)&lt;=Simulador!$E$12,
            ROUNDUP(Simulador!$E$10/Simulador!$E$11*CB$2,0),
            0
        ),
        IF(ROUNDUP(Simulador!$E$10+(Simulador!$E$12-Simulador!$E$10)/(Simulador!$E$8-Simulador!$E$11)*(CB$2-Simulador!$E$11),0)&lt;=Simulador!$E$12,
            IF(CB$2&lt;=Simulador!$E$8,
                ROUNDUP(Simulador!$E$10+(Simulador!$E$12-Simulador!$E$10)/(Simulador!$E$8-Simulador!$E$11)*(CB$2-Simulador!$E$11),0),
                0
            ),
            0
        )
    )
)</f>
        <v>0</v>
      </c>
      <c r="CC7" s="61">
        <f>IF(Simulador!$E$10=Simulador!$E$12,
    IF(AND(CC$2&lt;=Simulador!$E$11,ROUNDUP(Simulador!$E$10/Simulador!$E$11*CC$2,0)&lt;=Simulador!$E$12),
        ROUNDUP(Simulador!$E$10/Simulador!$E$11*CC$2,0),
        IF(CC$2&lt;=Simulador!$E$8,Simulador!$E$12,0)
    ),
    IF(CC$2&lt;=Simulador!$E$11,
        IF(ROUNDUP(Simulador!$E$10/Simulador!$E$11*CC$2,0)&lt;=Simulador!$E$12,
            ROUNDUP(Simulador!$E$10/Simulador!$E$11*CC$2,0),
            0
        ),
        IF(ROUNDUP(Simulador!$E$10+(Simulador!$E$12-Simulador!$E$10)/(Simulador!$E$8-Simulador!$E$11)*(CC$2-Simulador!$E$11),0)&lt;=Simulador!$E$12,
            IF(CC$2&lt;=Simulador!$E$8,
                ROUNDUP(Simulador!$E$10+(Simulador!$E$12-Simulador!$E$10)/(Simulador!$E$8-Simulador!$E$11)*(CC$2-Simulador!$E$11),0),
                0
            ),
            0
        )
    )
)</f>
        <v>0</v>
      </c>
      <c r="CD7" s="61">
        <f>IF(Simulador!$E$10=Simulador!$E$12,
    IF(AND(CD$2&lt;=Simulador!$E$11,ROUNDUP(Simulador!$E$10/Simulador!$E$11*CD$2,0)&lt;=Simulador!$E$12),
        ROUNDUP(Simulador!$E$10/Simulador!$E$11*CD$2,0),
        IF(CD$2&lt;=Simulador!$E$8,Simulador!$E$12,0)
    ),
    IF(CD$2&lt;=Simulador!$E$11,
        IF(ROUNDUP(Simulador!$E$10/Simulador!$E$11*CD$2,0)&lt;=Simulador!$E$12,
            ROUNDUP(Simulador!$E$10/Simulador!$E$11*CD$2,0),
            0
        ),
        IF(ROUNDUP(Simulador!$E$10+(Simulador!$E$12-Simulador!$E$10)/(Simulador!$E$8-Simulador!$E$11)*(CD$2-Simulador!$E$11),0)&lt;=Simulador!$E$12,
            IF(CD$2&lt;=Simulador!$E$8,
                ROUNDUP(Simulador!$E$10+(Simulador!$E$12-Simulador!$E$10)/(Simulador!$E$8-Simulador!$E$11)*(CD$2-Simulador!$E$11),0),
                0
            ),
            0
        )
    )
)</f>
        <v>0</v>
      </c>
      <c r="CE7" s="61">
        <f>IF(Simulador!$E$10=Simulador!$E$12,
    IF(AND(CE$2&lt;=Simulador!$E$11,ROUNDUP(Simulador!$E$10/Simulador!$E$11*CE$2,0)&lt;=Simulador!$E$12),
        ROUNDUP(Simulador!$E$10/Simulador!$E$11*CE$2,0),
        IF(CE$2&lt;=Simulador!$E$8,Simulador!$E$12,0)
    ),
    IF(CE$2&lt;=Simulador!$E$11,
        IF(ROUNDUP(Simulador!$E$10/Simulador!$E$11*CE$2,0)&lt;=Simulador!$E$12,
            ROUNDUP(Simulador!$E$10/Simulador!$E$11*CE$2,0),
            0
        ),
        IF(ROUNDUP(Simulador!$E$10+(Simulador!$E$12-Simulador!$E$10)/(Simulador!$E$8-Simulador!$E$11)*(CE$2-Simulador!$E$11),0)&lt;=Simulador!$E$12,
            IF(CE$2&lt;=Simulador!$E$8,
                ROUNDUP(Simulador!$E$10+(Simulador!$E$12-Simulador!$E$10)/(Simulador!$E$8-Simulador!$E$11)*(CE$2-Simulador!$E$11),0),
                0
            ),
            0
        )
    )
)</f>
        <v>0</v>
      </c>
      <c r="CF7" s="61">
        <f>IF(Simulador!$E$10=Simulador!$E$12,
    IF(AND(CF$2&lt;=Simulador!$E$11,ROUNDUP(Simulador!$E$10/Simulador!$E$11*CF$2,0)&lt;=Simulador!$E$12),
        ROUNDUP(Simulador!$E$10/Simulador!$E$11*CF$2,0),
        IF(CF$2&lt;=Simulador!$E$8,Simulador!$E$12,0)
    ),
    IF(CF$2&lt;=Simulador!$E$11,
        IF(ROUNDUP(Simulador!$E$10/Simulador!$E$11*CF$2,0)&lt;=Simulador!$E$12,
            ROUNDUP(Simulador!$E$10/Simulador!$E$11*CF$2,0),
            0
        ),
        IF(ROUNDUP(Simulador!$E$10+(Simulador!$E$12-Simulador!$E$10)/(Simulador!$E$8-Simulador!$E$11)*(CF$2-Simulador!$E$11),0)&lt;=Simulador!$E$12,
            IF(CF$2&lt;=Simulador!$E$8,
                ROUNDUP(Simulador!$E$10+(Simulador!$E$12-Simulador!$E$10)/(Simulador!$E$8-Simulador!$E$11)*(CF$2-Simulador!$E$11),0),
                0
            ),
            0
        )
    )
)</f>
        <v>0</v>
      </c>
      <c r="CG7" s="61">
        <f>IF(Simulador!$E$10=Simulador!$E$12,
    IF(AND(CG$2&lt;=Simulador!$E$11,ROUNDUP(Simulador!$E$10/Simulador!$E$11*CG$2,0)&lt;=Simulador!$E$12),
        ROUNDUP(Simulador!$E$10/Simulador!$E$11*CG$2,0),
        IF(CG$2&lt;=Simulador!$E$8,Simulador!$E$12,0)
    ),
    IF(CG$2&lt;=Simulador!$E$11,
        IF(ROUNDUP(Simulador!$E$10/Simulador!$E$11*CG$2,0)&lt;=Simulador!$E$12,
            ROUNDUP(Simulador!$E$10/Simulador!$E$11*CG$2,0),
            0
        ),
        IF(ROUNDUP(Simulador!$E$10+(Simulador!$E$12-Simulador!$E$10)/(Simulador!$E$8-Simulador!$E$11)*(CG$2-Simulador!$E$11),0)&lt;=Simulador!$E$12,
            IF(CG$2&lt;=Simulador!$E$8,
                ROUNDUP(Simulador!$E$10+(Simulador!$E$12-Simulador!$E$10)/(Simulador!$E$8-Simulador!$E$11)*(CG$2-Simulador!$E$11),0),
                0
            ),
            0
        )
    )
)</f>
        <v>0</v>
      </c>
      <c r="CH7" s="61">
        <f>IF(Simulador!$E$10=Simulador!$E$12,
    IF(AND(CH$2&lt;=Simulador!$E$11,ROUNDUP(Simulador!$E$10/Simulador!$E$11*CH$2,0)&lt;=Simulador!$E$12),
        ROUNDUP(Simulador!$E$10/Simulador!$E$11*CH$2,0),
        IF(CH$2&lt;=Simulador!$E$8,Simulador!$E$12,0)
    ),
    IF(CH$2&lt;=Simulador!$E$11,
        IF(ROUNDUP(Simulador!$E$10/Simulador!$E$11*CH$2,0)&lt;=Simulador!$E$12,
            ROUNDUP(Simulador!$E$10/Simulador!$E$11*CH$2,0),
            0
        ),
        IF(ROUNDUP(Simulador!$E$10+(Simulador!$E$12-Simulador!$E$10)/(Simulador!$E$8-Simulador!$E$11)*(CH$2-Simulador!$E$11),0)&lt;=Simulador!$E$12,
            IF(CH$2&lt;=Simulador!$E$8,
                ROUNDUP(Simulador!$E$10+(Simulador!$E$12-Simulador!$E$10)/(Simulador!$E$8-Simulador!$E$11)*(CH$2-Simulador!$E$11),0),
                0
            ),
            0
        )
    )
)</f>
        <v>0</v>
      </c>
      <c r="CI7" s="61">
        <f>IF(Simulador!$E$10=Simulador!$E$12,
    IF(AND(CI$2&lt;=Simulador!$E$11,ROUNDUP(Simulador!$E$10/Simulador!$E$11*CI$2,0)&lt;=Simulador!$E$12),
        ROUNDUP(Simulador!$E$10/Simulador!$E$11*CI$2,0),
        IF(CI$2&lt;=Simulador!$E$8,Simulador!$E$12,0)
    ),
    IF(CI$2&lt;=Simulador!$E$11,
        IF(ROUNDUP(Simulador!$E$10/Simulador!$E$11*CI$2,0)&lt;=Simulador!$E$12,
            ROUNDUP(Simulador!$E$10/Simulador!$E$11*CI$2,0),
            0
        ),
        IF(ROUNDUP(Simulador!$E$10+(Simulador!$E$12-Simulador!$E$10)/(Simulador!$E$8-Simulador!$E$11)*(CI$2-Simulador!$E$11),0)&lt;=Simulador!$E$12,
            IF(CI$2&lt;=Simulador!$E$8,
                ROUNDUP(Simulador!$E$10+(Simulador!$E$12-Simulador!$E$10)/(Simulador!$E$8-Simulador!$E$11)*(CI$2-Simulador!$E$11),0),
                0
            ),
            0
        )
    )
)</f>
        <v>0</v>
      </c>
      <c r="CJ7" s="61">
        <f>IF(Simulador!$E$10=Simulador!$E$12,
    IF(AND(CJ$2&lt;=Simulador!$E$11,ROUNDUP(Simulador!$E$10/Simulador!$E$11*CJ$2,0)&lt;=Simulador!$E$12),
        ROUNDUP(Simulador!$E$10/Simulador!$E$11*CJ$2,0),
        IF(CJ$2&lt;=Simulador!$E$8,Simulador!$E$12,0)
    ),
    IF(CJ$2&lt;=Simulador!$E$11,
        IF(ROUNDUP(Simulador!$E$10/Simulador!$E$11*CJ$2,0)&lt;=Simulador!$E$12,
            ROUNDUP(Simulador!$E$10/Simulador!$E$11*CJ$2,0),
            0
        ),
        IF(ROUNDUP(Simulador!$E$10+(Simulador!$E$12-Simulador!$E$10)/(Simulador!$E$8-Simulador!$E$11)*(CJ$2-Simulador!$E$11),0)&lt;=Simulador!$E$12,
            IF(CJ$2&lt;=Simulador!$E$8,
                ROUNDUP(Simulador!$E$10+(Simulador!$E$12-Simulador!$E$10)/(Simulador!$E$8-Simulador!$E$11)*(CJ$2-Simulador!$E$11),0),
                0
            ),
            0
        )
    )
)</f>
        <v>0</v>
      </c>
      <c r="CK7" s="61">
        <f>IF(Simulador!$E$10=Simulador!$E$12,
    IF(AND(CK$2&lt;=Simulador!$E$11,ROUNDUP(Simulador!$E$10/Simulador!$E$11*CK$2,0)&lt;=Simulador!$E$12),
        ROUNDUP(Simulador!$E$10/Simulador!$E$11*CK$2,0),
        IF(CK$2&lt;=Simulador!$E$8,Simulador!$E$12,0)
    ),
    IF(CK$2&lt;=Simulador!$E$11,
        IF(ROUNDUP(Simulador!$E$10/Simulador!$E$11*CK$2,0)&lt;=Simulador!$E$12,
            ROUNDUP(Simulador!$E$10/Simulador!$E$11*CK$2,0),
            0
        ),
        IF(ROUNDUP(Simulador!$E$10+(Simulador!$E$12-Simulador!$E$10)/(Simulador!$E$8-Simulador!$E$11)*(CK$2-Simulador!$E$11),0)&lt;=Simulador!$E$12,
            IF(CK$2&lt;=Simulador!$E$8,
                ROUNDUP(Simulador!$E$10+(Simulador!$E$12-Simulador!$E$10)/(Simulador!$E$8-Simulador!$E$11)*(CK$2-Simulador!$E$11),0),
                0
            ),
            0
        )
    )
)</f>
        <v>0</v>
      </c>
      <c r="CL7" s="61">
        <f>IF(Simulador!$E$10=Simulador!$E$12,
    IF(AND(CL$2&lt;=Simulador!$E$11,ROUNDUP(Simulador!$E$10/Simulador!$E$11*CL$2,0)&lt;=Simulador!$E$12),
        ROUNDUP(Simulador!$E$10/Simulador!$E$11*CL$2,0),
        IF(CL$2&lt;=Simulador!$E$8,Simulador!$E$12,0)
    ),
    IF(CL$2&lt;=Simulador!$E$11,
        IF(ROUNDUP(Simulador!$E$10/Simulador!$E$11*CL$2,0)&lt;=Simulador!$E$12,
            ROUNDUP(Simulador!$E$10/Simulador!$E$11*CL$2,0),
            0
        ),
        IF(ROUNDUP(Simulador!$E$10+(Simulador!$E$12-Simulador!$E$10)/(Simulador!$E$8-Simulador!$E$11)*(CL$2-Simulador!$E$11),0)&lt;=Simulador!$E$12,
            IF(CL$2&lt;=Simulador!$E$8,
                ROUNDUP(Simulador!$E$10+(Simulador!$E$12-Simulador!$E$10)/(Simulador!$E$8-Simulador!$E$11)*(CL$2-Simulador!$E$11),0),
                0
            ),
            0
        )
    )
)</f>
        <v>0</v>
      </c>
      <c r="CM7" s="61">
        <f>IF(Simulador!$E$10=Simulador!$E$12,
    IF(AND(CM$2&lt;=Simulador!$E$11,ROUNDUP(Simulador!$E$10/Simulador!$E$11*CM$2,0)&lt;=Simulador!$E$12),
        ROUNDUP(Simulador!$E$10/Simulador!$E$11*CM$2,0),
        IF(CM$2&lt;=Simulador!$E$8,Simulador!$E$12,0)
    ),
    IF(CM$2&lt;=Simulador!$E$11,
        IF(ROUNDUP(Simulador!$E$10/Simulador!$E$11*CM$2,0)&lt;=Simulador!$E$12,
            ROUNDUP(Simulador!$E$10/Simulador!$E$11*CM$2,0),
            0
        ),
        IF(ROUNDUP(Simulador!$E$10+(Simulador!$E$12-Simulador!$E$10)/(Simulador!$E$8-Simulador!$E$11)*(CM$2-Simulador!$E$11),0)&lt;=Simulador!$E$12,
            IF(CM$2&lt;=Simulador!$E$8,
                ROUNDUP(Simulador!$E$10+(Simulador!$E$12-Simulador!$E$10)/(Simulador!$E$8-Simulador!$E$11)*(CM$2-Simulador!$E$11),0),
                0
            ),
            0
        )
    )
)</f>
        <v>0</v>
      </c>
      <c r="CN7" s="61">
        <f>IF(Simulador!$E$10=Simulador!$E$12,
    IF(AND(CN$2&lt;=Simulador!$E$11,ROUNDUP(Simulador!$E$10/Simulador!$E$11*CN$2,0)&lt;=Simulador!$E$12),
        ROUNDUP(Simulador!$E$10/Simulador!$E$11*CN$2,0),
        IF(CN$2&lt;=Simulador!$E$8,Simulador!$E$12,0)
    ),
    IF(CN$2&lt;=Simulador!$E$11,
        IF(ROUNDUP(Simulador!$E$10/Simulador!$E$11*CN$2,0)&lt;=Simulador!$E$12,
            ROUNDUP(Simulador!$E$10/Simulador!$E$11*CN$2,0),
            0
        ),
        IF(ROUNDUP(Simulador!$E$10+(Simulador!$E$12-Simulador!$E$10)/(Simulador!$E$8-Simulador!$E$11)*(CN$2-Simulador!$E$11),0)&lt;=Simulador!$E$12,
            IF(CN$2&lt;=Simulador!$E$8,
                ROUNDUP(Simulador!$E$10+(Simulador!$E$12-Simulador!$E$10)/(Simulador!$E$8-Simulador!$E$11)*(CN$2-Simulador!$E$11),0),
                0
            ),
            0
        )
    )
)</f>
        <v>0</v>
      </c>
      <c r="CO7" s="61">
        <f>IF(Simulador!$E$10=Simulador!$E$12,
    IF(AND(CO$2&lt;=Simulador!$E$11,ROUNDUP(Simulador!$E$10/Simulador!$E$11*CO$2,0)&lt;=Simulador!$E$12),
        ROUNDUP(Simulador!$E$10/Simulador!$E$11*CO$2,0),
        IF(CO$2&lt;=Simulador!$E$8,Simulador!$E$12,0)
    ),
    IF(CO$2&lt;=Simulador!$E$11,
        IF(ROUNDUP(Simulador!$E$10/Simulador!$E$11*CO$2,0)&lt;=Simulador!$E$12,
            ROUNDUP(Simulador!$E$10/Simulador!$E$11*CO$2,0),
            0
        ),
        IF(ROUNDUP(Simulador!$E$10+(Simulador!$E$12-Simulador!$E$10)/(Simulador!$E$8-Simulador!$E$11)*(CO$2-Simulador!$E$11),0)&lt;=Simulador!$E$12,
            IF(CO$2&lt;=Simulador!$E$8,
                ROUNDUP(Simulador!$E$10+(Simulador!$E$12-Simulador!$E$10)/(Simulador!$E$8-Simulador!$E$11)*(CO$2-Simulador!$E$11),0),
                0
            ),
            0
        )
    )
)</f>
        <v>0</v>
      </c>
      <c r="CP7" s="61">
        <f>IF(Simulador!$E$10=Simulador!$E$12,
    IF(AND(CP$2&lt;=Simulador!$E$11,ROUNDUP(Simulador!$E$10/Simulador!$E$11*CP$2,0)&lt;=Simulador!$E$12),
        ROUNDUP(Simulador!$E$10/Simulador!$E$11*CP$2,0),
        IF(CP$2&lt;=Simulador!$E$8,Simulador!$E$12,0)
    ),
    IF(CP$2&lt;=Simulador!$E$11,
        IF(ROUNDUP(Simulador!$E$10/Simulador!$E$11*CP$2,0)&lt;=Simulador!$E$12,
            ROUNDUP(Simulador!$E$10/Simulador!$E$11*CP$2,0),
            0
        ),
        IF(ROUNDUP(Simulador!$E$10+(Simulador!$E$12-Simulador!$E$10)/(Simulador!$E$8-Simulador!$E$11)*(CP$2-Simulador!$E$11),0)&lt;=Simulador!$E$12,
            IF(CP$2&lt;=Simulador!$E$8,
                ROUNDUP(Simulador!$E$10+(Simulador!$E$12-Simulador!$E$10)/(Simulador!$E$8-Simulador!$E$11)*(CP$2-Simulador!$E$11),0),
                0
            ),
            0
        )
    )
)</f>
        <v>0</v>
      </c>
      <c r="CQ7" s="61">
        <f>IF(Simulador!$E$10=Simulador!$E$12,
    IF(AND(CQ$2&lt;=Simulador!$E$11,ROUNDUP(Simulador!$E$10/Simulador!$E$11*CQ$2,0)&lt;=Simulador!$E$12),
        ROUNDUP(Simulador!$E$10/Simulador!$E$11*CQ$2,0),
        IF(CQ$2&lt;=Simulador!$E$8,Simulador!$E$12,0)
    ),
    IF(CQ$2&lt;=Simulador!$E$11,
        IF(ROUNDUP(Simulador!$E$10/Simulador!$E$11*CQ$2,0)&lt;=Simulador!$E$12,
            ROUNDUP(Simulador!$E$10/Simulador!$E$11*CQ$2,0),
            0
        ),
        IF(ROUNDUP(Simulador!$E$10+(Simulador!$E$12-Simulador!$E$10)/(Simulador!$E$8-Simulador!$E$11)*(CQ$2-Simulador!$E$11),0)&lt;=Simulador!$E$12,
            IF(CQ$2&lt;=Simulador!$E$8,
                ROUNDUP(Simulador!$E$10+(Simulador!$E$12-Simulador!$E$10)/(Simulador!$E$8-Simulador!$E$11)*(CQ$2-Simulador!$E$11),0),
                0
            ),
            0
        )
    )
)</f>
        <v>0</v>
      </c>
      <c r="CR7" s="61">
        <f>IF(Simulador!$E$10=Simulador!$E$12,
    IF(AND(CR$2&lt;=Simulador!$E$11,ROUNDUP(Simulador!$E$10/Simulador!$E$11*CR$2,0)&lt;=Simulador!$E$12),
        ROUNDUP(Simulador!$E$10/Simulador!$E$11*CR$2,0),
        IF(CR$2&lt;=Simulador!$E$8,Simulador!$E$12,0)
    ),
    IF(CR$2&lt;=Simulador!$E$11,
        IF(ROUNDUP(Simulador!$E$10/Simulador!$E$11*CR$2,0)&lt;=Simulador!$E$12,
            ROUNDUP(Simulador!$E$10/Simulador!$E$11*CR$2,0),
            0
        ),
        IF(ROUNDUP(Simulador!$E$10+(Simulador!$E$12-Simulador!$E$10)/(Simulador!$E$8-Simulador!$E$11)*(CR$2-Simulador!$E$11),0)&lt;=Simulador!$E$12,
            IF(CR$2&lt;=Simulador!$E$8,
                ROUNDUP(Simulador!$E$10+(Simulador!$E$12-Simulador!$E$10)/(Simulador!$E$8-Simulador!$E$11)*(CR$2-Simulador!$E$11),0),
                0
            ),
            0
        )
    )
)</f>
        <v>0</v>
      </c>
      <c r="CS7" s="61">
        <f>IF(Simulador!$E$10=Simulador!$E$12,
    IF(AND(CS$2&lt;=Simulador!$E$11,ROUNDUP(Simulador!$E$10/Simulador!$E$11*CS$2,0)&lt;=Simulador!$E$12),
        ROUNDUP(Simulador!$E$10/Simulador!$E$11*CS$2,0),
        IF(CS$2&lt;=Simulador!$E$8,Simulador!$E$12,0)
    ),
    IF(CS$2&lt;=Simulador!$E$11,
        IF(ROUNDUP(Simulador!$E$10/Simulador!$E$11*CS$2,0)&lt;=Simulador!$E$12,
            ROUNDUP(Simulador!$E$10/Simulador!$E$11*CS$2,0),
            0
        ),
        IF(ROUNDUP(Simulador!$E$10+(Simulador!$E$12-Simulador!$E$10)/(Simulador!$E$8-Simulador!$E$11)*(CS$2-Simulador!$E$11),0)&lt;=Simulador!$E$12,
            IF(CS$2&lt;=Simulador!$E$8,
                ROUNDUP(Simulador!$E$10+(Simulador!$E$12-Simulador!$E$10)/(Simulador!$E$8-Simulador!$E$11)*(CS$2-Simulador!$E$11),0),
                0
            ),
            0
        )
    )
)</f>
        <v>0</v>
      </c>
      <c r="CT7" s="61">
        <f>IF(Simulador!$E$10=Simulador!$E$12,
    IF(AND(CT$2&lt;=Simulador!$E$11,ROUNDUP(Simulador!$E$10/Simulador!$E$11*CT$2,0)&lt;=Simulador!$E$12),
        ROUNDUP(Simulador!$E$10/Simulador!$E$11*CT$2,0),
        IF(CT$2&lt;=Simulador!$E$8,Simulador!$E$12,0)
    ),
    IF(CT$2&lt;=Simulador!$E$11,
        IF(ROUNDUP(Simulador!$E$10/Simulador!$E$11*CT$2,0)&lt;=Simulador!$E$12,
            ROUNDUP(Simulador!$E$10/Simulador!$E$11*CT$2,0),
            0
        ),
        IF(ROUNDUP(Simulador!$E$10+(Simulador!$E$12-Simulador!$E$10)/(Simulador!$E$8-Simulador!$E$11)*(CT$2-Simulador!$E$11),0)&lt;=Simulador!$E$12,
            IF(CT$2&lt;=Simulador!$E$8,
                ROUNDUP(Simulador!$E$10+(Simulador!$E$12-Simulador!$E$10)/(Simulador!$E$8-Simulador!$E$11)*(CT$2-Simulador!$E$11),0),
                0
            ),
            0
        )
    )
)</f>
        <v>0</v>
      </c>
      <c r="CU7" s="61">
        <f>IF(Simulador!$E$10=Simulador!$E$12,
    IF(AND(CU$2&lt;=Simulador!$E$11,ROUNDUP(Simulador!$E$10/Simulador!$E$11*CU$2,0)&lt;=Simulador!$E$12),
        ROUNDUP(Simulador!$E$10/Simulador!$E$11*CU$2,0),
        IF(CU$2&lt;=Simulador!$E$8,Simulador!$E$12,0)
    ),
    IF(CU$2&lt;=Simulador!$E$11,
        IF(ROUNDUP(Simulador!$E$10/Simulador!$E$11*CU$2,0)&lt;=Simulador!$E$12,
            ROUNDUP(Simulador!$E$10/Simulador!$E$11*CU$2,0),
            0
        ),
        IF(ROUNDUP(Simulador!$E$10+(Simulador!$E$12-Simulador!$E$10)/(Simulador!$E$8-Simulador!$E$11)*(CU$2-Simulador!$E$11),0)&lt;=Simulador!$E$12,
            IF(CU$2&lt;=Simulador!$E$8,
                ROUNDUP(Simulador!$E$10+(Simulador!$E$12-Simulador!$E$10)/(Simulador!$E$8-Simulador!$E$11)*(CU$2-Simulador!$E$11),0),
                0
            ),
            0
        )
    )
)</f>
        <v>0</v>
      </c>
      <c r="CV7" s="61">
        <f>IF(Simulador!$E$10=Simulador!$E$12,
    IF(AND(CV$2&lt;=Simulador!$E$11,ROUNDUP(Simulador!$E$10/Simulador!$E$11*CV$2,0)&lt;=Simulador!$E$12),
        ROUNDUP(Simulador!$E$10/Simulador!$E$11*CV$2,0),
        IF(CV$2&lt;=Simulador!$E$8,Simulador!$E$12,0)
    ),
    IF(CV$2&lt;=Simulador!$E$11,
        IF(ROUNDUP(Simulador!$E$10/Simulador!$E$11*CV$2,0)&lt;=Simulador!$E$12,
            ROUNDUP(Simulador!$E$10/Simulador!$E$11*CV$2,0),
            0
        ),
        IF(ROUNDUP(Simulador!$E$10+(Simulador!$E$12-Simulador!$E$10)/(Simulador!$E$8-Simulador!$E$11)*(CV$2-Simulador!$E$11),0)&lt;=Simulador!$E$12,
            IF(CV$2&lt;=Simulador!$E$8,
                ROUNDUP(Simulador!$E$10+(Simulador!$E$12-Simulador!$E$10)/(Simulador!$E$8-Simulador!$E$11)*(CV$2-Simulador!$E$11),0),
                0
            ),
            0
        )
    )
)</f>
        <v>0</v>
      </c>
      <c r="CW7" s="61">
        <f>IF(Simulador!$E$10=Simulador!$E$12,
    IF(AND(CW$2&lt;=Simulador!$E$11,ROUNDUP(Simulador!$E$10/Simulador!$E$11*CW$2,0)&lt;=Simulador!$E$12),
        ROUNDUP(Simulador!$E$10/Simulador!$E$11*CW$2,0),
        IF(CW$2&lt;=Simulador!$E$8,Simulador!$E$12,0)
    ),
    IF(CW$2&lt;=Simulador!$E$11,
        IF(ROUNDUP(Simulador!$E$10/Simulador!$E$11*CW$2,0)&lt;=Simulador!$E$12,
            ROUNDUP(Simulador!$E$10/Simulador!$E$11*CW$2,0),
            0
        ),
        IF(ROUNDUP(Simulador!$E$10+(Simulador!$E$12-Simulador!$E$10)/(Simulador!$E$8-Simulador!$E$11)*(CW$2-Simulador!$E$11),0)&lt;=Simulador!$E$12,
            IF(CW$2&lt;=Simulador!$E$8,
                ROUNDUP(Simulador!$E$10+(Simulador!$E$12-Simulador!$E$10)/(Simulador!$E$8-Simulador!$E$11)*(CW$2-Simulador!$E$11),0),
                0
            ),
            0
        )
    )
)</f>
        <v>0</v>
      </c>
      <c r="CX7" s="61">
        <f>IF(Simulador!$E$10=Simulador!$E$12,
    IF(AND(CX$2&lt;=Simulador!$E$11,ROUNDUP(Simulador!$E$10/Simulador!$E$11*CX$2,0)&lt;=Simulador!$E$12),
        ROUNDUP(Simulador!$E$10/Simulador!$E$11*CX$2,0),
        IF(CX$2&lt;=Simulador!$E$8,Simulador!$E$12,0)
    ),
    IF(CX$2&lt;=Simulador!$E$11,
        IF(ROUNDUP(Simulador!$E$10/Simulador!$E$11*CX$2,0)&lt;=Simulador!$E$12,
            ROUNDUP(Simulador!$E$10/Simulador!$E$11*CX$2,0),
            0
        ),
        IF(ROUNDUP(Simulador!$E$10+(Simulador!$E$12-Simulador!$E$10)/(Simulador!$E$8-Simulador!$E$11)*(CX$2-Simulador!$E$11),0)&lt;=Simulador!$E$12,
            IF(CX$2&lt;=Simulador!$E$8,
                ROUNDUP(Simulador!$E$10+(Simulador!$E$12-Simulador!$E$10)/(Simulador!$E$8-Simulador!$E$11)*(CX$2-Simulador!$E$11),0),
                0
            ),
            0
        )
    )
)</f>
        <v>0</v>
      </c>
      <c r="CY7" s="61">
        <f>IF(Simulador!$E$10=Simulador!$E$12,
    IF(AND(CY$2&lt;=Simulador!$E$11,ROUNDUP(Simulador!$E$10/Simulador!$E$11*CY$2,0)&lt;=Simulador!$E$12),
        ROUNDUP(Simulador!$E$10/Simulador!$E$11*CY$2,0),
        IF(CY$2&lt;=Simulador!$E$8,Simulador!$E$12,0)
    ),
    IF(CY$2&lt;=Simulador!$E$11,
        IF(ROUNDUP(Simulador!$E$10/Simulador!$E$11*CY$2,0)&lt;=Simulador!$E$12,
            ROUNDUP(Simulador!$E$10/Simulador!$E$11*CY$2,0),
            0
        ),
        IF(ROUNDUP(Simulador!$E$10+(Simulador!$E$12-Simulador!$E$10)/(Simulador!$E$8-Simulador!$E$11)*(CY$2-Simulador!$E$11),0)&lt;=Simulador!$E$12,
            IF(CY$2&lt;=Simulador!$E$8,
                ROUNDUP(Simulador!$E$10+(Simulador!$E$12-Simulador!$E$10)/(Simulador!$E$8-Simulador!$E$11)*(CY$2-Simulador!$E$11),0),
                0
            ),
            0
        )
    )
)</f>
        <v>0</v>
      </c>
      <c r="CZ7" s="61">
        <f>IF(Simulador!$E$10=Simulador!$E$12,
    IF(AND(CZ$2&lt;=Simulador!$E$11,ROUNDUP(Simulador!$E$10/Simulador!$E$11*CZ$2,0)&lt;=Simulador!$E$12),
        ROUNDUP(Simulador!$E$10/Simulador!$E$11*CZ$2,0),
        IF(CZ$2&lt;=Simulador!$E$8,Simulador!$E$12,0)
    ),
    IF(CZ$2&lt;=Simulador!$E$11,
        IF(ROUNDUP(Simulador!$E$10/Simulador!$E$11*CZ$2,0)&lt;=Simulador!$E$12,
            ROUNDUP(Simulador!$E$10/Simulador!$E$11*CZ$2,0),
            0
        ),
        IF(ROUNDUP(Simulador!$E$10+(Simulador!$E$12-Simulador!$E$10)/(Simulador!$E$8-Simulador!$E$11)*(CZ$2-Simulador!$E$11),0)&lt;=Simulador!$E$12,
            IF(CZ$2&lt;=Simulador!$E$8,
                ROUNDUP(Simulador!$E$10+(Simulador!$E$12-Simulador!$E$10)/(Simulador!$E$8-Simulador!$E$11)*(CZ$2-Simulador!$E$11),0),
                0
            ),
            0
        )
    )
)</f>
        <v>0</v>
      </c>
      <c r="DA7" s="61">
        <f>IF(Simulador!$E$10=Simulador!$E$12,
    IF(AND(DA$2&lt;=Simulador!$E$11,ROUNDUP(Simulador!$E$10/Simulador!$E$11*DA$2,0)&lt;=Simulador!$E$12),
        ROUNDUP(Simulador!$E$10/Simulador!$E$11*DA$2,0),
        IF(DA$2&lt;=Simulador!$E$8,Simulador!$E$12,0)
    ),
    IF(DA$2&lt;=Simulador!$E$11,
        IF(ROUNDUP(Simulador!$E$10/Simulador!$E$11*DA$2,0)&lt;=Simulador!$E$12,
            ROUNDUP(Simulador!$E$10/Simulador!$E$11*DA$2,0),
            0
        ),
        IF(ROUNDUP(Simulador!$E$10+(Simulador!$E$12-Simulador!$E$10)/(Simulador!$E$8-Simulador!$E$11)*(DA$2-Simulador!$E$11),0)&lt;=Simulador!$E$12,
            IF(DA$2&lt;=Simulador!$E$8,
                ROUNDUP(Simulador!$E$10+(Simulador!$E$12-Simulador!$E$10)/(Simulador!$E$8-Simulador!$E$11)*(DA$2-Simulador!$E$11),0),
                0
            ),
            0
        )
    )
)</f>
        <v>0</v>
      </c>
      <c r="DB7" s="61">
        <f>IF(Simulador!$E$10=Simulador!$E$12,
    IF(AND(DB$2&lt;=Simulador!$E$11,ROUNDUP(Simulador!$E$10/Simulador!$E$11*DB$2,0)&lt;=Simulador!$E$12),
        ROUNDUP(Simulador!$E$10/Simulador!$E$11*DB$2,0),
        IF(DB$2&lt;=Simulador!$E$8,Simulador!$E$12,0)
    ),
    IF(DB$2&lt;=Simulador!$E$11,
        IF(ROUNDUP(Simulador!$E$10/Simulador!$E$11*DB$2,0)&lt;=Simulador!$E$12,
            ROUNDUP(Simulador!$E$10/Simulador!$E$11*DB$2,0),
            0
        ),
        IF(ROUNDUP(Simulador!$E$10+(Simulador!$E$12-Simulador!$E$10)/(Simulador!$E$8-Simulador!$E$11)*(DB$2-Simulador!$E$11),0)&lt;=Simulador!$E$12,
            IF(DB$2&lt;=Simulador!$E$8,
                ROUNDUP(Simulador!$E$10+(Simulador!$E$12-Simulador!$E$10)/(Simulador!$E$8-Simulador!$E$11)*(DB$2-Simulador!$E$11),0),
                0
            ),
            0
        )
    )
)</f>
        <v>0</v>
      </c>
      <c r="DC7" s="61">
        <f>IF(Simulador!$E$10=Simulador!$E$12,
    IF(AND(DC$2&lt;=Simulador!$E$11,ROUNDUP(Simulador!$E$10/Simulador!$E$11*DC$2,0)&lt;=Simulador!$E$12),
        ROUNDUP(Simulador!$E$10/Simulador!$E$11*DC$2,0),
        IF(DC$2&lt;=Simulador!$E$8,Simulador!$E$12,0)
    ),
    IF(DC$2&lt;=Simulador!$E$11,
        IF(ROUNDUP(Simulador!$E$10/Simulador!$E$11*DC$2,0)&lt;=Simulador!$E$12,
            ROUNDUP(Simulador!$E$10/Simulador!$E$11*DC$2,0),
            0
        ),
        IF(ROUNDUP(Simulador!$E$10+(Simulador!$E$12-Simulador!$E$10)/(Simulador!$E$8-Simulador!$E$11)*(DC$2-Simulador!$E$11),0)&lt;=Simulador!$E$12,
            IF(DC$2&lt;=Simulador!$E$8,
                ROUNDUP(Simulador!$E$10+(Simulador!$E$12-Simulador!$E$10)/(Simulador!$E$8-Simulador!$E$11)*(DC$2-Simulador!$E$11),0),
                0
            ),
            0
        )
    )
)</f>
        <v>0</v>
      </c>
      <c r="DD7" s="61">
        <f>IF(Simulador!$E$10=Simulador!$E$12,
    IF(AND(DD$2&lt;=Simulador!$E$11,ROUNDUP(Simulador!$E$10/Simulador!$E$11*DD$2,0)&lt;=Simulador!$E$12),
        ROUNDUP(Simulador!$E$10/Simulador!$E$11*DD$2,0),
        IF(DD$2&lt;=Simulador!$E$8,Simulador!$E$12,0)
    ),
    IF(DD$2&lt;=Simulador!$E$11,
        IF(ROUNDUP(Simulador!$E$10/Simulador!$E$11*DD$2,0)&lt;=Simulador!$E$12,
            ROUNDUP(Simulador!$E$10/Simulador!$E$11*DD$2,0),
            0
        ),
        IF(ROUNDUP(Simulador!$E$10+(Simulador!$E$12-Simulador!$E$10)/(Simulador!$E$8-Simulador!$E$11)*(DD$2-Simulador!$E$11),0)&lt;=Simulador!$E$12,
            IF(DD$2&lt;=Simulador!$E$8,
                ROUNDUP(Simulador!$E$10+(Simulador!$E$12-Simulador!$E$10)/(Simulador!$E$8-Simulador!$E$11)*(DD$2-Simulador!$E$11),0),
                0
            ),
            0
        )
    )
)</f>
        <v>0</v>
      </c>
      <c r="DE7" s="61">
        <f>IF(Simulador!$E$10=Simulador!$E$12,
    IF(AND(DE$2&lt;=Simulador!$E$11,ROUNDUP(Simulador!$E$10/Simulador!$E$11*DE$2,0)&lt;=Simulador!$E$12),
        ROUNDUP(Simulador!$E$10/Simulador!$E$11*DE$2,0),
        IF(DE$2&lt;=Simulador!$E$8,Simulador!$E$12,0)
    ),
    IF(DE$2&lt;=Simulador!$E$11,
        IF(ROUNDUP(Simulador!$E$10/Simulador!$E$11*DE$2,0)&lt;=Simulador!$E$12,
            ROUNDUP(Simulador!$E$10/Simulador!$E$11*DE$2,0),
            0
        ),
        IF(ROUNDUP(Simulador!$E$10+(Simulador!$E$12-Simulador!$E$10)/(Simulador!$E$8-Simulador!$E$11)*(DE$2-Simulador!$E$11),0)&lt;=Simulador!$E$12,
            IF(DE$2&lt;=Simulador!$E$8,
                ROUNDUP(Simulador!$E$10+(Simulador!$E$12-Simulador!$E$10)/(Simulador!$E$8-Simulador!$E$11)*(DE$2-Simulador!$E$11),0),
                0
            ),
            0
        )
    )
)</f>
        <v>0</v>
      </c>
      <c r="DF7" s="61">
        <f>IF(Simulador!$E$10=Simulador!$E$12,
    IF(AND(DF$2&lt;=Simulador!$E$11,ROUNDUP(Simulador!$E$10/Simulador!$E$11*DF$2,0)&lt;=Simulador!$E$12),
        ROUNDUP(Simulador!$E$10/Simulador!$E$11*DF$2,0),
        IF(DF$2&lt;=Simulador!$E$8,Simulador!$E$12,0)
    ),
    IF(DF$2&lt;=Simulador!$E$11,
        IF(ROUNDUP(Simulador!$E$10/Simulador!$E$11*DF$2,0)&lt;=Simulador!$E$12,
            ROUNDUP(Simulador!$E$10/Simulador!$E$11*DF$2,0),
            0
        ),
        IF(ROUNDUP(Simulador!$E$10+(Simulador!$E$12-Simulador!$E$10)/(Simulador!$E$8-Simulador!$E$11)*(DF$2-Simulador!$E$11),0)&lt;=Simulador!$E$12,
            IF(DF$2&lt;=Simulador!$E$8,
                ROUNDUP(Simulador!$E$10+(Simulador!$E$12-Simulador!$E$10)/(Simulador!$E$8-Simulador!$E$11)*(DF$2-Simulador!$E$11),0),
                0
            ),
            0
        )
    )
)</f>
        <v>0</v>
      </c>
      <c r="DG7" s="61">
        <f>IF(Simulador!$E$10=Simulador!$E$12,
    IF(AND(DG$2&lt;=Simulador!$E$11,ROUNDUP(Simulador!$E$10/Simulador!$E$11*DG$2,0)&lt;=Simulador!$E$12),
        ROUNDUP(Simulador!$E$10/Simulador!$E$11*DG$2,0),
        IF(DG$2&lt;=Simulador!$E$8,Simulador!$E$12,0)
    ),
    IF(DG$2&lt;=Simulador!$E$11,
        IF(ROUNDUP(Simulador!$E$10/Simulador!$E$11*DG$2,0)&lt;=Simulador!$E$12,
            ROUNDUP(Simulador!$E$10/Simulador!$E$11*DG$2,0),
            0
        ),
        IF(ROUNDUP(Simulador!$E$10+(Simulador!$E$12-Simulador!$E$10)/(Simulador!$E$8-Simulador!$E$11)*(DG$2-Simulador!$E$11),0)&lt;=Simulador!$E$12,
            IF(DG$2&lt;=Simulador!$E$8,
                ROUNDUP(Simulador!$E$10+(Simulador!$E$12-Simulador!$E$10)/(Simulador!$E$8-Simulador!$E$11)*(DG$2-Simulador!$E$11),0),
                0
            ),
            0
        )
    )
)</f>
        <v>0</v>
      </c>
      <c r="DH7" s="61">
        <f>IF(Simulador!$E$10=Simulador!$E$12,
    IF(AND(DH$2&lt;=Simulador!$E$11,ROUNDUP(Simulador!$E$10/Simulador!$E$11*DH$2,0)&lt;=Simulador!$E$12),
        ROUNDUP(Simulador!$E$10/Simulador!$E$11*DH$2,0),
        IF(DH$2&lt;=Simulador!$E$8,Simulador!$E$12,0)
    ),
    IF(DH$2&lt;=Simulador!$E$11,
        IF(ROUNDUP(Simulador!$E$10/Simulador!$E$11*DH$2,0)&lt;=Simulador!$E$12,
            ROUNDUP(Simulador!$E$10/Simulador!$E$11*DH$2,0),
            0
        ),
        IF(ROUNDUP(Simulador!$E$10+(Simulador!$E$12-Simulador!$E$10)/(Simulador!$E$8-Simulador!$E$11)*(DH$2-Simulador!$E$11),0)&lt;=Simulador!$E$12,
            IF(DH$2&lt;=Simulador!$E$8,
                ROUNDUP(Simulador!$E$10+(Simulador!$E$12-Simulador!$E$10)/(Simulador!$E$8-Simulador!$E$11)*(DH$2-Simulador!$E$11),0),
                0
            ),
            0
        )
    )
)</f>
        <v>0</v>
      </c>
      <c r="DI7" s="61">
        <f>IF(Simulador!$E$10=Simulador!$E$12,
    IF(AND(DI$2&lt;=Simulador!$E$11,ROUNDUP(Simulador!$E$10/Simulador!$E$11*DI$2,0)&lt;=Simulador!$E$12),
        ROUNDUP(Simulador!$E$10/Simulador!$E$11*DI$2,0),
        IF(DI$2&lt;=Simulador!$E$8,Simulador!$E$12,0)
    ),
    IF(DI$2&lt;=Simulador!$E$11,
        IF(ROUNDUP(Simulador!$E$10/Simulador!$E$11*DI$2,0)&lt;=Simulador!$E$12,
            ROUNDUP(Simulador!$E$10/Simulador!$E$11*DI$2,0),
            0
        ),
        IF(ROUNDUP(Simulador!$E$10+(Simulador!$E$12-Simulador!$E$10)/(Simulador!$E$8-Simulador!$E$11)*(DI$2-Simulador!$E$11),0)&lt;=Simulador!$E$12,
            IF(DI$2&lt;=Simulador!$E$8,
                ROUNDUP(Simulador!$E$10+(Simulador!$E$12-Simulador!$E$10)/(Simulador!$E$8-Simulador!$E$11)*(DI$2-Simulador!$E$11),0),
                0
            ),
            0
        )
    )
)</f>
        <v>0</v>
      </c>
      <c r="DJ7" s="61">
        <f>IF(Simulador!$E$10=Simulador!$E$12,
    IF(AND(DJ$2&lt;=Simulador!$E$11,ROUNDUP(Simulador!$E$10/Simulador!$E$11*DJ$2,0)&lt;=Simulador!$E$12),
        ROUNDUP(Simulador!$E$10/Simulador!$E$11*DJ$2,0),
        IF(DJ$2&lt;=Simulador!$E$8,Simulador!$E$12,0)
    ),
    IF(DJ$2&lt;=Simulador!$E$11,
        IF(ROUNDUP(Simulador!$E$10/Simulador!$E$11*DJ$2,0)&lt;=Simulador!$E$12,
            ROUNDUP(Simulador!$E$10/Simulador!$E$11*DJ$2,0),
            0
        ),
        IF(ROUNDUP(Simulador!$E$10+(Simulador!$E$12-Simulador!$E$10)/(Simulador!$E$8-Simulador!$E$11)*(DJ$2-Simulador!$E$11),0)&lt;=Simulador!$E$12,
            IF(DJ$2&lt;=Simulador!$E$8,
                ROUNDUP(Simulador!$E$10+(Simulador!$E$12-Simulador!$E$10)/(Simulador!$E$8-Simulador!$E$11)*(DJ$2-Simulador!$E$11),0),
                0
            ),
            0
        )
    )
)</f>
        <v>0</v>
      </c>
      <c r="DK7" s="61">
        <f>IF(Simulador!$E$10=Simulador!$E$12,
    IF(AND(DK$2&lt;=Simulador!$E$11,ROUNDUP(Simulador!$E$10/Simulador!$E$11*DK$2,0)&lt;=Simulador!$E$12),
        ROUNDUP(Simulador!$E$10/Simulador!$E$11*DK$2,0),
        IF(DK$2&lt;=Simulador!$E$8,Simulador!$E$12,0)
    ),
    IF(DK$2&lt;=Simulador!$E$11,
        IF(ROUNDUP(Simulador!$E$10/Simulador!$E$11*DK$2,0)&lt;=Simulador!$E$12,
            ROUNDUP(Simulador!$E$10/Simulador!$E$11*DK$2,0),
            0
        ),
        IF(ROUNDUP(Simulador!$E$10+(Simulador!$E$12-Simulador!$E$10)/(Simulador!$E$8-Simulador!$E$11)*(DK$2-Simulador!$E$11),0)&lt;=Simulador!$E$12,
            IF(DK$2&lt;=Simulador!$E$8,
                ROUNDUP(Simulador!$E$10+(Simulador!$E$12-Simulador!$E$10)/(Simulador!$E$8-Simulador!$E$11)*(DK$2-Simulador!$E$11),0),
                0
            ),
            0
        )
    )
)</f>
        <v>0</v>
      </c>
      <c r="DL7" s="61">
        <f>IF(Simulador!$E$10=Simulador!$E$12,
    IF(AND(DL$2&lt;=Simulador!$E$11,ROUNDUP(Simulador!$E$10/Simulador!$E$11*DL$2,0)&lt;=Simulador!$E$12),
        ROUNDUP(Simulador!$E$10/Simulador!$E$11*DL$2,0),
        IF(DL$2&lt;=Simulador!$E$8,Simulador!$E$12,0)
    ),
    IF(DL$2&lt;=Simulador!$E$11,
        IF(ROUNDUP(Simulador!$E$10/Simulador!$E$11*DL$2,0)&lt;=Simulador!$E$12,
            ROUNDUP(Simulador!$E$10/Simulador!$E$11*DL$2,0),
            0
        ),
        IF(ROUNDUP(Simulador!$E$10+(Simulador!$E$12-Simulador!$E$10)/(Simulador!$E$8-Simulador!$E$11)*(DL$2-Simulador!$E$11),0)&lt;=Simulador!$E$12,
            IF(DL$2&lt;=Simulador!$E$8,
                ROUNDUP(Simulador!$E$10+(Simulador!$E$12-Simulador!$E$10)/(Simulador!$E$8-Simulador!$E$11)*(DL$2-Simulador!$E$11),0),
                0
            ),
            0
        )
    )
)</f>
        <v>0</v>
      </c>
      <c r="DM7" s="61">
        <f>IF(Simulador!$E$10=Simulador!$E$12,
    IF(AND(DM$2&lt;=Simulador!$E$11,ROUNDUP(Simulador!$E$10/Simulador!$E$11*DM$2,0)&lt;=Simulador!$E$12),
        ROUNDUP(Simulador!$E$10/Simulador!$E$11*DM$2,0),
        IF(DM$2&lt;=Simulador!$E$8,Simulador!$E$12,0)
    ),
    IF(DM$2&lt;=Simulador!$E$11,
        IF(ROUNDUP(Simulador!$E$10/Simulador!$E$11*DM$2,0)&lt;=Simulador!$E$12,
            ROUNDUP(Simulador!$E$10/Simulador!$E$11*DM$2,0),
            0
        ),
        IF(ROUNDUP(Simulador!$E$10+(Simulador!$E$12-Simulador!$E$10)/(Simulador!$E$8-Simulador!$E$11)*(DM$2-Simulador!$E$11),0)&lt;=Simulador!$E$12,
            IF(DM$2&lt;=Simulador!$E$8,
                ROUNDUP(Simulador!$E$10+(Simulador!$E$12-Simulador!$E$10)/(Simulador!$E$8-Simulador!$E$11)*(DM$2-Simulador!$E$11),0),
                0
            ),
            0
        )
    )
)</f>
        <v>0</v>
      </c>
      <c r="DN7" s="61">
        <f>IF(Simulador!$E$10=Simulador!$E$12,
    IF(AND(DN$2&lt;=Simulador!$E$11,ROUNDUP(Simulador!$E$10/Simulador!$E$11*DN$2,0)&lt;=Simulador!$E$12),
        ROUNDUP(Simulador!$E$10/Simulador!$E$11*DN$2,0),
        IF(DN$2&lt;=Simulador!$E$8,Simulador!$E$12,0)
    ),
    IF(DN$2&lt;=Simulador!$E$11,
        IF(ROUNDUP(Simulador!$E$10/Simulador!$E$11*DN$2,0)&lt;=Simulador!$E$12,
            ROUNDUP(Simulador!$E$10/Simulador!$E$11*DN$2,0),
            0
        ),
        IF(ROUNDUP(Simulador!$E$10+(Simulador!$E$12-Simulador!$E$10)/(Simulador!$E$8-Simulador!$E$11)*(DN$2-Simulador!$E$11),0)&lt;=Simulador!$E$12,
            IF(DN$2&lt;=Simulador!$E$8,
                ROUNDUP(Simulador!$E$10+(Simulador!$E$12-Simulador!$E$10)/(Simulador!$E$8-Simulador!$E$11)*(DN$2-Simulador!$E$11),0),
                0
            ),
            0
        )
    )
)</f>
        <v>0</v>
      </c>
      <c r="DO7" s="61">
        <f>IF(Simulador!$E$10=Simulador!$E$12,
    IF(AND(DO$2&lt;=Simulador!$E$11,ROUNDUP(Simulador!$E$10/Simulador!$E$11*DO$2,0)&lt;=Simulador!$E$12),
        ROUNDUP(Simulador!$E$10/Simulador!$E$11*DO$2,0),
        IF(DO$2&lt;=Simulador!$E$8,Simulador!$E$12,0)
    ),
    IF(DO$2&lt;=Simulador!$E$11,
        IF(ROUNDUP(Simulador!$E$10/Simulador!$E$11*DO$2,0)&lt;=Simulador!$E$12,
            ROUNDUP(Simulador!$E$10/Simulador!$E$11*DO$2,0),
            0
        ),
        IF(ROUNDUP(Simulador!$E$10+(Simulador!$E$12-Simulador!$E$10)/(Simulador!$E$8-Simulador!$E$11)*(DO$2-Simulador!$E$11),0)&lt;=Simulador!$E$12,
            IF(DO$2&lt;=Simulador!$E$8,
                ROUNDUP(Simulador!$E$10+(Simulador!$E$12-Simulador!$E$10)/(Simulador!$E$8-Simulador!$E$11)*(DO$2-Simulador!$E$11),0),
                0
            ),
            0
        )
    )
)</f>
        <v>0</v>
      </c>
      <c r="DP7" s="61">
        <f>IF(Simulador!$E$10=Simulador!$E$12,
    IF(AND(DP$2&lt;=Simulador!$E$11,ROUNDUP(Simulador!$E$10/Simulador!$E$11*DP$2,0)&lt;=Simulador!$E$12),
        ROUNDUP(Simulador!$E$10/Simulador!$E$11*DP$2,0),
        IF(DP$2&lt;=Simulador!$E$8,Simulador!$E$12,0)
    ),
    IF(DP$2&lt;=Simulador!$E$11,
        IF(ROUNDUP(Simulador!$E$10/Simulador!$E$11*DP$2,0)&lt;=Simulador!$E$12,
            ROUNDUP(Simulador!$E$10/Simulador!$E$11*DP$2,0),
            0
        ),
        IF(ROUNDUP(Simulador!$E$10+(Simulador!$E$12-Simulador!$E$10)/(Simulador!$E$8-Simulador!$E$11)*(DP$2-Simulador!$E$11),0)&lt;=Simulador!$E$12,
            IF(DP$2&lt;=Simulador!$E$8,
                ROUNDUP(Simulador!$E$10+(Simulador!$E$12-Simulador!$E$10)/(Simulador!$E$8-Simulador!$E$11)*(DP$2-Simulador!$E$11),0),
                0
            ),
            0
        )
    )
)</f>
        <v>0</v>
      </c>
      <c r="DQ7" s="61">
        <f>IF(Simulador!$E$10=Simulador!$E$12,
    IF(AND(DQ$2&lt;=Simulador!$E$11,ROUNDUP(Simulador!$E$10/Simulador!$E$11*DQ$2,0)&lt;=Simulador!$E$12),
        ROUNDUP(Simulador!$E$10/Simulador!$E$11*DQ$2,0),
        IF(DQ$2&lt;=Simulador!$E$8,Simulador!$E$12,0)
    ),
    IF(DQ$2&lt;=Simulador!$E$11,
        IF(ROUNDUP(Simulador!$E$10/Simulador!$E$11*DQ$2,0)&lt;=Simulador!$E$12,
            ROUNDUP(Simulador!$E$10/Simulador!$E$11*DQ$2,0),
            0
        ),
        IF(ROUNDUP(Simulador!$E$10+(Simulador!$E$12-Simulador!$E$10)/(Simulador!$E$8-Simulador!$E$11)*(DQ$2-Simulador!$E$11),0)&lt;=Simulador!$E$12,
            IF(DQ$2&lt;=Simulador!$E$8,
                ROUNDUP(Simulador!$E$10+(Simulador!$E$12-Simulador!$E$10)/(Simulador!$E$8-Simulador!$E$11)*(DQ$2-Simulador!$E$11),0),
                0
            ),
            0
        )
    )
)</f>
        <v>0</v>
      </c>
      <c r="DR7" s="61">
        <f>IF(Simulador!$E$10=Simulador!$E$12,
    IF(AND(DR$2&lt;=Simulador!$E$11,ROUNDUP(Simulador!$E$10/Simulador!$E$11*DR$2,0)&lt;=Simulador!$E$12),
        ROUNDUP(Simulador!$E$10/Simulador!$E$11*DR$2,0),
        IF(DR$2&lt;=Simulador!$E$8,Simulador!$E$12,0)
    ),
    IF(DR$2&lt;=Simulador!$E$11,
        IF(ROUNDUP(Simulador!$E$10/Simulador!$E$11*DR$2,0)&lt;=Simulador!$E$12,
            ROUNDUP(Simulador!$E$10/Simulador!$E$11*DR$2,0),
            0
        ),
        IF(ROUNDUP(Simulador!$E$10+(Simulador!$E$12-Simulador!$E$10)/(Simulador!$E$8-Simulador!$E$11)*(DR$2-Simulador!$E$11),0)&lt;=Simulador!$E$12,
            IF(DR$2&lt;=Simulador!$E$8,
                ROUNDUP(Simulador!$E$10+(Simulador!$E$12-Simulador!$E$10)/(Simulador!$E$8-Simulador!$E$11)*(DR$2-Simulador!$E$11),0),
                0
            ),
            0
        )
    )
)</f>
        <v>0</v>
      </c>
      <c r="DS7" s="61">
        <f>IF(Simulador!$E$10=Simulador!$E$12,
    IF(AND(DS$2&lt;=Simulador!$E$11,ROUNDUP(Simulador!$E$10/Simulador!$E$11*DS$2,0)&lt;=Simulador!$E$12),
        ROUNDUP(Simulador!$E$10/Simulador!$E$11*DS$2,0),
        IF(DS$2&lt;=Simulador!$E$8,Simulador!$E$12,0)
    ),
    IF(DS$2&lt;=Simulador!$E$11,
        IF(ROUNDUP(Simulador!$E$10/Simulador!$E$11*DS$2,0)&lt;=Simulador!$E$12,
            ROUNDUP(Simulador!$E$10/Simulador!$E$11*DS$2,0),
            0
        ),
        IF(ROUNDUP(Simulador!$E$10+(Simulador!$E$12-Simulador!$E$10)/(Simulador!$E$8-Simulador!$E$11)*(DS$2-Simulador!$E$11),0)&lt;=Simulador!$E$12,
            IF(DS$2&lt;=Simulador!$E$8,
                ROUNDUP(Simulador!$E$10+(Simulador!$E$12-Simulador!$E$10)/(Simulador!$E$8-Simulador!$E$11)*(DS$2-Simulador!$E$11),0),
                0
            ),
            0
        )
    )
)</f>
        <v>0</v>
      </c>
      <c r="DT7" s="61">
        <f>IF(Simulador!$E$10=Simulador!$E$12,
    IF(AND(DT$2&lt;=Simulador!$E$11,ROUNDUP(Simulador!$E$10/Simulador!$E$11*DT$2,0)&lt;=Simulador!$E$12),
        ROUNDUP(Simulador!$E$10/Simulador!$E$11*DT$2,0),
        IF(DT$2&lt;=Simulador!$E$8,Simulador!$E$12,0)
    ),
    IF(DT$2&lt;=Simulador!$E$11,
        IF(ROUNDUP(Simulador!$E$10/Simulador!$E$11*DT$2,0)&lt;=Simulador!$E$12,
            ROUNDUP(Simulador!$E$10/Simulador!$E$11*DT$2,0),
            0
        ),
        IF(ROUNDUP(Simulador!$E$10+(Simulador!$E$12-Simulador!$E$10)/(Simulador!$E$8-Simulador!$E$11)*(DT$2-Simulador!$E$11),0)&lt;=Simulador!$E$12,
            IF(DT$2&lt;=Simulador!$E$8,
                ROUNDUP(Simulador!$E$10+(Simulador!$E$12-Simulador!$E$10)/(Simulador!$E$8-Simulador!$E$11)*(DT$2-Simulador!$E$11),0),
                0
            ),
            0
        )
    )
)</f>
        <v>0</v>
      </c>
      <c r="DU7" s="61">
        <f>IF(Simulador!$E$10=Simulador!$E$12,
    IF(AND(DU$2&lt;=Simulador!$E$11,ROUNDUP(Simulador!$E$10/Simulador!$E$11*DU$2,0)&lt;=Simulador!$E$12),
        ROUNDUP(Simulador!$E$10/Simulador!$E$11*DU$2,0),
        IF(DU$2&lt;=Simulador!$E$8,Simulador!$E$12,0)
    ),
    IF(DU$2&lt;=Simulador!$E$11,
        IF(ROUNDUP(Simulador!$E$10/Simulador!$E$11*DU$2,0)&lt;=Simulador!$E$12,
            ROUNDUP(Simulador!$E$10/Simulador!$E$11*DU$2,0),
            0
        ),
        IF(ROUNDUP(Simulador!$E$10+(Simulador!$E$12-Simulador!$E$10)/(Simulador!$E$8-Simulador!$E$11)*(DU$2-Simulador!$E$11),0)&lt;=Simulador!$E$12,
            IF(DU$2&lt;=Simulador!$E$8,
                ROUNDUP(Simulador!$E$10+(Simulador!$E$12-Simulador!$E$10)/(Simulador!$E$8-Simulador!$E$11)*(DU$2-Simulador!$E$11),0),
                0
            ),
            0
        )
    )
)</f>
        <v>0</v>
      </c>
      <c r="DV7" s="61">
        <f>IF(Simulador!$E$10=Simulador!$E$12,
    IF(AND(DV$2&lt;=Simulador!$E$11,ROUNDUP(Simulador!$E$10/Simulador!$E$11*DV$2,0)&lt;=Simulador!$E$12),
        ROUNDUP(Simulador!$E$10/Simulador!$E$11*DV$2,0),
        IF(DV$2&lt;=Simulador!$E$8,Simulador!$E$12,0)
    ),
    IF(DV$2&lt;=Simulador!$E$11,
        IF(ROUNDUP(Simulador!$E$10/Simulador!$E$11*DV$2,0)&lt;=Simulador!$E$12,
            ROUNDUP(Simulador!$E$10/Simulador!$E$11*DV$2,0),
            0
        ),
        IF(ROUNDUP(Simulador!$E$10+(Simulador!$E$12-Simulador!$E$10)/(Simulador!$E$8-Simulador!$E$11)*(DV$2-Simulador!$E$11),0)&lt;=Simulador!$E$12,
            IF(DV$2&lt;=Simulador!$E$8,
                ROUNDUP(Simulador!$E$10+(Simulador!$E$12-Simulador!$E$10)/(Simulador!$E$8-Simulador!$E$11)*(DV$2-Simulador!$E$11),0),
                0
            ),
            0
        )
    )
)</f>
        <v>0</v>
      </c>
      <c r="DW7" s="61">
        <f>IF(Simulador!$E$10=Simulador!$E$12,
    IF(AND(DW$2&lt;=Simulador!$E$11,ROUNDUP(Simulador!$E$10/Simulador!$E$11*DW$2,0)&lt;=Simulador!$E$12),
        ROUNDUP(Simulador!$E$10/Simulador!$E$11*DW$2,0),
        IF(DW$2&lt;=Simulador!$E$8,Simulador!$E$12,0)
    ),
    IF(DW$2&lt;=Simulador!$E$11,
        IF(ROUNDUP(Simulador!$E$10/Simulador!$E$11*DW$2,0)&lt;=Simulador!$E$12,
            ROUNDUP(Simulador!$E$10/Simulador!$E$11*DW$2,0),
            0
        ),
        IF(ROUNDUP(Simulador!$E$10+(Simulador!$E$12-Simulador!$E$10)/(Simulador!$E$8-Simulador!$E$11)*(DW$2-Simulador!$E$11),0)&lt;=Simulador!$E$12,
            IF(DW$2&lt;=Simulador!$E$8,
                ROUNDUP(Simulador!$E$10+(Simulador!$E$12-Simulador!$E$10)/(Simulador!$E$8-Simulador!$E$11)*(DW$2-Simulador!$E$11),0),
                0
            ),
            0
        )
    )
)</f>
        <v>0</v>
      </c>
      <c r="DX7" s="61">
        <f>IF(Simulador!$E$10=Simulador!$E$12,
    IF(AND(DX$2&lt;=Simulador!$E$11,ROUNDUP(Simulador!$E$10/Simulador!$E$11*DX$2,0)&lt;=Simulador!$E$12),
        ROUNDUP(Simulador!$E$10/Simulador!$E$11*DX$2,0),
        IF(DX$2&lt;=Simulador!$E$8,Simulador!$E$12,0)
    ),
    IF(DX$2&lt;=Simulador!$E$11,
        IF(ROUNDUP(Simulador!$E$10/Simulador!$E$11*DX$2,0)&lt;=Simulador!$E$12,
            ROUNDUP(Simulador!$E$10/Simulador!$E$11*DX$2,0),
            0
        ),
        IF(ROUNDUP(Simulador!$E$10+(Simulador!$E$12-Simulador!$E$10)/(Simulador!$E$8-Simulador!$E$11)*(DX$2-Simulador!$E$11),0)&lt;=Simulador!$E$12,
            IF(DX$2&lt;=Simulador!$E$8,
                ROUNDUP(Simulador!$E$10+(Simulador!$E$12-Simulador!$E$10)/(Simulador!$E$8-Simulador!$E$11)*(DX$2-Simulador!$E$11),0),
                0
            ),
            0
        )
    )
)</f>
        <v>0</v>
      </c>
      <c r="DY7" s="61">
        <f>IF(Simulador!$E$10=Simulador!$E$12,
    IF(AND(DY$2&lt;=Simulador!$E$11,ROUNDUP(Simulador!$E$10/Simulador!$E$11*DY$2,0)&lt;=Simulador!$E$12),
        ROUNDUP(Simulador!$E$10/Simulador!$E$11*DY$2,0),
        IF(DY$2&lt;=Simulador!$E$8,Simulador!$E$12,0)
    ),
    IF(DY$2&lt;=Simulador!$E$11,
        IF(ROUNDUP(Simulador!$E$10/Simulador!$E$11*DY$2,0)&lt;=Simulador!$E$12,
            ROUNDUP(Simulador!$E$10/Simulador!$E$11*DY$2,0),
            0
        ),
        IF(ROUNDUP(Simulador!$E$10+(Simulador!$E$12-Simulador!$E$10)/(Simulador!$E$8-Simulador!$E$11)*(DY$2-Simulador!$E$11),0)&lt;=Simulador!$E$12,
            IF(DY$2&lt;=Simulador!$E$8,
                ROUNDUP(Simulador!$E$10+(Simulador!$E$12-Simulador!$E$10)/(Simulador!$E$8-Simulador!$E$11)*(DY$2-Simulador!$E$11),0),
                0
            ),
            0
        )
    )
)</f>
        <v>0</v>
      </c>
      <c r="DZ7" s="61">
        <f>IF(Simulador!$E$10=Simulador!$E$12,
    IF(AND(DZ$2&lt;=Simulador!$E$11,ROUNDUP(Simulador!$E$10/Simulador!$E$11*DZ$2,0)&lt;=Simulador!$E$12),
        ROUNDUP(Simulador!$E$10/Simulador!$E$11*DZ$2,0),
        IF(DZ$2&lt;=Simulador!$E$8,Simulador!$E$12,0)
    ),
    IF(DZ$2&lt;=Simulador!$E$11,
        IF(ROUNDUP(Simulador!$E$10/Simulador!$E$11*DZ$2,0)&lt;=Simulador!$E$12,
            ROUNDUP(Simulador!$E$10/Simulador!$E$11*DZ$2,0),
            0
        ),
        IF(ROUNDUP(Simulador!$E$10+(Simulador!$E$12-Simulador!$E$10)/(Simulador!$E$8-Simulador!$E$11)*(DZ$2-Simulador!$E$11),0)&lt;=Simulador!$E$12,
            IF(DZ$2&lt;=Simulador!$E$8,
                ROUNDUP(Simulador!$E$10+(Simulador!$E$12-Simulador!$E$10)/(Simulador!$E$8-Simulador!$E$11)*(DZ$2-Simulador!$E$11),0),
                0
            ),
            0
        )
    )
)</f>
        <v>0</v>
      </c>
      <c r="EA7" s="61">
        <f>IF(Simulador!$E$10=Simulador!$E$12,
    IF(AND(EA$2&lt;=Simulador!$E$11,ROUNDUP(Simulador!$E$10/Simulador!$E$11*EA$2,0)&lt;=Simulador!$E$12),
        ROUNDUP(Simulador!$E$10/Simulador!$E$11*EA$2,0),
        IF(EA$2&lt;=Simulador!$E$8,Simulador!$E$12,0)
    ),
    IF(EA$2&lt;=Simulador!$E$11,
        IF(ROUNDUP(Simulador!$E$10/Simulador!$E$11*EA$2,0)&lt;=Simulador!$E$12,
            ROUNDUP(Simulador!$E$10/Simulador!$E$11*EA$2,0),
            0
        ),
        IF(ROUNDUP(Simulador!$E$10+(Simulador!$E$12-Simulador!$E$10)/(Simulador!$E$8-Simulador!$E$11)*(EA$2-Simulador!$E$11),0)&lt;=Simulador!$E$12,
            IF(EA$2&lt;=Simulador!$E$8,
                ROUNDUP(Simulador!$E$10+(Simulador!$E$12-Simulador!$E$10)/(Simulador!$E$8-Simulador!$E$11)*(EA$2-Simulador!$E$11),0),
                0
            ),
            0
        )
    )
)</f>
        <v>0</v>
      </c>
      <c r="EB7" s="61">
        <f>IF(Simulador!$E$10=Simulador!$E$12,
    IF(AND(EB$2&lt;=Simulador!$E$11,ROUNDUP(Simulador!$E$10/Simulador!$E$11*EB$2,0)&lt;=Simulador!$E$12),
        ROUNDUP(Simulador!$E$10/Simulador!$E$11*EB$2,0),
        IF(EB$2&lt;=Simulador!$E$8,Simulador!$E$12,0)
    ),
    IF(EB$2&lt;=Simulador!$E$11,
        IF(ROUNDUP(Simulador!$E$10/Simulador!$E$11*EB$2,0)&lt;=Simulador!$E$12,
            ROUNDUP(Simulador!$E$10/Simulador!$E$11*EB$2,0),
            0
        ),
        IF(ROUNDUP(Simulador!$E$10+(Simulador!$E$12-Simulador!$E$10)/(Simulador!$E$8-Simulador!$E$11)*(EB$2-Simulador!$E$11),0)&lt;=Simulador!$E$12,
            IF(EB$2&lt;=Simulador!$E$8,
                ROUNDUP(Simulador!$E$10+(Simulador!$E$12-Simulador!$E$10)/(Simulador!$E$8-Simulador!$E$11)*(EB$2-Simulador!$E$11),0),
                0
            ),
            0
        )
    )
)</f>
        <v>0</v>
      </c>
      <c r="EC7" s="61">
        <f>IF(Simulador!$E$10=Simulador!$E$12,
    IF(AND(EC$2&lt;=Simulador!$E$11,ROUNDUP(Simulador!$E$10/Simulador!$E$11*EC$2,0)&lt;=Simulador!$E$12),
        ROUNDUP(Simulador!$E$10/Simulador!$E$11*EC$2,0),
        IF(EC$2&lt;=Simulador!$E$8,Simulador!$E$12,0)
    ),
    IF(EC$2&lt;=Simulador!$E$11,
        IF(ROUNDUP(Simulador!$E$10/Simulador!$E$11*EC$2,0)&lt;=Simulador!$E$12,
            ROUNDUP(Simulador!$E$10/Simulador!$E$11*EC$2,0),
            0
        ),
        IF(ROUNDUP(Simulador!$E$10+(Simulador!$E$12-Simulador!$E$10)/(Simulador!$E$8-Simulador!$E$11)*(EC$2-Simulador!$E$11),0)&lt;=Simulador!$E$12,
            IF(EC$2&lt;=Simulador!$E$8,
                ROUNDUP(Simulador!$E$10+(Simulador!$E$12-Simulador!$E$10)/(Simulador!$E$8-Simulador!$E$11)*(EC$2-Simulador!$E$11),0),
                0
            ),
            0
        )
    )
)</f>
        <v>0</v>
      </c>
      <c r="ED7" s="61">
        <f>IF(Simulador!$E$10=Simulador!$E$12,
    IF(AND(ED$2&lt;=Simulador!$E$11,ROUNDUP(Simulador!$E$10/Simulador!$E$11*ED$2,0)&lt;=Simulador!$E$12),
        ROUNDUP(Simulador!$E$10/Simulador!$E$11*ED$2,0),
        IF(ED$2&lt;=Simulador!$E$8,Simulador!$E$12,0)
    ),
    IF(ED$2&lt;=Simulador!$E$11,
        IF(ROUNDUP(Simulador!$E$10/Simulador!$E$11*ED$2,0)&lt;=Simulador!$E$12,
            ROUNDUP(Simulador!$E$10/Simulador!$E$11*ED$2,0),
            0
        ),
        IF(ROUNDUP(Simulador!$E$10+(Simulador!$E$12-Simulador!$E$10)/(Simulador!$E$8-Simulador!$E$11)*(ED$2-Simulador!$E$11),0)&lt;=Simulador!$E$12,
            IF(ED$2&lt;=Simulador!$E$8,
                ROUNDUP(Simulador!$E$10+(Simulador!$E$12-Simulador!$E$10)/(Simulador!$E$8-Simulador!$E$11)*(ED$2-Simulador!$E$11),0),
                0
            ),
            0
        )
    )
)</f>
        <v>0</v>
      </c>
      <c r="EE7" s="61"/>
    </row>
    <row r="8" spans="1:135" ht="13" x14ac:dyDescent="0.3">
      <c r="A8" s="61"/>
      <c r="B8" s="65"/>
      <c r="C8" s="66"/>
      <c r="D8" s="65"/>
      <c r="E8" s="65"/>
      <c r="F8" s="65"/>
      <c r="G8" s="65"/>
      <c r="H8" s="65"/>
      <c r="I8" s="65"/>
      <c r="J8" s="65"/>
      <c r="K8" s="65"/>
      <c r="L8" s="65"/>
      <c r="M8" s="65"/>
      <c r="N8" s="66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</row>
    <row r="9" spans="1:135" ht="13" x14ac:dyDescent="0.3">
      <c r="A9" s="61"/>
      <c r="B9" s="65" t="s">
        <v>28</v>
      </c>
      <c r="C9" s="61"/>
      <c r="D9" s="65">
        <f>IF(AND(SUMIFS($O9:$BV9,$O$3:$BV$3,D$4)=0,D$11&lt;&gt;0),MAX(O9:BV9),SUMIFS($O9:$BV9,$O$3:$BV$3,D$4))</f>
        <v>25</v>
      </c>
      <c r="E9" s="65">
        <f t="shared" ref="E9:H9" si="4">IF(AND(SUMIFS($O9:$BV9,$O$3:$BV$3,E$4)=0,E$11&lt;&gt;0),MAX(P9:EE9),SUMIFS($O9:$BV9,$O$3:$BV$3,E$4))</f>
        <v>25</v>
      </c>
      <c r="F9" s="65">
        <f t="shared" si="4"/>
        <v>25</v>
      </c>
      <c r="G9" s="65">
        <f t="shared" si="4"/>
        <v>25</v>
      </c>
      <c r="H9" s="65">
        <f t="shared" si="4"/>
        <v>25</v>
      </c>
      <c r="I9" s="65">
        <f t="shared" ref="I9:M9" si="5">IF(AND(SUMIFS($O9:$ED9,$O$3:$ED$3,I$4)=0,I$11&lt;&gt;0),MAX(T9:EI9),SUMIFS($O9:$ED9,$O$3:$ED$3,I$4))</f>
        <v>0</v>
      </c>
      <c r="J9" s="65">
        <f t="shared" si="5"/>
        <v>0</v>
      </c>
      <c r="K9" s="65">
        <f t="shared" si="5"/>
        <v>0</v>
      </c>
      <c r="L9" s="65">
        <f t="shared" si="5"/>
        <v>0</v>
      </c>
      <c r="M9" s="65">
        <f t="shared" si="5"/>
        <v>0</v>
      </c>
      <c r="N9" s="61"/>
      <c r="O9" s="61">
        <f>O7*Simulador!$E$22</f>
        <v>13</v>
      </c>
      <c r="P9" s="61">
        <f>P7*Simulador!$E$22</f>
        <v>25</v>
      </c>
      <c r="Q9" s="61">
        <f>Q7*Simulador!$E$22</f>
        <v>25</v>
      </c>
      <c r="R9" s="61">
        <f>R7*Simulador!$E$22</f>
        <v>25</v>
      </c>
      <c r="S9" s="61">
        <f>S7*Simulador!$E$22</f>
        <v>25</v>
      </c>
      <c r="T9" s="61">
        <f>T7*Simulador!$E$22</f>
        <v>25</v>
      </c>
      <c r="U9" s="61">
        <f>U7*Simulador!$E$22</f>
        <v>25</v>
      </c>
      <c r="V9" s="61">
        <f>V7*Simulador!$E$22</f>
        <v>25</v>
      </c>
      <c r="W9" s="61">
        <f>W7*Simulador!$E$22</f>
        <v>25</v>
      </c>
      <c r="X9" s="61">
        <f>X7*Simulador!$E$22</f>
        <v>25</v>
      </c>
      <c r="Y9" s="61">
        <f>Y7*Simulador!$E$22</f>
        <v>25</v>
      </c>
      <c r="Z9" s="61">
        <f>Z7*Simulador!$E$22</f>
        <v>25</v>
      </c>
      <c r="AA9" s="61">
        <f>AA7*Simulador!$E$22</f>
        <v>25</v>
      </c>
      <c r="AB9" s="61">
        <f>AB7*Simulador!$E$22</f>
        <v>25</v>
      </c>
      <c r="AC9" s="61">
        <f>AC7*Simulador!$E$22</f>
        <v>25</v>
      </c>
      <c r="AD9" s="61">
        <f>AD7*Simulador!$E$22</f>
        <v>25</v>
      </c>
      <c r="AE9" s="61">
        <f>AE7*Simulador!$E$22</f>
        <v>25</v>
      </c>
      <c r="AF9" s="61">
        <f>AF7*Simulador!$E$22</f>
        <v>25</v>
      </c>
      <c r="AG9" s="61">
        <f>AG7*Simulador!$E$22</f>
        <v>25</v>
      </c>
      <c r="AH9" s="61">
        <f>AH7*Simulador!$E$22</f>
        <v>25</v>
      </c>
      <c r="AI9" s="61">
        <f>AI7*Simulador!$E$22</f>
        <v>25</v>
      </c>
      <c r="AJ9" s="61">
        <f>AJ7*Simulador!$E$22</f>
        <v>25</v>
      </c>
      <c r="AK9" s="61">
        <f>AK7*Simulador!$E$22</f>
        <v>25</v>
      </c>
      <c r="AL9" s="61">
        <f>AL7*Simulador!$E$22</f>
        <v>25</v>
      </c>
      <c r="AM9" s="61">
        <f>AM7*Simulador!$E$22</f>
        <v>25</v>
      </c>
      <c r="AN9" s="61">
        <f>AN7*Simulador!$E$22</f>
        <v>25</v>
      </c>
      <c r="AO9" s="61">
        <f>AO7*Simulador!$E$22</f>
        <v>25</v>
      </c>
      <c r="AP9" s="61">
        <f>AP7*Simulador!$E$22</f>
        <v>25</v>
      </c>
      <c r="AQ9" s="61">
        <f>AQ7*Simulador!$E$22</f>
        <v>25</v>
      </c>
      <c r="AR9" s="61">
        <f>AR7*Simulador!$E$22</f>
        <v>25</v>
      </c>
      <c r="AS9" s="61">
        <f>AS7*Simulador!$E$22</f>
        <v>25</v>
      </c>
      <c r="AT9" s="61">
        <f>AT7*Simulador!$E$22</f>
        <v>25</v>
      </c>
      <c r="AU9" s="61">
        <f>AU7*Simulador!$E$22</f>
        <v>25</v>
      </c>
      <c r="AV9" s="61">
        <f>AV7*Simulador!$E$22</f>
        <v>25</v>
      </c>
      <c r="AW9" s="61">
        <f>AW7*Simulador!$E$22</f>
        <v>25</v>
      </c>
      <c r="AX9" s="61">
        <f>AX7*Simulador!$E$22</f>
        <v>25</v>
      </c>
      <c r="AY9" s="61">
        <f>AY7*Simulador!$E$22</f>
        <v>25</v>
      </c>
      <c r="AZ9" s="61">
        <f>AZ7*Simulador!$E$22</f>
        <v>25</v>
      </c>
      <c r="BA9" s="61">
        <f>BA7*Simulador!$E$22</f>
        <v>25</v>
      </c>
      <c r="BB9" s="61">
        <f>BB7*Simulador!$E$22</f>
        <v>25</v>
      </c>
      <c r="BC9" s="61">
        <f>BC7*Simulador!$E$22</f>
        <v>25</v>
      </c>
      <c r="BD9" s="61">
        <f>BD7*Simulador!$E$22</f>
        <v>25</v>
      </c>
      <c r="BE9" s="61">
        <f>BE7*Simulador!$E$22</f>
        <v>25</v>
      </c>
      <c r="BF9" s="61">
        <f>BF7*Simulador!$E$22</f>
        <v>25</v>
      </c>
      <c r="BG9" s="61">
        <f>BG7*Simulador!$E$22</f>
        <v>25</v>
      </c>
      <c r="BH9" s="61">
        <f>BH7*Simulador!$E$22</f>
        <v>25</v>
      </c>
      <c r="BI9" s="61">
        <f>BI7*Simulador!$E$22</f>
        <v>25</v>
      </c>
      <c r="BJ9" s="61">
        <f>BJ7*Simulador!$E$22</f>
        <v>25</v>
      </c>
      <c r="BK9" s="61">
        <f>BK7*Simulador!$E$22</f>
        <v>25</v>
      </c>
      <c r="BL9" s="61">
        <f>BL7*Simulador!$E$22</f>
        <v>25</v>
      </c>
      <c r="BM9" s="61">
        <f>BM7*Simulador!$E$22</f>
        <v>25</v>
      </c>
      <c r="BN9" s="61">
        <f>BN7*Simulador!$E$22</f>
        <v>25</v>
      </c>
      <c r="BO9" s="61">
        <f>BO7*Simulador!$E$22</f>
        <v>25</v>
      </c>
      <c r="BP9" s="61">
        <f>BP7*Simulador!$E$22</f>
        <v>25</v>
      </c>
      <c r="BQ9" s="61">
        <f>BQ7*Simulador!$E$22</f>
        <v>25</v>
      </c>
      <c r="BR9" s="61">
        <f>BR7*Simulador!$E$22</f>
        <v>25</v>
      </c>
      <c r="BS9" s="61">
        <f>BS7*Simulador!$E$22</f>
        <v>25</v>
      </c>
      <c r="BT9" s="61">
        <f>BT7*Simulador!$E$22</f>
        <v>25</v>
      </c>
      <c r="BU9" s="61">
        <f>BU7*Simulador!$E$22</f>
        <v>25</v>
      </c>
      <c r="BV9" s="61">
        <f>BV7*Simulador!$E$22</f>
        <v>25</v>
      </c>
      <c r="BW9" s="61">
        <f>BW7*Simulador!$E$22</f>
        <v>0</v>
      </c>
      <c r="BX9" s="61">
        <f>BX7*Simulador!$E$22</f>
        <v>0</v>
      </c>
      <c r="BY9" s="61">
        <f>BY7*Simulador!$E$22</f>
        <v>0</v>
      </c>
      <c r="BZ9" s="61">
        <f>BZ7*Simulador!$E$22</f>
        <v>0</v>
      </c>
      <c r="CA9" s="61">
        <f>CA7*Simulador!$E$22</f>
        <v>0</v>
      </c>
      <c r="CB9" s="61">
        <f>CB7*Simulador!$E$22</f>
        <v>0</v>
      </c>
      <c r="CC9" s="61">
        <f>CC7*Simulador!$E$22</f>
        <v>0</v>
      </c>
      <c r="CD9" s="61">
        <f>CD7*Simulador!$E$22</f>
        <v>0</v>
      </c>
      <c r="CE9" s="61">
        <f>CE7*Simulador!$E$22</f>
        <v>0</v>
      </c>
      <c r="CF9" s="61">
        <f>CF7*Simulador!$E$22</f>
        <v>0</v>
      </c>
      <c r="CG9" s="61">
        <f>CG7*Simulador!$E$22</f>
        <v>0</v>
      </c>
      <c r="CH9" s="61">
        <f>CH7*Simulador!$E$22</f>
        <v>0</v>
      </c>
      <c r="CI9" s="61">
        <f>CI7*Simulador!$E$22</f>
        <v>0</v>
      </c>
      <c r="CJ9" s="61">
        <f>CJ7*Simulador!$E$22</f>
        <v>0</v>
      </c>
      <c r="CK9" s="61">
        <f>CK7*Simulador!$E$22</f>
        <v>0</v>
      </c>
      <c r="CL9" s="61">
        <f>CL7*Simulador!$E$22</f>
        <v>0</v>
      </c>
      <c r="CM9" s="61">
        <f>CM7*Simulador!$E$22</f>
        <v>0</v>
      </c>
      <c r="CN9" s="61">
        <f>CN7*Simulador!$E$22</f>
        <v>0</v>
      </c>
      <c r="CO9" s="61">
        <f>CO7*Simulador!$E$22</f>
        <v>0</v>
      </c>
      <c r="CP9" s="61">
        <f>CP7*Simulador!$E$22</f>
        <v>0</v>
      </c>
      <c r="CQ9" s="61">
        <f>CQ7*Simulador!$E$22</f>
        <v>0</v>
      </c>
      <c r="CR9" s="61">
        <f>CR7*Simulador!$E$22</f>
        <v>0</v>
      </c>
      <c r="CS9" s="61">
        <f>CS7*Simulador!$E$22</f>
        <v>0</v>
      </c>
      <c r="CT9" s="61">
        <f>CT7*Simulador!$E$22</f>
        <v>0</v>
      </c>
      <c r="CU9" s="61">
        <f>CU7*Simulador!$E$22</f>
        <v>0</v>
      </c>
      <c r="CV9" s="61">
        <f>CV7*Simulador!$E$22</f>
        <v>0</v>
      </c>
      <c r="CW9" s="61">
        <f>CW7*Simulador!$E$22</f>
        <v>0</v>
      </c>
      <c r="CX9" s="61">
        <f>CX7*Simulador!$E$22</f>
        <v>0</v>
      </c>
      <c r="CY9" s="61">
        <f>CY7*Simulador!$E$22</f>
        <v>0</v>
      </c>
      <c r="CZ9" s="61">
        <f>CZ7*Simulador!$E$22</f>
        <v>0</v>
      </c>
      <c r="DA9" s="61">
        <f>DA7*Simulador!$E$22</f>
        <v>0</v>
      </c>
      <c r="DB9" s="61">
        <f>DB7*Simulador!$E$22</f>
        <v>0</v>
      </c>
      <c r="DC9" s="61">
        <f>DC7*Simulador!$E$22</f>
        <v>0</v>
      </c>
      <c r="DD9" s="61">
        <f>DD7*Simulador!$E$22</f>
        <v>0</v>
      </c>
      <c r="DE9" s="61">
        <f>DE7*Simulador!$E$22</f>
        <v>0</v>
      </c>
      <c r="DF9" s="61">
        <f>DF7*Simulador!$E$22</f>
        <v>0</v>
      </c>
      <c r="DG9" s="61">
        <f>DG7*Simulador!$E$22</f>
        <v>0</v>
      </c>
      <c r="DH9" s="61">
        <f>DH7*Simulador!$E$22</f>
        <v>0</v>
      </c>
      <c r="DI9" s="61">
        <f>DI7*Simulador!$E$22</f>
        <v>0</v>
      </c>
      <c r="DJ9" s="61">
        <f>DJ7*Simulador!$E$22</f>
        <v>0</v>
      </c>
      <c r="DK9" s="61">
        <f>DK7*Simulador!$E$22</f>
        <v>0</v>
      </c>
      <c r="DL9" s="61">
        <f>DL7*Simulador!$E$22</f>
        <v>0</v>
      </c>
      <c r="DM9" s="61">
        <f>DM7*Simulador!$E$22</f>
        <v>0</v>
      </c>
      <c r="DN9" s="61">
        <f>DN7*Simulador!$E$22</f>
        <v>0</v>
      </c>
      <c r="DO9" s="61">
        <f>DO7*Simulador!$E$22</f>
        <v>0</v>
      </c>
      <c r="DP9" s="61">
        <f>DP7*Simulador!$E$22</f>
        <v>0</v>
      </c>
      <c r="DQ9" s="61">
        <f>DQ7*Simulador!$E$22</f>
        <v>0</v>
      </c>
      <c r="DR9" s="61">
        <f>DR7*Simulador!$E$22</f>
        <v>0</v>
      </c>
      <c r="DS9" s="61">
        <f>DS7*Simulador!$E$22</f>
        <v>0</v>
      </c>
      <c r="DT9" s="61">
        <f>DT7*Simulador!$E$22</f>
        <v>0</v>
      </c>
      <c r="DU9" s="61">
        <f>DU7*Simulador!$E$22</f>
        <v>0</v>
      </c>
      <c r="DV9" s="61">
        <f>DV7*Simulador!$E$22</f>
        <v>0</v>
      </c>
      <c r="DW9" s="61">
        <f>DW7*Simulador!$E$22</f>
        <v>0</v>
      </c>
      <c r="DX9" s="61">
        <f>DX7*Simulador!$E$22</f>
        <v>0</v>
      </c>
      <c r="DY9" s="61">
        <f>DY7*Simulador!$E$22</f>
        <v>0</v>
      </c>
      <c r="DZ9" s="61">
        <f>DZ7*Simulador!$E$22</f>
        <v>0</v>
      </c>
      <c r="EA9" s="61">
        <f>EA7*Simulador!$E$22</f>
        <v>0</v>
      </c>
      <c r="EB9" s="61">
        <f>EB7*Simulador!$E$22</f>
        <v>0</v>
      </c>
      <c r="EC9" s="61">
        <f>EC7*Simulador!$E$22</f>
        <v>0</v>
      </c>
      <c r="ED9" s="61">
        <f>ED7*Simulador!$E$22</f>
        <v>0</v>
      </c>
      <c r="EE9" s="61"/>
    </row>
    <row r="11" spans="1:135" ht="13" x14ac:dyDescent="0.3">
      <c r="B11" s="38" t="s">
        <v>63</v>
      </c>
      <c r="C11" s="53"/>
      <c r="D11" s="67">
        <f t="shared" ref="D11:H11" si="6">SUMIFS($O11:$BV11,$O$4:$BV$4,D$3)</f>
        <v>0</v>
      </c>
      <c r="E11" s="67">
        <f t="shared" si="6"/>
        <v>0</v>
      </c>
      <c r="F11" s="67">
        <f t="shared" si="6"/>
        <v>0</v>
      </c>
      <c r="G11" s="67">
        <f t="shared" si="6"/>
        <v>0</v>
      </c>
      <c r="H11" s="67">
        <f t="shared" si="6"/>
        <v>0</v>
      </c>
      <c r="I11" s="67">
        <f t="shared" ref="I11:M11" si="7">SUMIFS($O11:$ED11,$O$4:$ED$4,I$3)</f>
        <v>0</v>
      </c>
      <c r="J11" s="67">
        <f t="shared" si="7"/>
        <v>0</v>
      </c>
      <c r="K11" s="67">
        <f t="shared" si="7"/>
        <v>0</v>
      </c>
      <c r="L11" s="67">
        <f t="shared" si="7"/>
        <v>0</v>
      </c>
      <c r="M11" s="67">
        <f t="shared" si="7"/>
        <v>0</v>
      </c>
      <c r="N11" s="53"/>
      <c r="O11" s="62">
        <f>O7*Simulador!$E$14</f>
        <v>0</v>
      </c>
      <c r="P11" s="62">
        <f>P7*Simulador!$E$14</f>
        <v>0</v>
      </c>
      <c r="Q11" s="62">
        <f>Q7*Simulador!$E$14</f>
        <v>0</v>
      </c>
      <c r="R11" s="62">
        <f>R7*Simulador!$E$14</f>
        <v>0</v>
      </c>
      <c r="S11" s="62">
        <f>S7*Simulador!$E$14</f>
        <v>0</v>
      </c>
      <c r="T11" s="62">
        <f>T7*Simulador!$E$14</f>
        <v>0</v>
      </c>
      <c r="U11" s="62">
        <f>U7*Simulador!$E$14</f>
        <v>0</v>
      </c>
      <c r="V11" s="62">
        <f>V7*Simulador!$E$14</f>
        <v>0</v>
      </c>
      <c r="W11" s="62">
        <f>W7*Simulador!$E$14</f>
        <v>0</v>
      </c>
      <c r="X11" s="62">
        <f>X7*Simulador!$E$14</f>
        <v>0</v>
      </c>
      <c r="Y11" s="62">
        <f>Y7*Simulador!$E$14</f>
        <v>0</v>
      </c>
      <c r="Z11" s="62">
        <f>Z7*Simulador!$E$14</f>
        <v>0</v>
      </c>
      <c r="AA11" s="62">
        <f>AA7*Simulador!$E$14</f>
        <v>0</v>
      </c>
      <c r="AB11" s="62">
        <f>AB7*Simulador!$E$14</f>
        <v>0</v>
      </c>
      <c r="AC11" s="62">
        <f>AC7*Simulador!$E$14</f>
        <v>0</v>
      </c>
      <c r="AD11" s="62">
        <f>AD7*Simulador!$E$14</f>
        <v>0</v>
      </c>
      <c r="AE11" s="62">
        <f>AE7*Simulador!$E$14</f>
        <v>0</v>
      </c>
      <c r="AF11" s="62">
        <f>AF7*Simulador!$E$14</f>
        <v>0</v>
      </c>
      <c r="AG11" s="62">
        <f>AG7*Simulador!$E$14</f>
        <v>0</v>
      </c>
      <c r="AH11" s="62">
        <f>AH7*Simulador!$E$14</f>
        <v>0</v>
      </c>
      <c r="AI11" s="62">
        <f>AI7*Simulador!$E$14</f>
        <v>0</v>
      </c>
      <c r="AJ11" s="62">
        <f>AJ7*Simulador!$E$14</f>
        <v>0</v>
      </c>
      <c r="AK11" s="62">
        <f>AK7*Simulador!$E$14</f>
        <v>0</v>
      </c>
      <c r="AL11" s="62">
        <f>AL7*Simulador!$E$14</f>
        <v>0</v>
      </c>
      <c r="AM11" s="62">
        <f>AM7*Simulador!$E$14</f>
        <v>0</v>
      </c>
      <c r="AN11" s="62">
        <f>AN7*Simulador!$E$14</f>
        <v>0</v>
      </c>
      <c r="AO11" s="62">
        <f>AO7*Simulador!$E$14</f>
        <v>0</v>
      </c>
      <c r="AP11" s="62">
        <f>AP7*Simulador!$E$14</f>
        <v>0</v>
      </c>
      <c r="AQ11" s="62">
        <f>AQ7*Simulador!$E$14</f>
        <v>0</v>
      </c>
      <c r="AR11" s="62">
        <f>AR7*Simulador!$E$14</f>
        <v>0</v>
      </c>
      <c r="AS11" s="62">
        <f>AS7*Simulador!$E$14</f>
        <v>0</v>
      </c>
      <c r="AT11" s="62">
        <f>AT7*Simulador!$E$14</f>
        <v>0</v>
      </c>
      <c r="AU11" s="62">
        <f>AU7*Simulador!$E$14</f>
        <v>0</v>
      </c>
      <c r="AV11" s="62">
        <f>AV7*Simulador!$E$14</f>
        <v>0</v>
      </c>
      <c r="AW11" s="62">
        <f>AW7*Simulador!$E$14</f>
        <v>0</v>
      </c>
      <c r="AX11" s="62">
        <f>AX7*Simulador!$E$14</f>
        <v>0</v>
      </c>
      <c r="AY11" s="62">
        <f>AY7*Simulador!$E$14</f>
        <v>0</v>
      </c>
      <c r="AZ11" s="62">
        <f>AZ7*Simulador!$E$14</f>
        <v>0</v>
      </c>
      <c r="BA11" s="62">
        <f>BA7*Simulador!$E$14</f>
        <v>0</v>
      </c>
      <c r="BB11" s="62">
        <f>BB7*Simulador!$E$14</f>
        <v>0</v>
      </c>
      <c r="BC11" s="62">
        <f>BC7*Simulador!$E$14</f>
        <v>0</v>
      </c>
      <c r="BD11" s="62">
        <f>BD7*Simulador!$E$14</f>
        <v>0</v>
      </c>
      <c r="BE11" s="62">
        <f>BE7*Simulador!$E$14</f>
        <v>0</v>
      </c>
      <c r="BF11" s="62">
        <f>BF7*Simulador!$E$14</f>
        <v>0</v>
      </c>
      <c r="BG11" s="62">
        <f>BG7*Simulador!$E$14</f>
        <v>0</v>
      </c>
      <c r="BH11" s="62">
        <f>BH7*Simulador!$E$14</f>
        <v>0</v>
      </c>
      <c r="BI11" s="62">
        <f>BI7*Simulador!$E$14</f>
        <v>0</v>
      </c>
      <c r="BJ11" s="62">
        <f>BJ7*Simulador!$E$14</f>
        <v>0</v>
      </c>
      <c r="BK11" s="62">
        <f>BK7*Simulador!$E$14</f>
        <v>0</v>
      </c>
      <c r="BL11" s="62">
        <f>BL7*Simulador!$E$14</f>
        <v>0</v>
      </c>
      <c r="BM11" s="62">
        <f>BM7*Simulador!$E$14</f>
        <v>0</v>
      </c>
      <c r="BN11" s="62">
        <f>BN7*Simulador!$E$14</f>
        <v>0</v>
      </c>
      <c r="BO11" s="62">
        <f>BO7*Simulador!$E$14</f>
        <v>0</v>
      </c>
      <c r="BP11" s="62">
        <f>BP7*Simulador!$E$14</f>
        <v>0</v>
      </c>
      <c r="BQ11" s="62">
        <f>BQ7*Simulador!$E$14</f>
        <v>0</v>
      </c>
      <c r="BR11" s="62">
        <f>BR7*Simulador!$E$14</f>
        <v>0</v>
      </c>
      <c r="BS11" s="62">
        <f>BS7*Simulador!$E$14</f>
        <v>0</v>
      </c>
      <c r="BT11" s="62">
        <f>BT7*Simulador!$E$14</f>
        <v>0</v>
      </c>
      <c r="BU11" s="62">
        <f>BU7*Simulador!$E$14</f>
        <v>0</v>
      </c>
      <c r="BV11" s="62">
        <f>BV7*Simulador!$E$14</f>
        <v>0</v>
      </c>
      <c r="BW11" s="62">
        <f>BW7*Simulador!$E$14</f>
        <v>0</v>
      </c>
      <c r="BX11" s="62">
        <f>BX7*Simulador!$E$14</f>
        <v>0</v>
      </c>
      <c r="BY11" s="62">
        <f>BY7*Simulador!$E$14</f>
        <v>0</v>
      </c>
      <c r="BZ11" s="62">
        <f>BZ7*Simulador!$E$14</f>
        <v>0</v>
      </c>
      <c r="CA11" s="62">
        <f>CA7*Simulador!$E$14</f>
        <v>0</v>
      </c>
      <c r="CB11" s="62">
        <f>CB7*Simulador!$E$14</f>
        <v>0</v>
      </c>
      <c r="CC11" s="62">
        <f>CC7*Simulador!$E$14</f>
        <v>0</v>
      </c>
      <c r="CD11" s="62">
        <f>CD7*Simulador!$E$14</f>
        <v>0</v>
      </c>
      <c r="CE11" s="62">
        <f>CE7*Simulador!$E$14</f>
        <v>0</v>
      </c>
      <c r="CF11" s="62">
        <f>CF7*Simulador!$E$14</f>
        <v>0</v>
      </c>
      <c r="CG11" s="62">
        <f>CG7*Simulador!$E$14</f>
        <v>0</v>
      </c>
      <c r="CH11" s="62">
        <f>CH7*Simulador!$E$14</f>
        <v>0</v>
      </c>
      <c r="CI11" s="62">
        <f>CI7*Simulador!$E$14</f>
        <v>0</v>
      </c>
      <c r="CJ11" s="62">
        <f>CJ7*Simulador!$E$14</f>
        <v>0</v>
      </c>
      <c r="CK11" s="62">
        <f>CK7*Simulador!$E$14</f>
        <v>0</v>
      </c>
      <c r="CL11" s="62">
        <f>CL7*Simulador!$E$14</f>
        <v>0</v>
      </c>
      <c r="CM11" s="62">
        <f>CM7*Simulador!$E$14</f>
        <v>0</v>
      </c>
      <c r="CN11" s="62">
        <f>CN7*Simulador!$E$14</f>
        <v>0</v>
      </c>
      <c r="CO11" s="62">
        <f>CO7*Simulador!$E$14</f>
        <v>0</v>
      </c>
      <c r="CP11" s="62">
        <f>CP7*Simulador!$E$14</f>
        <v>0</v>
      </c>
      <c r="CQ11" s="62">
        <f>CQ7*Simulador!$E$14</f>
        <v>0</v>
      </c>
      <c r="CR11" s="62">
        <f>CR7*Simulador!$E$14</f>
        <v>0</v>
      </c>
      <c r="CS11" s="62">
        <f>CS7*Simulador!$E$14</f>
        <v>0</v>
      </c>
      <c r="CT11" s="62">
        <f>CT7*Simulador!$E$14</f>
        <v>0</v>
      </c>
      <c r="CU11" s="62">
        <f>CU7*Simulador!$E$14</f>
        <v>0</v>
      </c>
      <c r="CV11" s="62">
        <f>CV7*Simulador!$E$14</f>
        <v>0</v>
      </c>
      <c r="CW11" s="62">
        <f>CW7*Simulador!$E$14</f>
        <v>0</v>
      </c>
      <c r="CX11" s="62">
        <f>CX7*Simulador!$E$14</f>
        <v>0</v>
      </c>
      <c r="CY11" s="62">
        <f>CY7*Simulador!$E$14</f>
        <v>0</v>
      </c>
      <c r="CZ11" s="62">
        <f>CZ7*Simulador!$E$14</f>
        <v>0</v>
      </c>
      <c r="DA11" s="62">
        <f>DA7*Simulador!$E$14</f>
        <v>0</v>
      </c>
      <c r="DB11" s="62">
        <f>DB7*Simulador!$E$14</f>
        <v>0</v>
      </c>
      <c r="DC11" s="62">
        <f>DC7*Simulador!$E$14</f>
        <v>0</v>
      </c>
      <c r="DD11" s="62">
        <f>DD7*Simulador!$E$14</f>
        <v>0</v>
      </c>
      <c r="DE11" s="62">
        <f>DE7*Simulador!$E$14</f>
        <v>0</v>
      </c>
      <c r="DF11" s="62">
        <f>DF7*Simulador!$E$14</f>
        <v>0</v>
      </c>
      <c r="DG11" s="62">
        <f>DG7*Simulador!$E$14</f>
        <v>0</v>
      </c>
      <c r="DH11" s="62">
        <f>DH7*Simulador!$E$14</f>
        <v>0</v>
      </c>
      <c r="DI11" s="62">
        <f>DI7*Simulador!$E$14</f>
        <v>0</v>
      </c>
      <c r="DJ11" s="62">
        <f>DJ7*Simulador!$E$14</f>
        <v>0</v>
      </c>
      <c r="DK11" s="62">
        <f>DK7*Simulador!$E$14</f>
        <v>0</v>
      </c>
      <c r="DL11" s="62">
        <f>DL7*Simulador!$E$14</f>
        <v>0</v>
      </c>
      <c r="DM11" s="62">
        <f>DM7*Simulador!$E$14</f>
        <v>0</v>
      </c>
      <c r="DN11" s="62">
        <f>DN7*Simulador!$E$14</f>
        <v>0</v>
      </c>
      <c r="DO11" s="62">
        <f>DO7*Simulador!$E$14</f>
        <v>0</v>
      </c>
      <c r="DP11" s="62">
        <f>DP7*Simulador!$E$14</f>
        <v>0</v>
      </c>
      <c r="DQ11" s="62">
        <f>DQ7*Simulador!$E$14</f>
        <v>0</v>
      </c>
      <c r="DR11" s="62">
        <f>DR7*Simulador!$E$14</f>
        <v>0</v>
      </c>
      <c r="DS11" s="62">
        <f>DS7*Simulador!$E$14</f>
        <v>0</v>
      </c>
      <c r="DT11" s="62">
        <f>DT7*Simulador!$E$14</f>
        <v>0</v>
      </c>
      <c r="DU11" s="62">
        <f>DU7*Simulador!$E$14</f>
        <v>0</v>
      </c>
      <c r="DV11" s="62">
        <f>DV7*Simulador!$E$14</f>
        <v>0</v>
      </c>
      <c r="DW11" s="62">
        <f>DW7*Simulador!$E$14</f>
        <v>0</v>
      </c>
      <c r="DX11" s="62">
        <f>DX7*Simulador!$E$14</f>
        <v>0</v>
      </c>
      <c r="DY11" s="62">
        <f>DY7*Simulador!$E$14</f>
        <v>0</v>
      </c>
      <c r="DZ11" s="62">
        <f>DZ7*Simulador!$E$14</f>
        <v>0</v>
      </c>
      <c r="EA11" s="62">
        <f>EA7*Simulador!$E$14</f>
        <v>0</v>
      </c>
      <c r="EB11" s="62">
        <f>EB7*Simulador!$E$14</f>
        <v>0</v>
      </c>
      <c r="EC11" s="62">
        <f>EC7*Simulador!$E$14</f>
        <v>0</v>
      </c>
      <c r="ED11" s="62">
        <f>ED7*Simulador!$E$14</f>
        <v>0</v>
      </c>
    </row>
    <row r="12" spans="1:135" ht="13" x14ac:dyDescent="0.3">
      <c r="B12" s="38"/>
      <c r="C12" s="53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53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</row>
    <row r="13" spans="1:135" ht="13" x14ac:dyDescent="0.3">
      <c r="B13" s="38" t="s">
        <v>64</v>
      </c>
      <c r="C13" s="53"/>
      <c r="D13" s="67">
        <f t="shared" ref="D13:H13" si="8">SUMIFS($O13:$BV13,$O$4:$BV$4,D$3)</f>
        <v>0</v>
      </c>
      <c r="E13" s="67">
        <f t="shared" si="8"/>
        <v>0</v>
      </c>
      <c r="F13" s="67">
        <f t="shared" si="8"/>
        <v>0</v>
      </c>
      <c r="G13" s="67">
        <f t="shared" si="8"/>
        <v>0</v>
      </c>
      <c r="H13" s="67">
        <f t="shared" si="8"/>
        <v>0</v>
      </c>
      <c r="I13" s="67">
        <f t="shared" ref="I13:M13" si="9">SUMIFS($O13:$ED13,$O$4:$ED$4,I$3)</f>
        <v>0</v>
      </c>
      <c r="J13" s="67">
        <f t="shared" si="9"/>
        <v>0</v>
      </c>
      <c r="K13" s="67">
        <f t="shared" si="9"/>
        <v>0</v>
      </c>
      <c r="L13" s="67">
        <f t="shared" si="9"/>
        <v>0</v>
      </c>
      <c r="M13" s="67">
        <f t="shared" si="9"/>
        <v>0</v>
      </c>
      <c r="N13" s="53"/>
      <c r="O13" s="62">
        <f>O11*Simulador!$E$16</f>
        <v>0</v>
      </c>
      <c r="P13" s="62">
        <f>P11*Simulador!$E$16</f>
        <v>0</v>
      </c>
      <c r="Q13" s="62">
        <f>Q11*Simulador!$E$16</f>
        <v>0</v>
      </c>
      <c r="R13" s="62">
        <f>R11*Simulador!$E$16</f>
        <v>0</v>
      </c>
      <c r="S13" s="62">
        <f>S11*Simulador!$E$16</f>
        <v>0</v>
      </c>
      <c r="T13" s="62">
        <f>T11*Simulador!$E$16</f>
        <v>0</v>
      </c>
      <c r="U13" s="62">
        <f>U11*Simulador!$E$16</f>
        <v>0</v>
      </c>
      <c r="V13" s="62">
        <f>V11*Simulador!$E$16</f>
        <v>0</v>
      </c>
      <c r="W13" s="62">
        <f>W11*Simulador!$E$16</f>
        <v>0</v>
      </c>
      <c r="X13" s="62">
        <f>X11*Simulador!$E$16</f>
        <v>0</v>
      </c>
      <c r="Y13" s="62">
        <f>Y11*Simulador!$E$16</f>
        <v>0</v>
      </c>
      <c r="Z13" s="62">
        <f>Z11*Simulador!$E$16</f>
        <v>0</v>
      </c>
      <c r="AA13" s="62">
        <f>AA11*Simulador!$E$16</f>
        <v>0</v>
      </c>
      <c r="AB13" s="62">
        <f>AB11*Simulador!$E$16</f>
        <v>0</v>
      </c>
      <c r="AC13" s="62">
        <f>AC11*Simulador!$E$16</f>
        <v>0</v>
      </c>
      <c r="AD13" s="62">
        <f>AD11*Simulador!$E$16</f>
        <v>0</v>
      </c>
      <c r="AE13" s="62">
        <f>AE11*Simulador!$E$16</f>
        <v>0</v>
      </c>
      <c r="AF13" s="62">
        <f>AF11*Simulador!$E$16</f>
        <v>0</v>
      </c>
      <c r="AG13" s="62">
        <f>AG11*Simulador!$E$16</f>
        <v>0</v>
      </c>
      <c r="AH13" s="62">
        <f>AH11*Simulador!$E$16</f>
        <v>0</v>
      </c>
      <c r="AI13" s="62">
        <f>AI11*Simulador!$E$16</f>
        <v>0</v>
      </c>
      <c r="AJ13" s="62">
        <f>AJ11*Simulador!$E$16</f>
        <v>0</v>
      </c>
      <c r="AK13" s="62">
        <f>AK11*Simulador!$E$16</f>
        <v>0</v>
      </c>
      <c r="AL13" s="62">
        <f>AL11*Simulador!$E$16</f>
        <v>0</v>
      </c>
      <c r="AM13" s="62">
        <f>AM11*Simulador!$E$16</f>
        <v>0</v>
      </c>
      <c r="AN13" s="62">
        <f>AN11*Simulador!$E$16</f>
        <v>0</v>
      </c>
      <c r="AO13" s="62">
        <f>AO11*Simulador!$E$16</f>
        <v>0</v>
      </c>
      <c r="AP13" s="62">
        <f>AP11*Simulador!$E$16</f>
        <v>0</v>
      </c>
      <c r="AQ13" s="62">
        <f>AQ11*Simulador!$E$16</f>
        <v>0</v>
      </c>
      <c r="AR13" s="62">
        <f>AR11*Simulador!$E$16</f>
        <v>0</v>
      </c>
      <c r="AS13" s="62">
        <f>AS11*Simulador!$E$16</f>
        <v>0</v>
      </c>
      <c r="AT13" s="62">
        <f>AT11*Simulador!$E$16</f>
        <v>0</v>
      </c>
      <c r="AU13" s="62">
        <f>AU11*Simulador!$E$16</f>
        <v>0</v>
      </c>
      <c r="AV13" s="62">
        <f>AV11*Simulador!$E$16</f>
        <v>0</v>
      </c>
      <c r="AW13" s="62">
        <f>AW11*Simulador!$E$16</f>
        <v>0</v>
      </c>
      <c r="AX13" s="62">
        <f>AX11*Simulador!$E$16</f>
        <v>0</v>
      </c>
      <c r="AY13" s="62">
        <f>AY11*Simulador!$E$16</f>
        <v>0</v>
      </c>
      <c r="AZ13" s="62">
        <f>AZ11*Simulador!$E$16</f>
        <v>0</v>
      </c>
      <c r="BA13" s="62">
        <f>BA11*Simulador!$E$16</f>
        <v>0</v>
      </c>
      <c r="BB13" s="62">
        <f>BB11*Simulador!$E$16</f>
        <v>0</v>
      </c>
      <c r="BC13" s="62">
        <f>BC11*Simulador!$E$16</f>
        <v>0</v>
      </c>
      <c r="BD13" s="62">
        <f>BD11*Simulador!$E$16</f>
        <v>0</v>
      </c>
      <c r="BE13" s="62">
        <f>BE11*Simulador!$E$16</f>
        <v>0</v>
      </c>
      <c r="BF13" s="62">
        <f>BF11*Simulador!$E$16</f>
        <v>0</v>
      </c>
      <c r="BG13" s="62">
        <f>BG11*Simulador!$E$16</f>
        <v>0</v>
      </c>
      <c r="BH13" s="62">
        <f>BH11*Simulador!$E$16</f>
        <v>0</v>
      </c>
      <c r="BI13" s="62">
        <f>BI11*Simulador!$E$16</f>
        <v>0</v>
      </c>
      <c r="BJ13" s="62">
        <f>BJ11*Simulador!$E$16</f>
        <v>0</v>
      </c>
      <c r="BK13" s="62">
        <f>BK11*Simulador!$E$16</f>
        <v>0</v>
      </c>
      <c r="BL13" s="62">
        <f>BL11*Simulador!$E$16</f>
        <v>0</v>
      </c>
      <c r="BM13" s="62">
        <f>BM11*Simulador!$E$16</f>
        <v>0</v>
      </c>
      <c r="BN13" s="62">
        <f>BN11*Simulador!$E$16</f>
        <v>0</v>
      </c>
      <c r="BO13" s="62">
        <f>BO11*Simulador!$E$16</f>
        <v>0</v>
      </c>
      <c r="BP13" s="62">
        <f>BP11*Simulador!$E$16</f>
        <v>0</v>
      </c>
      <c r="BQ13" s="62">
        <f>BQ11*Simulador!$E$16</f>
        <v>0</v>
      </c>
      <c r="BR13" s="62">
        <f>BR11*Simulador!$E$16</f>
        <v>0</v>
      </c>
      <c r="BS13" s="62">
        <f>BS11*Simulador!$E$16</f>
        <v>0</v>
      </c>
      <c r="BT13" s="62">
        <f>BT11*Simulador!$E$16</f>
        <v>0</v>
      </c>
      <c r="BU13" s="62">
        <f>BU11*Simulador!$E$16</f>
        <v>0</v>
      </c>
      <c r="BV13" s="62">
        <f>BV11*Simulador!$E$16</f>
        <v>0</v>
      </c>
      <c r="BW13" s="62">
        <f>BW11*Simulador!$E$16</f>
        <v>0</v>
      </c>
      <c r="BX13" s="62">
        <f>BX11*Simulador!$E$16</f>
        <v>0</v>
      </c>
      <c r="BY13" s="62">
        <f>BY11*Simulador!$E$16</f>
        <v>0</v>
      </c>
      <c r="BZ13" s="62">
        <f>BZ11*Simulador!$E$16</f>
        <v>0</v>
      </c>
      <c r="CA13" s="62">
        <f>CA11*Simulador!$E$16</f>
        <v>0</v>
      </c>
      <c r="CB13" s="62">
        <f>CB11*Simulador!$E$16</f>
        <v>0</v>
      </c>
      <c r="CC13" s="62">
        <f>CC11*Simulador!$E$16</f>
        <v>0</v>
      </c>
      <c r="CD13" s="62">
        <f>CD11*Simulador!$E$16</f>
        <v>0</v>
      </c>
      <c r="CE13" s="62">
        <f>CE11*Simulador!$E$16</f>
        <v>0</v>
      </c>
      <c r="CF13" s="62">
        <f>CF11*Simulador!$E$16</f>
        <v>0</v>
      </c>
      <c r="CG13" s="62">
        <f>CG11*Simulador!$E$16</f>
        <v>0</v>
      </c>
      <c r="CH13" s="62">
        <f>CH11*Simulador!$E$16</f>
        <v>0</v>
      </c>
      <c r="CI13" s="62">
        <f>CI11*Simulador!$E$16</f>
        <v>0</v>
      </c>
      <c r="CJ13" s="62">
        <f>CJ11*Simulador!$E$16</f>
        <v>0</v>
      </c>
      <c r="CK13" s="62">
        <f>CK11*Simulador!$E$16</f>
        <v>0</v>
      </c>
      <c r="CL13" s="62">
        <f>CL11*Simulador!$E$16</f>
        <v>0</v>
      </c>
      <c r="CM13" s="62">
        <f>CM11*Simulador!$E$16</f>
        <v>0</v>
      </c>
      <c r="CN13" s="62">
        <f>CN11*Simulador!$E$16</f>
        <v>0</v>
      </c>
      <c r="CO13" s="62">
        <f>CO11*Simulador!$E$16</f>
        <v>0</v>
      </c>
      <c r="CP13" s="62">
        <f>CP11*Simulador!$E$16</f>
        <v>0</v>
      </c>
      <c r="CQ13" s="62">
        <f>CQ11*Simulador!$E$16</f>
        <v>0</v>
      </c>
      <c r="CR13" s="62">
        <f>CR11*Simulador!$E$16</f>
        <v>0</v>
      </c>
      <c r="CS13" s="62">
        <f>CS11*Simulador!$E$16</f>
        <v>0</v>
      </c>
      <c r="CT13" s="62">
        <f>CT11*Simulador!$E$16</f>
        <v>0</v>
      </c>
      <c r="CU13" s="62">
        <f>CU11*Simulador!$E$16</f>
        <v>0</v>
      </c>
      <c r="CV13" s="62">
        <f>CV11*Simulador!$E$16</f>
        <v>0</v>
      </c>
      <c r="CW13" s="62">
        <f>CW11*Simulador!$E$16</f>
        <v>0</v>
      </c>
      <c r="CX13" s="62">
        <f>CX11*Simulador!$E$16</f>
        <v>0</v>
      </c>
      <c r="CY13" s="62">
        <f>CY11*Simulador!$E$16</f>
        <v>0</v>
      </c>
      <c r="CZ13" s="62">
        <f>CZ11*Simulador!$E$16</f>
        <v>0</v>
      </c>
      <c r="DA13" s="62">
        <f>DA11*Simulador!$E$16</f>
        <v>0</v>
      </c>
      <c r="DB13" s="62">
        <f>DB11*Simulador!$E$16</f>
        <v>0</v>
      </c>
      <c r="DC13" s="62">
        <f>DC11*Simulador!$E$16</f>
        <v>0</v>
      </c>
      <c r="DD13" s="62">
        <f>DD11*Simulador!$E$16</f>
        <v>0</v>
      </c>
      <c r="DE13" s="62">
        <f>DE11*Simulador!$E$16</f>
        <v>0</v>
      </c>
      <c r="DF13" s="62">
        <f>DF11*Simulador!$E$16</f>
        <v>0</v>
      </c>
      <c r="DG13" s="62">
        <f>DG11*Simulador!$E$16</f>
        <v>0</v>
      </c>
      <c r="DH13" s="62">
        <f>DH11*Simulador!$E$16</f>
        <v>0</v>
      </c>
      <c r="DI13" s="62">
        <f>DI11*Simulador!$E$16</f>
        <v>0</v>
      </c>
      <c r="DJ13" s="62">
        <f>DJ11*Simulador!$E$16</f>
        <v>0</v>
      </c>
      <c r="DK13" s="62">
        <f>DK11*Simulador!$E$16</f>
        <v>0</v>
      </c>
      <c r="DL13" s="62">
        <f>DL11*Simulador!$E$16</f>
        <v>0</v>
      </c>
      <c r="DM13" s="62">
        <f>DM11*Simulador!$E$16</f>
        <v>0</v>
      </c>
      <c r="DN13" s="62">
        <f>DN11*Simulador!$E$16</f>
        <v>0</v>
      </c>
      <c r="DO13" s="62">
        <f>DO11*Simulador!$E$16</f>
        <v>0</v>
      </c>
      <c r="DP13" s="62">
        <f>DP11*Simulador!$E$16</f>
        <v>0</v>
      </c>
      <c r="DQ13" s="62">
        <f>DQ11*Simulador!$E$16</f>
        <v>0</v>
      </c>
      <c r="DR13" s="62">
        <f>DR11*Simulador!$E$16</f>
        <v>0</v>
      </c>
      <c r="DS13" s="62">
        <f>DS11*Simulador!$E$16</f>
        <v>0</v>
      </c>
      <c r="DT13" s="62">
        <f>DT11*Simulador!$E$16</f>
        <v>0</v>
      </c>
      <c r="DU13" s="62">
        <f>DU11*Simulador!$E$16</f>
        <v>0</v>
      </c>
      <c r="DV13" s="62">
        <f>DV11*Simulador!$E$16</f>
        <v>0</v>
      </c>
      <c r="DW13" s="62">
        <f>DW11*Simulador!$E$16</f>
        <v>0</v>
      </c>
      <c r="DX13" s="62">
        <f>DX11*Simulador!$E$16</f>
        <v>0</v>
      </c>
      <c r="DY13" s="62">
        <f>DY11*Simulador!$E$16</f>
        <v>0</v>
      </c>
      <c r="DZ13" s="62">
        <f>DZ11*Simulador!$E$16</f>
        <v>0</v>
      </c>
      <c r="EA13" s="62">
        <f>EA11*Simulador!$E$16</f>
        <v>0</v>
      </c>
      <c r="EB13" s="62">
        <f>EB11*Simulador!$E$16</f>
        <v>0</v>
      </c>
      <c r="EC13" s="62">
        <f>EC11*Simulador!$E$16</f>
        <v>0</v>
      </c>
      <c r="ED13" s="62">
        <f>ED11*Simulador!$E$16</f>
        <v>0</v>
      </c>
    </row>
    <row r="14" spans="1:135" ht="13" x14ac:dyDescent="0.3">
      <c r="B14" s="38"/>
      <c r="C14" s="53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53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</row>
    <row r="15" spans="1:135" ht="13" x14ac:dyDescent="0.3">
      <c r="B15" s="38" t="s">
        <v>190</v>
      </c>
      <c r="C15" s="53"/>
      <c r="D15" s="67">
        <f t="shared" ref="D15:H15" si="10">SUMIFS($O15:$BV15,$O$4:$BV$4,D$3)</f>
        <v>0</v>
      </c>
      <c r="E15" s="67">
        <f t="shared" si="10"/>
        <v>0</v>
      </c>
      <c r="F15" s="67">
        <f t="shared" si="10"/>
        <v>0</v>
      </c>
      <c r="G15" s="67">
        <f t="shared" si="10"/>
        <v>0</v>
      </c>
      <c r="H15" s="67">
        <f t="shared" si="10"/>
        <v>0</v>
      </c>
      <c r="I15" s="67">
        <f t="shared" ref="I15:M15" si="11">SUMIFS($O15:$ED15,$O$4:$ED$4,I$3)</f>
        <v>0</v>
      </c>
      <c r="J15" s="67">
        <f t="shared" si="11"/>
        <v>0</v>
      </c>
      <c r="K15" s="67">
        <f t="shared" si="11"/>
        <v>0</v>
      </c>
      <c r="L15" s="67">
        <f t="shared" si="11"/>
        <v>0</v>
      </c>
      <c r="M15" s="67">
        <f t="shared" si="11"/>
        <v>0</v>
      </c>
      <c r="N15" s="53"/>
      <c r="O15" s="62">
        <f>IF(Simulador!$E$18=TRUE,O13,0)</f>
        <v>0</v>
      </c>
      <c r="P15" s="62">
        <f>IF(Simulador!$E$18=TRUE,P13,0)</f>
        <v>0</v>
      </c>
      <c r="Q15" s="62">
        <f>IF(Simulador!$E$18=TRUE,Q13,0)</f>
        <v>0</v>
      </c>
      <c r="R15" s="62">
        <f>IF(Simulador!$E$18=TRUE,R13,0)</f>
        <v>0</v>
      </c>
      <c r="S15" s="62">
        <f>IF(Simulador!$E$18=TRUE,S13,0)</f>
        <v>0</v>
      </c>
      <c r="T15" s="62">
        <f>IF(Simulador!$E$18=TRUE,T13,0)</f>
        <v>0</v>
      </c>
      <c r="U15" s="62">
        <f>IF(Simulador!$E$18=TRUE,U13,0)</f>
        <v>0</v>
      </c>
      <c r="V15" s="62">
        <f>IF(Simulador!$E$18=TRUE,V13,0)</f>
        <v>0</v>
      </c>
      <c r="W15" s="62">
        <f>IF(Simulador!$E$18=TRUE,W13,0)</f>
        <v>0</v>
      </c>
      <c r="X15" s="62">
        <f>IF(Simulador!$E$18=TRUE,X13,0)</f>
        <v>0</v>
      </c>
      <c r="Y15" s="62">
        <f>IF(Simulador!$E$18=TRUE,Y13,0)</f>
        <v>0</v>
      </c>
      <c r="Z15" s="62">
        <f>IF(Simulador!$E$18=TRUE,Z13,0)</f>
        <v>0</v>
      </c>
      <c r="AA15" s="62">
        <f>IF(Simulador!$E$18=TRUE,AA13,0)</f>
        <v>0</v>
      </c>
      <c r="AB15" s="62">
        <f>IF(Simulador!$E$18=TRUE,AB13,0)</f>
        <v>0</v>
      </c>
      <c r="AC15" s="62">
        <f>IF(Simulador!$E$18=TRUE,AC13,0)</f>
        <v>0</v>
      </c>
      <c r="AD15" s="62">
        <f>IF(Simulador!$E$18=TRUE,AD13,0)</f>
        <v>0</v>
      </c>
      <c r="AE15" s="62">
        <f>IF(Simulador!$E$18=TRUE,AE13,0)</f>
        <v>0</v>
      </c>
      <c r="AF15" s="62">
        <f>IF(Simulador!$E$18=TRUE,AF13,0)</f>
        <v>0</v>
      </c>
      <c r="AG15" s="62">
        <f>IF(Simulador!$E$18=TRUE,AG13,0)</f>
        <v>0</v>
      </c>
      <c r="AH15" s="62">
        <f>IF(Simulador!$E$18=TRUE,AH13,0)</f>
        <v>0</v>
      </c>
      <c r="AI15" s="62">
        <f>IF(Simulador!$E$18=TRUE,AI13,0)</f>
        <v>0</v>
      </c>
      <c r="AJ15" s="62">
        <f>IF(Simulador!$E$18=TRUE,AJ13,0)</f>
        <v>0</v>
      </c>
      <c r="AK15" s="62">
        <f>IF(Simulador!$E$18=TRUE,AK13,0)</f>
        <v>0</v>
      </c>
      <c r="AL15" s="62">
        <f>IF(Simulador!$E$18=TRUE,AL13,0)</f>
        <v>0</v>
      </c>
      <c r="AM15" s="62">
        <f>IF(Simulador!$E$18=TRUE,AM13,0)</f>
        <v>0</v>
      </c>
      <c r="AN15" s="62">
        <f>IF(Simulador!$E$18=TRUE,AN13,0)</f>
        <v>0</v>
      </c>
      <c r="AO15" s="62">
        <f>IF(Simulador!$E$18=TRUE,AO13,0)</f>
        <v>0</v>
      </c>
      <c r="AP15" s="62">
        <f>IF(Simulador!$E$18=TRUE,AP13,0)</f>
        <v>0</v>
      </c>
      <c r="AQ15" s="62">
        <f>IF(Simulador!$E$18=TRUE,AQ13,0)</f>
        <v>0</v>
      </c>
      <c r="AR15" s="62">
        <f>IF(Simulador!$E$18=TRUE,AR13,0)</f>
        <v>0</v>
      </c>
      <c r="AS15" s="62">
        <f>IF(Simulador!$E$18=TRUE,AS13,0)</f>
        <v>0</v>
      </c>
      <c r="AT15" s="62">
        <f>IF(Simulador!$E$18=TRUE,AT13,0)</f>
        <v>0</v>
      </c>
      <c r="AU15" s="62">
        <f>IF(Simulador!$E$18=TRUE,AU13,0)</f>
        <v>0</v>
      </c>
      <c r="AV15" s="62">
        <f>IF(Simulador!$E$18=TRUE,AV13,0)</f>
        <v>0</v>
      </c>
      <c r="AW15" s="62">
        <f>IF(Simulador!$E$18=TRUE,AW13,0)</f>
        <v>0</v>
      </c>
      <c r="AX15" s="62">
        <f>IF(Simulador!$E$18=TRUE,AX13,0)</f>
        <v>0</v>
      </c>
      <c r="AY15" s="62">
        <f>IF(Simulador!$E$18=TRUE,AY13,0)</f>
        <v>0</v>
      </c>
      <c r="AZ15" s="62">
        <f>IF(Simulador!$E$18=TRUE,AZ13,0)</f>
        <v>0</v>
      </c>
      <c r="BA15" s="62">
        <f>IF(Simulador!$E$18=TRUE,BA13,0)</f>
        <v>0</v>
      </c>
      <c r="BB15" s="62">
        <f>IF(Simulador!$E$18=TRUE,BB13,0)</f>
        <v>0</v>
      </c>
      <c r="BC15" s="62">
        <f>IF(Simulador!$E$18=TRUE,BC13,0)</f>
        <v>0</v>
      </c>
      <c r="BD15" s="62">
        <f>IF(Simulador!$E$18=TRUE,BD13,0)</f>
        <v>0</v>
      </c>
      <c r="BE15" s="62">
        <f>IF(Simulador!$E$18=TRUE,BE13,0)</f>
        <v>0</v>
      </c>
      <c r="BF15" s="62">
        <f>IF(Simulador!$E$18=TRUE,BF13,0)</f>
        <v>0</v>
      </c>
      <c r="BG15" s="62">
        <f>IF(Simulador!$E$18=TRUE,BG13,0)</f>
        <v>0</v>
      </c>
      <c r="BH15" s="62">
        <f>IF(Simulador!$E$18=TRUE,BH13,0)</f>
        <v>0</v>
      </c>
      <c r="BI15" s="62">
        <f>IF(Simulador!$E$18=TRUE,BI13,0)</f>
        <v>0</v>
      </c>
      <c r="BJ15" s="62">
        <f>IF(Simulador!$E$18=TRUE,BJ13,0)</f>
        <v>0</v>
      </c>
      <c r="BK15" s="62">
        <f>IF(Simulador!$E$18=TRUE,BK13,0)</f>
        <v>0</v>
      </c>
      <c r="BL15" s="62">
        <f>IF(Simulador!$E$18=TRUE,BL13,0)</f>
        <v>0</v>
      </c>
      <c r="BM15" s="62">
        <f>IF(Simulador!$E$18=TRUE,BM13,0)</f>
        <v>0</v>
      </c>
      <c r="BN15" s="62">
        <f>IF(Simulador!$E$18=TRUE,BN13,0)</f>
        <v>0</v>
      </c>
      <c r="BO15" s="62">
        <f>IF(Simulador!$E$18=TRUE,BO13,0)</f>
        <v>0</v>
      </c>
      <c r="BP15" s="62">
        <f>IF(Simulador!$E$18=TRUE,BP13,0)</f>
        <v>0</v>
      </c>
      <c r="BQ15" s="62">
        <f>IF(Simulador!$E$18=TRUE,BQ13,0)</f>
        <v>0</v>
      </c>
      <c r="BR15" s="62">
        <f>IF(Simulador!$E$18=TRUE,BR13,0)</f>
        <v>0</v>
      </c>
      <c r="BS15" s="62">
        <f>IF(Simulador!$E$18=TRUE,BS13,0)</f>
        <v>0</v>
      </c>
      <c r="BT15" s="62">
        <f>IF(Simulador!$E$18=TRUE,BT13,0)</f>
        <v>0</v>
      </c>
      <c r="BU15" s="62">
        <f>IF(Simulador!$E$18=TRUE,BU13,0)</f>
        <v>0</v>
      </c>
      <c r="BV15" s="62">
        <f>IF(Simulador!$E$18=TRUE,BV13,0)</f>
        <v>0</v>
      </c>
      <c r="BW15" s="62">
        <f>IF(Simulador!$E$18=TRUE,BW13,0)</f>
        <v>0</v>
      </c>
      <c r="BX15" s="62">
        <f>IF(Simulador!$E$18=TRUE,BX13,0)</f>
        <v>0</v>
      </c>
      <c r="BY15" s="62">
        <f>IF(Simulador!$E$18=TRUE,BY13,0)</f>
        <v>0</v>
      </c>
      <c r="BZ15" s="62">
        <f>IF(Simulador!$E$18=TRUE,BZ13,0)</f>
        <v>0</v>
      </c>
      <c r="CA15" s="62">
        <f>IF(Simulador!$E$18=TRUE,CA13,0)</f>
        <v>0</v>
      </c>
      <c r="CB15" s="62">
        <f>IF(Simulador!$E$18=TRUE,CB13,0)</f>
        <v>0</v>
      </c>
      <c r="CC15" s="62">
        <f>IF(Simulador!$E$18=TRUE,CC13,0)</f>
        <v>0</v>
      </c>
      <c r="CD15" s="62">
        <f>IF(Simulador!$E$18=TRUE,CD13,0)</f>
        <v>0</v>
      </c>
      <c r="CE15" s="62">
        <f>IF(Simulador!$E$18=TRUE,CE13,0)</f>
        <v>0</v>
      </c>
      <c r="CF15" s="62">
        <f>IF(Simulador!$E$18=TRUE,CF13,0)</f>
        <v>0</v>
      </c>
      <c r="CG15" s="62">
        <f>IF(Simulador!$E$18=TRUE,CG13,0)</f>
        <v>0</v>
      </c>
      <c r="CH15" s="62">
        <f>IF(Simulador!$E$18=TRUE,CH13,0)</f>
        <v>0</v>
      </c>
      <c r="CI15" s="62">
        <f>IF(Simulador!$E$18=TRUE,CI13,0)</f>
        <v>0</v>
      </c>
      <c r="CJ15" s="62">
        <f>IF(Simulador!$E$18=TRUE,CJ13,0)</f>
        <v>0</v>
      </c>
      <c r="CK15" s="62">
        <f>IF(Simulador!$E$18=TRUE,CK13,0)</f>
        <v>0</v>
      </c>
      <c r="CL15" s="62">
        <f>IF(Simulador!$E$18=TRUE,CL13,0)</f>
        <v>0</v>
      </c>
      <c r="CM15" s="62">
        <f>IF(Simulador!$E$18=TRUE,CM13,0)</f>
        <v>0</v>
      </c>
      <c r="CN15" s="62">
        <f>IF(Simulador!$E$18=TRUE,CN13,0)</f>
        <v>0</v>
      </c>
      <c r="CO15" s="62">
        <f>IF(Simulador!$E$18=TRUE,CO13,0)</f>
        <v>0</v>
      </c>
      <c r="CP15" s="62">
        <f>IF(Simulador!$E$18=TRUE,CP13,0)</f>
        <v>0</v>
      </c>
      <c r="CQ15" s="62">
        <f>IF(Simulador!$E$18=TRUE,CQ13,0)</f>
        <v>0</v>
      </c>
      <c r="CR15" s="62">
        <f>IF(Simulador!$E$18=TRUE,CR13,0)</f>
        <v>0</v>
      </c>
      <c r="CS15" s="62">
        <f>IF(Simulador!$E$18=TRUE,CS13,0)</f>
        <v>0</v>
      </c>
      <c r="CT15" s="62">
        <f>IF(Simulador!$E$18=TRUE,CT13,0)</f>
        <v>0</v>
      </c>
      <c r="CU15" s="62">
        <f>IF(Simulador!$E$18=TRUE,CU13,0)</f>
        <v>0</v>
      </c>
      <c r="CV15" s="62">
        <f>IF(Simulador!$E$18=TRUE,CV13,0)</f>
        <v>0</v>
      </c>
      <c r="CW15" s="62">
        <f>IF(Simulador!$E$18=TRUE,CW13,0)</f>
        <v>0</v>
      </c>
      <c r="CX15" s="62">
        <f>IF(Simulador!$E$18=TRUE,CX13,0)</f>
        <v>0</v>
      </c>
      <c r="CY15" s="62">
        <f>IF(Simulador!$E$18=TRUE,CY13,0)</f>
        <v>0</v>
      </c>
      <c r="CZ15" s="62">
        <f>IF(Simulador!$E$18=TRUE,CZ13,0)</f>
        <v>0</v>
      </c>
      <c r="DA15" s="62">
        <f>IF(Simulador!$E$18=TRUE,DA13,0)</f>
        <v>0</v>
      </c>
      <c r="DB15" s="62">
        <f>IF(Simulador!$E$18=TRUE,DB13,0)</f>
        <v>0</v>
      </c>
      <c r="DC15" s="62">
        <f>IF(Simulador!$E$18=TRUE,DC13,0)</f>
        <v>0</v>
      </c>
      <c r="DD15" s="62">
        <f>IF(Simulador!$E$18=TRUE,DD13,0)</f>
        <v>0</v>
      </c>
      <c r="DE15" s="62">
        <f>IF(Simulador!$E$18=TRUE,DE13,0)</f>
        <v>0</v>
      </c>
      <c r="DF15" s="62">
        <f>IF(Simulador!$E$18=TRUE,DF13,0)</f>
        <v>0</v>
      </c>
      <c r="DG15" s="62">
        <f>IF(Simulador!$E$18=TRUE,DG13,0)</f>
        <v>0</v>
      </c>
      <c r="DH15" s="62">
        <f>IF(Simulador!$E$18=TRUE,DH13,0)</f>
        <v>0</v>
      </c>
      <c r="DI15" s="62">
        <f>IF(Simulador!$E$18=TRUE,DI13,0)</f>
        <v>0</v>
      </c>
      <c r="DJ15" s="62">
        <f>IF(Simulador!$E$18=TRUE,DJ13,0)</f>
        <v>0</v>
      </c>
      <c r="DK15" s="62">
        <f>IF(Simulador!$E$18=TRUE,DK13,0)</f>
        <v>0</v>
      </c>
      <c r="DL15" s="62">
        <f>IF(Simulador!$E$18=TRUE,DL13,0)</f>
        <v>0</v>
      </c>
      <c r="DM15" s="62">
        <f>IF(Simulador!$E$18=TRUE,DM13,0)</f>
        <v>0</v>
      </c>
      <c r="DN15" s="62">
        <f>IF(Simulador!$E$18=TRUE,DN13,0)</f>
        <v>0</v>
      </c>
      <c r="DO15" s="62">
        <f>IF(Simulador!$E$18=TRUE,DO13,0)</f>
        <v>0</v>
      </c>
      <c r="DP15" s="62">
        <f>IF(Simulador!$E$18=TRUE,DP13,0)</f>
        <v>0</v>
      </c>
      <c r="DQ15" s="62">
        <f>IF(Simulador!$E$18=TRUE,DQ13,0)</f>
        <v>0</v>
      </c>
      <c r="DR15" s="62">
        <f>IF(Simulador!$E$18=TRUE,DR13,0)</f>
        <v>0</v>
      </c>
      <c r="DS15" s="62">
        <f>IF(Simulador!$E$18=TRUE,DS13,0)</f>
        <v>0</v>
      </c>
      <c r="DT15" s="62">
        <f>IF(Simulador!$E$18=TRUE,DT13,0)</f>
        <v>0</v>
      </c>
      <c r="DU15" s="62">
        <f>IF(Simulador!$E$18=TRUE,DU13,0)</f>
        <v>0</v>
      </c>
      <c r="DV15" s="62">
        <f>IF(Simulador!$E$18=TRUE,DV13,0)</f>
        <v>0</v>
      </c>
      <c r="DW15" s="62">
        <f>IF(Simulador!$E$18=TRUE,DW13,0)</f>
        <v>0</v>
      </c>
      <c r="DX15" s="62">
        <f>IF(Simulador!$E$18=TRUE,DX13,0)</f>
        <v>0</v>
      </c>
      <c r="DY15" s="62">
        <f>IF(Simulador!$E$18=TRUE,DY13,0)</f>
        <v>0</v>
      </c>
      <c r="DZ15" s="62">
        <f>IF(Simulador!$E$18=TRUE,DZ13,0)</f>
        <v>0</v>
      </c>
      <c r="EA15" s="62">
        <f>IF(Simulador!$E$18=TRUE,EA13,0)</f>
        <v>0</v>
      </c>
      <c r="EB15" s="62">
        <f>IF(Simulador!$E$18=TRUE,EB13,0)</f>
        <v>0</v>
      </c>
      <c r="EC15" s="62">
        <f>IF(Simulador!$E$18=TRUE,EC13,0)</f>
        <v>0</v>
      </c>
      <c r="ED15" s="62">
        <f>IF(Simulador!$E$18=TRUE,ED13,0)</f>
        <v>0</v>
      </c>
    </row>
    <row r="16" spans="1:135" ht="12.5" x14ac:dyDescent="0.25">
      <c r="C16" s="53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53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</row>
    <row r="17" spans="2:134" ht="13" x14ac:dyDescent="0.3">
      <c r="B17" s="38"/>
      <c r="C17" s="53"/>
      <c r="N17" s="53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</row>
    <row r="18" spans="2:134" ht="13" x14ac:dyDescent="0.3">
      <c r="B18" s="38" t="s">
        <v>191</v>
      </c>
      <c r="C18" s="53"/>
      <c r="D18" s="67">
        <f t="shared" ref="D18:M18" si="12">SUM(D19:D23)</f>
        <v>208550</v>
      </c>
      <c r="E18" s="67">
        <f t="shared" si="12"/>
        <v>180000</v>
      </c>
      <c r="F18" s="67">
        <f t="shared" si="12"/>
        <v>180000</v>
      </c>
      <c r="G18" s="67">
        <f t="shared" si="12"/>
        <v>180000</v>
      </c>
      <c r="H18" s="67">
        <f t="shared" si="12"/>
        <v>180000</v>
      </c>
      <c r="I18" s="67">
        <f t="shared" si="12"/>
        <v>0</v>
      </c>
      <c r="J18" s="67">
        <f t="shared" si="12"/>
        <v>0</v>
      </c>
      <c r="K18" s="67">
        <f t="shared" si="12"/>
        <v>0</v>
      </c>
      <c r="L18" s="67">
        <f t="shared" si="12"/>
        <v>0</v>
      </c>
      <c r="M18" s="67">
        <f t="shared" si="12"/>
        <v>0</v>
      </c>
      <c r="N18" s="53"/>
      <c r="O18" s="67">
        <f t="shared" ref="O18:ED18" si="13">SUM(O19:O23)</f>
        <v>24086</v>
      </c>
      <c r="P18" s="67">
        <f t="shared" si="13"/>
        <v>34464</v>
      </c>
      <c r="Q18" s="67">
        <f t="shared" si="13"/>
        <v>15000</v>
      </c>
      <c r="R18" s="67">
        <f t="shared" si="13"/>
        <v>15000</v>
      </c>
      <c r="S18" s="67">
        <f t="shared" si="13"/>
        <v>15000</v>
      </c>
      <c r="T18" s="67">
        <f t="shared" si="13"/>
        <v>15000</v>
      </c>
      <c r="U18" s="67">
        <f t="shared" si="13"/>
        <v>15000</v>
      </c>
      <c r="V18" s="67">
        <f t="shared" si="13"/>
        <v>15000</v>
      </c>
      <c r="W18" s="67">
        <f t="shared" si="13"/>
        <v>15000</v>
      </c>
      <c r="X18" s="67">
        <f t="shared" si="13"/>
        <v>15000</v>
      </c>
      <c r="Y18" s="67">
        <f t="shared" si="13"/>
        <v>15000</v>
      </c>
      <c r="Z18" s="67">
        <f t="shared" si="13"/>
        <v>15000</v>
      </c>
      <c r="AA18" s="67">
        <f t="shared" si="13"/>
        <v>15000</v>
      </c>
      <c r="AB18" s="67">
        <f t="shared" si="13"/>
        <v>15000</v>
      </c>
      <c r="AC18" s="67">
        <f t="shared" si="13"/>
        <v>15000</v>
      </c>
      <c r="AD18" s="67">
        <f t="shared" si="13"/>
        <v>15000</v>
      </c>
      <c r="AE18" s="67">
        <f t="shared" si="13"/>
        <v>15000</v>
      </c>
      <c r="AF18" s="67">
        <f t="shared" si="13"/>
        <v>15000</v>
      </c>
      <c r="AG18" s="67">
        <f t="shared" si="13"/>
        <v>15000</v>
      </c>
      <c r="AH18" s="67">
        <f t="shared" si="13"/>
        <v>15000</v>
      </c>
      <c r="AI18" s="67">
        <f t="shared" si="13"/>
        <v>15000</v>
      </c>
      <c r="AJ18" s="67">
        <f t="shared" si="13"/>
        <v>15000</v>
      </c>
      <c r="AK18" s="67">
        <f t="shared" si="13"/>
        <v>15000</v>
      </c>
      <c r="AL18" s="67">
        <f t="shared" si="13"/>
        <v>15000</v>
      </c>
      <c r="AM18" s="67">
        <f t="shared" si="13"/>
        <v>15000</v>
      </c>
      <c r="AN18" s="67">
        <f t="shared" si="13"/>
        <v>15000</v>
      </c>
      <c r="AO18" s="67">
        <f t="shared" si="13"/>
        <v>15000</v>
      </c>
      <c r="AP18" s="67">
        <f t="shared" si="13"/>
        <v>15000</v>
      </c>
      <c r="AQ18" s="67">
        <f t="shared" si="13"/>
        <v>15000</v>
      </c>
      <c r="AR18" s="67">
        <f t="shared" si="13"/>
        <v>15000</v>
      </c>
      <c r="AS18" s="67">
        <f t="shared" si="13"/>
        <v>15000</v>
      </c>
      <c r="AT18" s="67">
        <f t="shared" si="13"/>
        <v>15000</v>
      </c>
      <c r="AU18" s="67">
        <f t="shared" si="13"/>
        <v>15000</v>
      </c>
      <c r="AV18" s="67">
        <f t="shared" si="13"/>
        <v>15000</v>
      </c>
      <c r="AW18" s="67">
        <f t="shared" si="13"/>
        <v>15000</v>
      </c>
      <c r="AX18" s="67">
        <f t="shared" si="13"/>
        <v>15000</v>
      </c>
      <c r="AY18" s="67">
        <f t="shared" si="13"/>
        <v>15000</v>
      </c>
      <c r="AZ18" s="67">
        <f t="shared" si="13"/>
        <v>15000</v>
      </c>
      <c r="BA18" s="67">
        <f t="shared" si="13"/>
        <v>15000</v>
      </c>
      <c r="BB18" s="67">
        <f t="shared" si="13"/>
        <v>15000</v>
      </c>
      <c r="BC18" s="67">
        <f t="shared" si="13"/>
        <v>15000</v>
      </c>
      <c r="BD18" s="67">
        <f t="shared" si="13"/>
        <v>15000</v>
      </c>
      <c r="BE18" s="67">
        <f t="shared" si="13"/>
        <v>15000</v>
      </c>
      <c r="BF18" s="67">
        <f t="shared" si="13"/>
        <v>15000</v>
      </c>
      <c r="BG18" s="67">
        <f t="shared" si="13"/>
        <v>15000</v>
      </c>
      <c r="BH18" s="67">
        <f t="shared" si="13"/>
        <v>15000</v>
      </c>
      <c r="BI18" s="67">
        <f t="shared" si="13"/>
        <v>15000</v>
      </c>
      <c r="BJ18" s="67">
        <f t="shared" si="13"/>
        <v>15000</v>
      </c>
      <c r="BK18" s="67">
        <f t="shared" si="13"/>
        <v>15000</v>
      </c>
      <c r="BL18" s="67">
        <f t="shared" si="13"/>
        <v>15000</v>
      </c>
      <c r="BM18" s="67">
        <f t="shared" si="13"/>
        <v>15000</v>
      </c>
      <c r="BN18" s="67">
        <f t="shared" si="13"/>
        <v>15000</v>
      </c>
      <c r="BO18" s="67">
        <f t="shared" si="13"/>
        <v>15000</v>
      </c>
      <c r="BP18" s="67">
        <f t="shared" si="13"/>
        <v>15000</v>
      </c>
      <c r="BQ18" s="67">
        <f t="shared" si="13"/>
        <v>15000</v>
      </c>
      <c r="BR18" s="67">
        <f t="shared" si="13"/>
        <v>15000</v>
      </c>
      <c r="BS18" s="67">
        <f t="shared" si="13"/>
        <v>15000</v>
      </c>
      <c r="BT18" s="67">
        <f t="shared" si="13"/>
        <v>15000</v>
      </c>
      <c r="BU18" s="67">
        <f t="shared" si="13"/>
        <v>15000</v>
      </c>
      <c r="BV18" s="67">
        <f t="shared" si="13"/>
        <v>15000</v>
      </c>
      <c r="BW18" s="67">
        <f t="shared" si="13"/>
        <v>0</v>
      </c>
      <c r="BX18" s="67">
        <f t="shared" si="13"/>
        <v>0</v>
      </c>
      <c r="BY18" s="67">
        <f t="shared" si="13"/>
        <v>0</v>
      </c>
      <c r="BZ18" s="67">
        <f t="shared" si="13"/>
        <v>0</v>
      </c>
      <c r="CA18" s="67">
        <f t="shared" si="13"/>
        <v>0</v>
      </c>
      <c r="CB18" s="67">
        <f t="shared" si="13"/>
        <v>0</v>
      </c>
      <c r="CC18" s="67">
        <f t="shared" si="13"/>
        <v>0</v>
      </c>
      <c r="CD18" s="67">
        <f t="shared" si="13"/>
        <v>0</v>
      </c>
      <c r="CE18" s="67">
        <f t="shared" si="13"/>
        <v>0</v>
      </c>
      <c r="CF18" s="67">
        <f t="shared" si="13"/>
        <v>0</v>
      </c>
      <c r="CG18" s="67">
        <f t="shared" si="13"/>
        <v>0</v>
      </c>
      <c r="CH18" s="67">
        <f t="shared" si="13"/>
        <v>0</v>
      </c>
      <c r="CI18" s="67">
        <f t="shared" si="13"/>
        <v>0</v>
      </c>
      <c r="CJ18" s="67">
        <f t="shared" si="13"/>
        <v>0</v>
      </c>
      <c r="CK18" s="67">
        <f t="shared" si="13"/>
        <v>0</v>
      </c>
      <c r="CL18" s="67">
        <f t="shared" si="13"/>
        <v>0</v>
      </c>
      <c r="CM18" s="67">
        <f t="shared" si="13"/>
        <v>0</v>
      </c>
      <c r="CN18" s="67">
        <f t="shared" si="13"/>
        <v>0</v>
      </c>
      <c r="CO18" s="67">
        <f t="shared" si="13"/>
        <v>0</v>
      </c>
      <c r="CP18" s="67">
        <f t="shared" si="13"/>
        <v>0</v>
      </c>
      <c r="CQ18" s="67">
        <f t="shared" si="13"/>
        <v>0</v>
      </c>
      <c r="CR18" s="67">
        <f t="shared" si="13"/>
        <v>0</v>
      </c>
      <c r="CS18" s="67">
        <f t="shared" si="13"/>
        <v>0</v>
      </c>
      <c r="CT18" s="67">
        <f t="shared" si="13"/>
        <v>0</v>
      </c>
      <c r="CU18" s="67">
        <f t="shared" si="13"/>
        <v>0</v>
      </c>
      <c r="CV18" s="67">
        <f t="shared" si="13"/>
        <v>0</v>
      </c>
      <c r="CW18" s="67">
        <f t="shared" si="13"/>
        <v>0</v>
      </c>
      <c r="CX18" s="67">
        <f t="shared" si="13"/>
        <v>0</v>
      </c>
      <c r="CY18" s="67">
        <f t="shared" si="13"/>
        <v>0</v>
      </c>
      <c r="CZ18" s="67">
        <f t="shared" si="13"/>
        <v>0</v>
      </c>
      <c r="DA18" s="67">
        <f t="shared" si="13"/>
        <v>0</v>
      </c>
      <c r="DB18" s="67">
        <f t="shared" si="13"/>
        <v>0</v>
      </c>
      <c r="DC18" s="67">
        <f t="shared" si="13"/>
        <v>0</v>
      </c>
      <c r="DD18" s="67">
        <f t="shared" si="13"/>
        <v>0</v>
      </c>
      <c r="DE18" s="67">
        <f t="shared" si="13"/>
        <v>0</v>
      </c>
      <c r="DF18" s="67">
        <f t="shared" si="13"/>
        <v>0</v>
      </c>
      <c r="DG18" s="67">
        <f t="shared" si="13"/>
        <v>0</v>
      </c>
      <c r="DH18" s="67">
        <f t="shared" si="13"/>
        <v>0</v>
      </c>
      <c r="DI18" s="67">
        <f t="shared" si="13"/>
        <v>0</v>
      </c>
      <c r="DJ18" s="67">
        <f t="shared" si="13"/>
        <v>0</v>
      </c>
      <c r="DK18" s="67">
        <f t="shared" si="13"/>
        <v>0</v>
      </c>
      <c r="DL18" s="67">
        <f t="shared" si="13"/>
        <v>0</v>
      </c>
      <c r="DM18" s="67">
        <f t="shared" si="13"/>
        <v>0</v>
      </c>
      <c r="DN18" s="67">
        <f t="shared" si="13"/>
        <v>0</v>
      </c>
      <c r="DO18" s="67">
        <f t="shared" si="13"/>
        <v>0</v>
      </c>
      <c r="DP18" s="67">
        <f t="shared" si="13"/>
        <v>0</v>
      </c>
      <c r="DQ18" s="67">
        <f t="shared" si="13"/>
        <v>0</v>
      </c>
      <c r="DR18" s="67">
        <f t="shared" si="13"/>
        <v>0</v>
      </c>
      <c r="DS18" s="67">
        <f t="shared" si="13"/>
        <v>0</v>
      </c>
      <c r="DT18" s="67">
        <f t="shared" si="13"/>
        <v>0</v>
      </c>
      <c r="DU18" s="67">
        <f t="shared" si="13"/>
        <v>0</v>
      </c>
      <c r="DV18" s="67">
        <f t="shared" si="13"/>
        <v>0</v>
      </c>
      <c r="DW18" s="67">
        <f t="shared" si="13"/>
        <v>0</v>
      </c>
      <c r="DX18" s="67">
        <f t="shared" si="13"/>
        <v>0</v>
      </c>
      <c r="DY18" s="67">
        <f t="shared" si="13"/>
        <v>0</v>
      </c>
      <c r="DZ18" s="67">
        <f t="shared" si="13"/>
        <v>0</v>
      </c>
      <c r="EA18" s="67">
        <f t="shared" si="13"/>
        <v>0</v>
      </c>
      <c r="EB18" s="67">
        <f t="shared" si="13"/>
        <v>0</v>
      </c>
      <c r="EC18" s="67">
        <f t="shared" si="13"/>
        <v>0</v>
      </c>
      <c r="ED18" s="67">
        <f t="shared" si="13"/>
        <v>0</v>
      </c>
    </row>
    <row r="19" spans="2:134" ht="12.5" x14ac:dyDescent="0.25">
      <c r="B19" s="46" t="s">
        <v>192</v>
      </c>
      <c r="C19" s="53"/>
      <c r="D19" s="62">
        <f t="shared" ref="D19:H19" si="14">SUMIFS($O19:$BV19,$O$4:$BV$4,D$3)</f>
        <v>165000</v>
      </c>
      <c r="E19" s="62">
        <f t="shared" si="14"/>
        <v>180000</v>
      </c>
      <c r="F19" s="62">
        <f t="shared" si="14"/>
        <v>180000</v>
      </c>
      <c r="G19" s="62">
        <f t="shared" si="14"/>
        <v>180000</v>
      </c>
      <c r="H19" s="62">
        <f t="shared" si="14"/>
        <v>180000</v>
      </c>
      <c r="I19" s="62">
        <f t="shared" ref="I19:M19" si="15">SUMIFS($O19:$ED19,$O$4:$ED$4,I$3)</f>
        <v>0</v>
      </c>
      <c r="J19" s="62">
        <f t="shared" si="15"/>
        <v>0</v>
      </c>
      <c r="K19" s="62">
        <f t="shared" si="15"/>
        <v>0</v>
      </c>
      <c r="L19" s="62">
        <f t="shared" si="15"/>
        <v>0</v>
      </c>
      <c r="M19" s="62">
        <f t="shared" si="15"/>
        <v>0</v>
      </c>
      <c r="N19" s="53"/>
      <c r="O19" s="62">
        <f>IF(O$1&lt;=Simulador!$E$37,0,O9*Simulador!$E$23)</f>
        <v>0</v>
      </c>
      <c r="P19" s="62">
        <f>IF(P$1&lt;=Simulador!$E$37,0,P9*Simulador!$E$23)</f>
        <v>15000</v>
      </c>
      <c r="Q19" s="62">
        <f>IF(Q$1&lt;=Simulador!$E$37,0,Q9*Simulador!$E$23)</f>
        <v>15000</v>
      </c>
      <c r="R19" s="62">
        <f>IF(R$1&lt;=Simulador!$E$37,0,R9*Simulador!$E$23)</f>
        <v>15000</v>
      </c>
      <c r="S19" s="62">
        <f>IF(S$1&lt;=Simulador!$E$37,0,S9*Simulador!$E$23)</f>
        <v>15000</v>
      </c>
      <c r="T19" s="62">
        <f>IF(T$1&lt;=Simulador!$E$37,0,T9*Simulador!$E$23)</f>
        <v>15000</v>
      </c>
      <c r="U19" s="62">
        <f>IF(U$1&lt;=Simulador!$E$37,0,U9*Simulador!$E$23)</f>
        <v>15000</v>
      </c>
      <c r="V19" s="62">
        <f>IF(V$1&lt;=Simulador!$E$37,0,V9*Simulador!$E$23)</f>
        <v>15000</v>
      </c>
      <c r="W19" s="62">
        <f>IF(W$1&lt;=Simulador!$E$37,0,W9*Simulador!$E$23)</f>
        <v>15000</v>
      </c>
      <c r="X19" s="62">
        <f>IF(X$1&lt;=Simulador!$E$37,0,X9*Simulador!$E$23)</f>
        <v>15000</v>
      </c>
      <c r="Y19" s="62">
        <f>IF(Y$1&lt;=Simulador!$E$37,0,Y9*Simulador!$E$23)</f>
        <v>15000</v>
      </c>
      <c r="Z19" s="62">
        <f>IF(Z$1&lt;=Simulador!$E$37,0,Z9*Simulador!$E$23)</f>
        <v>15000</v>
      </c>
      <c r="AA19" s="62">
        <f>IF(AA$1&lt;=Simulador!$E$37,0,AA9*Simulador!$E$23)</f>
        <v>15000</v>
      </c>
      <c r="AB19" s="62">
        <f>IF(AB$1&lt;=Simulador!$E$37,0,AB9*Simulador!$E$23)</f>
        <v>15000</v>
      </c>
      <c r="AC19" s="62">
        <f>IF(AC$1&lt;=Simulador!$E$37,0,AC9*Simulador!$E$23)</f>
        <v>15000</v>
      </c>
      <c r="AD19" s="62">
        <f>IF(AD$1&lt;=Simulador!$E$37,0,AD9*Simulador!$E$23)</f>
        <v>15000</v>
      </c>
      <c r="AE19" s="62">
        <f>IF(AE$1&lt;=Simulador!$E$37,0,AE9*Simulador!$E$23)</f>
        <v>15000</v>
      </c>
      <c r="AF19" s="62">
        <f>IF(AF$1&lt;=Simulador!$E$37,0,AF9*Simulador!$E$23)</f>
        <v>15000</v>
      </c>
      <c r="AG19" s="62">
        <f>IF(AG$1&lt;=Simulador!$E$37,0,AG9*Simulador!$E$23)</f>
        <v>15000</v>
      </c>
      <c r="AH19" s="62">
        <f>IF(AH$1&lt;=Simulador!$E$37,0,AH9*Simulador!$E$23)</f>
        <v>15000</v>
      </c>
      <c r="AI19" s="62">
        <f>IF(AI$1&lt;=Simulador!$E$37,0,AI9*Simulador!$E$23)</f>
        <v>15000</v>
      </c>
      <c r="AJ19" s="62">
        <f>IF(AJ$1&lt;=Simulador!$E$37,0,AJ9*Simulador!$E$23)</f>
        <v>15000</v>
      </c>
      <c r="AK19" s="62">
        <f>IF(AK$1&lt;=Simulador!$E$37,0,AK9*Simulador!$E$23)</f>
        <v>15000</v>
      </c>
      <c r="AL19" s="62">
        <f>IF(AL$1&lt;=Simulador!$E$37,0,AL9*Simulador!$E$23)</f>
        <v>15000</v>
      </c>
      <c r="AM19" s="62">
        <f>IF(AM$1&lt;=Simulador!$E$37,0,AM9*Simulador!$E$23)</f>
        <v>15000</v>
      </c>
      <c r="AN19" s="62">
        <f>IF(AN$1&lt;=Simulador!$E$37,0,AN9*Simulador!$E$23)</f>
        <v>15000</v>
      </c>
      <c r="AO19" s="62">
        <f>IF(AO$1&lt;=Simulador!$E$37,0,AO9*Simulador!$E$23)</f>
        <v>15000</v>
      </c>
      <c r="AP19" s="62">
        <f>IF(AP$1&lt;=Simulador!$E$37,0,AP9*Simulador!$E$23)</f>
        <v>15000</v>
      </c>
      <c r="AQ19" s="62">
        <f>IF(AQ$1&lt;=Simulador!$E$37,0,AQ9*Simulador!$E$23)</f>
        <v>15000</v>
      </c>
      <c r="AR19" s="62">
        <f>IF(AR$1&lt;=Simulador!$E$37,0,AR9*Simulador!$E$23)</f>
        <v>15000</v>
      </c>
      <c r="AS19" s="62">
        <f>IF(AS$1&lt;=Simulador!$E$37,0,AS9*Simulador!$E$23)</f>
        <v>15000</v>
      </c>
      <c r="AT19" s="62">
        <f>IF(AT$1&lt;=Simulador!$E$37,0,AT9*Simulador!$E$23)</f>
        <v>15000</v>
      </c>
      <c r="AU19" s="62">
        <f>IF(AU$1&lt;=Simulador!$E$37,0,AU9*Simulador!$E$23)</f>
        <v>15000</v>
      </c>
      <c r="AV19" s="62">
        <f>IF(AV$1&lt;=Simulador!$E$37,0,AV9*Simulador!$E$23)</f>
        <v>15000</v>
      </c>
      <c r="AW19" s="62">
        <f>IF(AW$1&lt;=Simulador!$E$37,0,AW9*Simulador!$E$23)</f>
        <v>15000</v>
      </c>
      <c r="AX19" s="62">
        <f>IF(AX$1&lt;=Simulador!$E$37,0,AX9*Simulador!$E$23)</f>
        <v>15000</v>
      </c>
      <c r="AY19" s="62">
        <f>IF(AY$1&lt;=Simulador!$E$37,0,AY9*Simulador!$E$23)</f>
        <v>15000</v>
      </c>
      <c r="AZ19" s="62">
        <f>IF(AZ$1&lt;=Simulador!$E$37,0,AZ9*Simulador!$E$23)</f>
        <v>15000</v>
      </c>
      <c r="BA19" s="62">
        <f>IF(BA$1&lt;=Simulador!$E$37,0,BA9*Simulador!$E$23)</f>
        <v>15000</v>
      </c>
      <c r="BB19" s="62">
        <f>IF(BB$1&lt;=Simulador!$E$37,0,BB9*Simulador!$E$23)</f>
        <v>15000</v>
      </c>
      <c r="BC19" s="62">
        <f>IF(BC$1&lt;=Simulador!$E$37,0,BC9*Simulador!$E$23)</f>
        <v>15000</v>
      </c>
      <c r="BD19" s="62">
        <f>IF(BD$1&lt;=Simulador!$E$37,0,BD9*Simulador!$E$23)</f>
        <v>15000</v>
      </c>
      <c r="BE19" s="62">
        <f>IF(BE$1&lt;=Simulador!$E$37,0,BE9*Simulador!$E$23)</f>
        <v>15000</v>
      </c>
      <c r="BF19" s="62">
        <f>IF(BF$1&lt;=Simulador!$E$37,0,BF9*Simulador!$E$23)</f>
        <v>15000</v>
      </c>
      <c r="BG19" s="62">
        <f>IF(BG$1&lt;=Simulador!$E$37,0,BG9*Simulador!$E$23)</f>
        <v>15000</v>
      </c>
      <c r="BH19" s="62">
        <f>IF(BH$1&lt;=Simulador!$E$37,0,BH9*Simulador!$E$23)</f>
        <v>15000</v>
      </c>
      <c r="BI19" s="62">
        <f>IF(BI$1&lt;=Simulador!$E$37,0,BI9*Simulador!$E$23)</f>
        <v>15000</v>
      </c>
      <c r="BJ19" s="62">
        <f>IF(BJ$1&lt;=Simulador!$E$37,0,BJ9*Simulador!$E$23)</f>
        <v>15000</v>
      </c>
      <c r="BK19" s="62">
        <f>IF(BK$1&lt;=Simulador!$E$37,0,BK9*Simulador!$E$23)</f>
        <v>15000</v>
      </c>
      <c r="BL19" s="62">
        <f>IF(BL$1&lt;=Simulador!$E$37,0,BL9*Simulador!$E$23)</f>
        <v>15000</v>
      </c>
      <c r="BM19" s="62">
        <f>IF(BM$1&lt;=Simulador!$E$37,0,BM9*Simulador!$E$23)</f>
        <v>15000</v>
      </c>
      <c r="BN19" s="62">
        <f>IF(BN$1&lt;=Simulador!$E$37,0,BN9*Simulador!$E$23)</f>
        <v>15000</v>
      </c>
      <c r="BO19" s="62">
        <f>IF(BO$1&lt;=Simulador!$E$37,0,BO9*Simulador!$E$23)</f>
        <v>15000</v>
      </c>
      <c r="BP19" s="62">
        <f>IF(BP$1&lt;=Simulador!$E$37,0,BP9*Simulador!$E$23)</f>
        <v>15000</v>
      </c>
      <c r="BQ19" s="62">
        <f>IF(BQ$1&lt;=Simulador!$E$37,0,BQ9*Simulador!$E$23)</f>
        <v>15000</v>
      </c>
      <c r="BR19" s="62">
        <f>IF(BR$1&lt;=Simulador!$E$37,0,BR9*Simulador!$E$23)</f>
        <v>15000</v>
      </c>
      <c r="BS19" s="62">
        <f>IF(BS$1&lt;=Simulador!$E$37,0,BS9*Simulador!$E$23)</f>
        <v>15000</v>
      </c>
      <c r="BT19" s="62">
        <f>IF(BT$1&lt;=Simulador!$E$37,0,BT9*Simulador!$E$23)</f>
        <v>15000</v>
      </c>
      <c r="BU19" s="62">
        <f>IF(BU$1&lt;=Simulador!$E$37,0,BU9*Simulador!$E$23)</f>
        <v>15000</v>
      </c>
      <c r="BV19" s="62">
        <f>IF(BV$1&lt;=Simulador!$E$37,0,BV9*Simulador!$E$23)</f>
        <v>15000</v>
      </c>
      <c r="BW19" s="62">
        <f>IF(BW$1&lt;=Simulador!$E$37,0,BW9*Simulador!$E$23)</f>
        <v>0</v>
      </c>
      <c r="BX19" s="62">
        <f>IF(BX$1&lt;=Simulador!$E$37,0,BX9*Simulador!$E$23)</f>
        <v>0</v>
      </c>
      <c r="BY19" s="62">
        <f>IF(BY$1&lt;=Simulador!$E$37,0,BY9*Simulador!$E$23)</f>
        <v>0</v>
      </c>
      <c r="BZ19" s="62">
        <f>IF(BZ$1&lt;=Simulador!$E$37,0,BZ9*Simulador!$E$23)</f>
        <v>0</v>
      </c>
      <c r="CA19" s="62">
        <f>IF(CA$1&lt;=Simulador!$E$37,0,CA9*Simulador!$E$23)</f>
        <v>0</v>
      </c>
      <c r="CB19" s="62">
        <f>IF(CB$1&lt;=Simulador!$E$37,0,CB9*Simulador!$E$23)</f>
        <v>0</v>
      </c>
      <c r="CC19" s="62">
        <f>IF(CC$1&lt;=Simulador!$E$37,0,CC9*Simulador!$E$23)</f>
        <v>0</v>
      </c>
      <c r="CD19" s="62">
        <f>IF(CD$1&lt;=Simulador!$E$37,0,CD9*Simulador!$E$23)</f>
        <v>0</v>
      </c>
      <c r="CE19" s="62">
        <f>IF(CE$1&lt;=Simulador!$E$37,0,CE9*Simulador!$E$23)</f>
        <v>0</v>
      </c>
      <c r="CF19" s="62">
        <f>IF(CF$1&lt;=Simulador!$E$37,0,CF9*Simulador!$E$23)</f>
        <v>0</v>
      </c>
      <c r="CG19" s="62">
        <f>IF(CG$1&lt;=Simulador!$E$37,0,CG9*Simulador!$E$23)</f>
        <v>0</v>
      </c>
      <c r="CH19" s="62">
        <f>IF(CH$1&lt;=Simulador!$E$37,0,CH9*Simulador!$E$23)</f>
        <v>0</v>
      </c>
      <c r="CI19" s="62">
        <f>IF(CI$1&lt;=Simulador!$E$37,0,CI9*Simulador!$E$23)</f>
        <v>0</v>
      </c>
      <c r="CJ19" s="62">
        <f>IF(CJ$1&lt;=Simulador!$E$37,0,CJ9*Simulador!$E$23)</f>
        <v>0</v>
      </c>
      <c r="CK19" s="62">
        <f>IF(CK$1&lt;=Simulador!$E$37,0,CK9*Simulador!$E$23)</f>
        <v>0</v>
      </c>
      <c r="CL19" s="62">
        <f>IF(CL$1&lt;=Simulador!$E$37,0,CL9*Simulador!$E$23)</f>
        <v>0</v>
      </c>
      <c r="CM19" s="62">
        <f>IF(CM$1&lt;=Simulador!$E$37,0,CM9*Simulador!$E$23)</f>
        <v>0</v>
      </c>
      <c r="CN19" s="62">
        <f>IF(CN$1&lt;=Simulador!$E$37,0,CN9*Simulador!$E$23)</f>
        <v>0</v>
      </c>
      <c r="CO19" s="62">
        <f>IF(CO$1&lt;=Simulador!$E$37,0,CO9*Simulador!$E$23)</f>
        <v>0</v>
      </c>
      <c r="CP19" s="62">
        <f>IF(CP$1&lt;=Simulador!$E$37,0,CP9*Simulador!$E$23)</f>
        <v>0</v>
      </c>
      <c r="CQ19" s="62">
        <f>IF(CQ$1&lt;=Simulador!$E$37,0,CQ9*Simulador!$E$23)</f>
        <v>0</v>
      </c>
      <c r="CR19" s="62">
        <f>IF(CR$1&lt;=Simulador!$E$37,0,CR9*Simulador!$E$23)</f>
        <v>0</v>
      </c>
      <c r="CS19" s="62">
        <f>IF(CS$1&lt;=Simulador!$E$37,0,CS9*Simulador!$E$23)</f>
        <v>0</v>
      </c>
      <c r="CT19" s="62">
        <f>IF(CT$1&lt;=Simulador!$E$37,0,CT9*Simulador!$E$23)</f>
        <v>0</v>
      </c>
      <c r="CU19" s="62">
        <f>IF(CU$1&lt;=Simulador!$E$37,0,CU9*Simulador!$E$23)</f>
        <v>0</v>
      </c>
      <c r="CV19" s="62">
        <f>IF(CV$1&lt;=Simulador!$E$37,0,CV9*Simulador!$E$23)</f>
        <v>0</v>
      </c>
      <c r="CW19" s="62">
        <f>IF(CW$1&lt;=Simulador!$E$37,0,CW9*Simulador!$E$23)</f>
        <v>0</v>
      </c>
      <c r="CX19" s="62">
        <f>IF(CX$1&lt;=Simulador!$E$37,0,CX9*Simulador!$E$23)</f>
        <v>0</v>
      </c>
      <c r="CY19" s="62">
        <f>IF(CY$1&lt;=Simulador!$E$37,0,CY9*Simulador!$E$23)</f>
        <v>0</v>
      </c>
      <c r="CZ19" s="62">
        <f>IF(CZ$1&lt;=Simulador!$E$37,0,CZ9*Simulador!$E$23)</f>
        <v>0</v>
      </c>
      <c r="DA19" s="62">
        <f>IF(DA$1&lt;=Simulador!$E$37,0,DA9*Simulador!$E$23)</f>
        <v>0</v>
      </c>
      <c r="DB19" s="62">
        <f>IF(DB$1&lt;=Simulador!$E$37,0,DB9*Simulador!$E$23)</f>
        <v>0</v>
      </c>
      <c r="DC19" s="62">
        <f>IF(DC$1&lt;=Simulador!$E$37,0,DC9*Simulador!$E$23)</f>
        <v>0</v>
      </c>
      <c r="DD19" s="62">
        <f>IF(DD$1&lt;=Simulador!$E$37,0,DD9*Simulador!$E$23)</f>
        <v>0</v>
      </c>
      <c r="DE19" s="62">
        <f>IF(DE$1&lt;=Simulador!$E$37,0,DE9*Simulador!$E$23)</f>
        <v>0</v>
      </c>
      <c r="DF19" s="62">
        <f>IF(DF$1&lt;=Simulador!$E$37,0,DF9*Simulador!$E$23)</f>
        <v>0</v>
      </c>
      <c r="DG19" s="62">
        <f>IF(DG$1&lt;=Simulador!$E$37,0,DG9*Simulador!$E$23)</f>
        <v>0</v>
      </c>
      <c r="DH19" s="62">
        <f>IF(DH$1&lt;=Simulador!$E$37,0,DH9*Simulador!$E$23)</f>
        <v>0</v>
      </c>
      <c r="DI19" s="62">
        <f>IF(DI$1&lt;=Simulador!$E$37,0,DI9*Simulador!$E$23)</f>
        <v>0</v>
      </c>
      <c r="DJ19" s="62">
        <f>IF(DJ$1&lt;=Simulador!$E$37,0,DJ9*Simulador!$E$23)</f>
        <v>0</v>
      </c>
      <c r="DK19" s="62">
        <f>IF(DK$1&lt;=Simulador!$E$37,0,DK9*Simulador!$E$23)</f>
        <v>0</v>
      </c>
      <c r="DL19" s="62">
        <f>IF(DL$1&lt;=Simulador!$E$37,0,DL9*Simulador!$E$23)</f>
        <v>0</v>
      </c>
      <c r="DM19" s="62">
        <f>IF(DM$1&lt;=Simulador!$E$37,0,DM9*Simulador!$E$23)</f>
        <v>0</v>
      </c>
      <c r="DN19" s="62">
        <f>IF(DN$1&lt;=Simulador!$E$37,0,DN9*Simulador!$E$23)</f>
        <v>0</v>
      </c>
      <c r="DO19" s="62">
        <f>IF(DO$1&lt;=Simulador!$E$37,0,DO9*Simulador!$E$23)</f>
        <v>0</v>
      </c>
      <c r="DP19" s="62">
        <f>IF(DP$1&lt;=Simulador!$E$37,0,DP9*Simulador!$E$23)</f>
        <v>0</v>
      </c>
      <c r="DQ19" s="62">
        <f>IF(DQ$1&lt;=Simulador!$E$37,0,DQ9*Simulador!$E$23)</f>
        <v>0</v>
      </c>
      <c r="DR19" s="62">
        <f>IF(DR$1&lt;=Simulador!$E$37,0,DR9*Simulador!$E$23)</f>
        <v>0</v>
      </c>
      <c r="DS19" s="62">
        <f>IF(DS$1&lt;=Simulador!$E$37,0,DS9*Simulador!$E$23)</f>
        <v>0</v>
      </c>
      <c r="DT19" s="62">
        <f>IF(DT$1&lt;=Simulador!$E$37,0,DT9*Simulador!$E$23)</f>
        <v>0</v>
      </c>
      <c r="DU19" s="62">
        <f>IF(DU$1&lt;=Simulador!$E$37,0,DU9*Simulador!$E$23)</f>
        <v>0</v>
      </c>
      <c r="DV19" s="62">
        <f>IF(DV$1&lt;=Simulador!$E$37,0,DV9*Simulador!$E$23)</f>
        <v>0</v>
      </c>
      <c r="DW19" s="62">
        <f>IF(DW$1&lt;=Simulador!$E$37,0,DW9*Simulador!$E$23)</f>
        <v>0</v>
      </c>
      <c r="DX19" s="62">
        <f>IF(DX$1&lt;=Simulador!$E$37,0,DX9*Simulador!$E$23)</f>
        <v>0</v>
      </c>
      <c r="DY19" s="62">
        <f>IF(DY$1&lt;=Simulador!$E$37,0,DY9*Simulador!$E$23)</f>
        <v>0</v>
      </c>
      <c r="DZ19" s="62">
        <f>IF(DZ$1&lt;=Simulador!$E$37,0,DZ9*Simulador!$E$23)</f>
        <v>0</v>
      </c>
      <c r="EA19" s="62">
        <f>IF(EA$1&lt;=Simulador!$E$37,0,EA9*Simulador!$E$23)</f>
        <v>0</v>
      </c>
      <c r="EB19" s="62">
        <f>IF(EB$1&lt;=Simulador!$E$37,0,EB9*Simulador!$E$23)</f>
        <v>0</v>
      </c>
      <c r="EC19" s="62">
        <f>IF(EC$1&lt;=Simulador!$E$37,0,EC9*Simulador!$E$23)</f>
        <v>0</v>
      </c>
      <c r="ED19" s="62">
        <f>IF(ED$1&lt;=Simulador!$E$37,0,ED9*Simulador!$E$23)</f>
        <v>0</v>
      </c>
    </row>
    <row r="20" spans="2:134" ht="13" x14ac:dyDescent="0.3">
      <c r="B20" s="26" t="s">
        <v>193</v>
      </c>
      <c r="D20" s="38">
        <f>IF(AND(SUMIFS($O20:$BV20,$O$3:$BV$3,D$4)=0,D$11&lt;&gt;0),MAX(O20:BV20),SUMIFS($O20:$BV20,$O$3:$BV$3,D$4))</f>
        <v>0</v>
      </c>
      <c r="E20" s="38">
        <f t="shared" ref="E20:H20" si="16">IF(AND(SUMIFS($O20:$BV20,$O$3:$BV$3,E$4)=0,E$11&lt;&gt;0),MAX(P20:EE20),SUMIFS($O20:$BV20,$O$3:$BV$3,E$4))</f>
        <v>0</v>
      </c>
      <c r="F20" s="38">
        <f t="shared" si="16"/>
        <v>0</v>
      </c>
      <c r="G20" s="38">
        <f t="shared" si="16"/>
        <v>0</v>
      </c>
      <c r="H20" s="38">
        <f t="shared" si="16"/>
        <v>0</v>
      </c>
      <c r="I20" s="38">
        <f t="shared" ref="I20:M20" si="17">IF(AND(SUMIFS($O20:$ED20,$O$3:$ED$3,I$4)=0,I$11&lt;&gt;0),MAX(T20:EI20),SUMIFS($O20:$ED20,$O$3:$ED$3,I$4))</f>
        <v>0</v>
      </c>
      <c r="J20" s="38">
        <f t="shared" si="17"/>
        <v>0</v>
      </c>
      <c r="K20" s="38">
        <f t="shared" si="17"/>
        <v>0</v>
      </c>
      <c r="L20" s="38">
        <f t="shared" si="17"/>
        <v>0</v>
      </c>
      <c r="M20" s="38">
        <f t="shared" si="17"/>
        <v>0</v>
      </c>
      <c r="O20" s="46">
        <f>O$7*Simulador!$E$26</f>
        <v>0</v>
      </c>
      <c r="P20" s="46">
        <f>P$7*Simulador!$E$26</f>
        <v>0</v>
      </c>
      <c r="Q20" s="46">
        <f>Q$7*Simulador!$E$26</f>
        <v>0</v>
      </c>
      <c r="R20" s="46">
        <f>R$7*Simulador!$E$26</f>
        <v>0</v>
      </c>
      <c r="S20" s="46">
        <f>S$7*Simulador!$E$26</f>
        <v>0</v>
      </c>
      <c r="T20" s="46">
        <f>T$7*Simulador!$E$26</f>
        <v>0</v>
      </c>
      <c r="U20" s="46">
        <f>U$7*Simulador!$E$26</f>
        <v>0</v>
      </c>
      <c r="V20" s="46">
        <f>V$7*Simulador!$E$26</f>
        <v>0</v>
      </c>
      <c r="W20" s="46">
        <f>W$7*Simulador!$E$26</f>
        <v>0</v>
      </c>
      <c r="X20" s="46">
        <f>X$7*Simulador!$E$26</f>
        <v>0</v>
      </c>
      <c r="Y20" s="46">
        <f>Y$7*Simulador!$E$26</f>
        <v>0</v>
      </c>
      <c r="Z20" s="46">
        <f>Z$7*Simulador!$E$26</f>
        <v>0</v>
      </c>
      <c r="AA20" s="46">
        <f>AA$7*Simulador!$E$26</f>
        <v>0</v>
      </c>
      <c r="AB20" s="46">
        <f>AB$7*Simulador!$E$26</f>
        <v>0</v>
      </c>
      <c r="AC20" s="46">
        <f>AC$7*Simulador!$E$26</f>
        <v>0</v>
      </c>
      <c r="AD20" s="46">
        <f>AD$7*Simulador!$E$26</f>
        <v>0</v>
      </c>
      <c r="AE20" s="46">
        <f>AE$7*Simulador!$E$26</f>
        <v>0</v>
      </c>
      <c r="AF20" s="46">
        <f>AF$7*Simulador!$E$26</f>
        <v>0</v>
      </c>
      <c r="AG20" s="46">
        <f>AG$7*Simulador!$E$26</f>
        <v>0</v>
      </c>
      <c r="AH20" s="46">
        <f>AH$7*Simulador!$E$26</f>
        <v>0</v>
      </c>
      <c r="AI20" s="46">
        <f>AI$7*Simulador!$E$26</f>
        <v>0</v>
      </c>
      <c r="AJ20" s="46">
        <f>AJ$7*Simulador!$E$26</f>
        <v>0</v>
      </c>
      <c r="AK20" s="46">
        <f>AK$7*Simulador!$E$26</f>
        <v>0</v>
      </c>
      <c r="AL20" s="46">
        <f>AL$7*Simulador!$E$26</f>
        <v>0</v>
      </c>
      <c r="AM20" s="46">
        <f>AM$7*Simulador!$E$26</f>
        <v>0</v>
      </c>
      <c r="AN20" s="46">
        <f>AN$7*Simulador!$E$26</f>
        <v>0</v>
      </c>
      <c r="AO20" s="46">
        <f>AO$7*Simulador!$E$26</f>
        <v>0</v>
      </c>
      <c r="AP20" s="46">
        <f>AP$7*Simulador!$E$26</f>
        <v>0</v>
      </c>
      <c r="AQ20" s="46">
        <f>AQ$7*Simulador!$E$26</f>
        <v>0</v>
      </c>
      <c r="AR20" s="46">
        <f>AR$7*Simulador!$E$26</f>
        <v>0</v>
      </c>
      <c r="AS20" s="46">
        <f>AS$7*Simulador!$E$26</f>
        <v>0</v>
      </c>
      <c r="AT20" s="46">
        <f>AT$7*Simulador!$E$26</f>
        <v>0</v>
      </c>
      <c r="AU20" s="46">
        <f>AU$7*Simulador!$E$26</f>
        <v>0</v>
      </c>
      <c r="AV20" s="46">
        <f>AV$7*Simulador!$E$26</f>
        <v>0</v>
      </c>
      <c r="AW20" s="46">
        <f>AW$7*Simulador!$E$26</f>
        <v>0</v>
      </c>
      <c r="AX20" s="46">
        <f>AX$7*Simulador!$E$26</f>
        <v>0</v>
      </c>
      <c r="AY20" s="46">
        <f>AY$7*Simulador!$E$26</f>
        <v>0</v>
      </c>
      <c r="AZ20" s="46">
        <f>AZ$7*Simulador!$E$26</f>
        <v>0</v>
      </c>
      <c r="BA20" s="46">
        <f>BA$7*Simulador!$E$26</f>
        <v>0</v>
      </c>
      <c r="BB20" s="46">
        <f>BB$7*Simulador!$E$26</f>
        <v>0</v>
      </c>
      <c r="BC20" s="46">
        <f>BC$7*Simulador!$E$26</f>
        <v>0</v>
      </c>
      <c r="BD20" s="46">
        <f>BD$7*Simulador!$E$26</f>
        <v>0</v>
      </c>
      <c r="BE20" s="46">
        <f>BE$7*Simulador!$E$26</f>
        <v>0</v>
      </c>
      <c r="BF20" s="46">
        <f>BF$7*Simulador!$E$26</f>
        <v>0</v>
      </c>
      <c r="BG20" s="46">
        <f>BG$7*Simulador!$E$26</f>
        <v>0</v>
      </c>
      <c r="BH20" s="46">
        <f>BH$7*Simulador!$E$26</f>
        <v>0</v>
      </c>
      <c r="BI20" s="46">
        <f>BI$7*Simulador!$E$26</f>
        <v>0</v>
      </c>
      <c r="BJ20" s="46">
        <f>BJ$7*Simulador!$E$26</f>
        <v>0</v>
      </c>
      <c r="BK20" s="46">
        <f>BK$7*Simulador!$E$26</f>
        <v>0</v>
      </c>
      <c r="BL20" s="46">
        <f>BL$7*Simulador!$E$26</f>
        <v>0</v>
      </c>
      <c r="BM20" s="46">
        <f>BM$7*Simulador!$E$26</f>
        <v>0</v>
      </c>
      <c r="BN20" s="46">
        <f>BN$7*Simulador!$E$26</f>
        <v>0</v>
      </c>
      <c r="BO20" s="46">
        <f>BO$7*Simulador!$E$26</f>
        <v>0</v>
      </c>
      <c r="BP20" s="46">
        <f>BP$7*Simulador!$E$26</f>
        <v>0</v>
      </c>
      <c r="BQ20" s="46">
        <f>BQ$7*Simulador!$E$26</f>
        <v>0</v>
      </c>
      <c r="BR20" s="46">
        <f>BR$7*Simulador!$E$26</f>
        <v>0</v>
      </c>
      <c r="BS20" s="46">
        <f>BS$7*Simulador!$E$26</f>
        <v>0</v>
      </c>
      <c r="BT20" s="46">
        <f>BT$7*Simulador!$E$26</f>
        <v>0</v>
      </c>
      <c r="BU20" s="46">
        <f>BU$7*Simulador!$E$26</f>
        <v>0</v>
      </c>
      <c r="BV20" s="46">
        <f>BV$7*Simulador!$E$26</f>
        <v>0</v>
      </c>
      <c r="BW20" s="46">
        <f>BW$7*Simulador!$E$26</f>
        <v>0</v>
      </c>
      <c r="BX20" s="46">
        <f>BX$7*Simulador!$E$26</f>
        <v>0</v>
      </c>
      <c r="BY20" s="46">
        <f>BY$7*Simulador!$E$26</f>
        <v>0</v>
      </c>
      <c r="BZ20" s="46">
        <f>BZ$7*Simulador!$E$26</f>
        <v>0</v>
      </c>
      <c r="CA20" s="46">
        <f>CA$7*Simulador!$E$26</f>
        <v>0</v>
      </c>
      <c r="CB20" s="46">
        <f>CB$7*Simulador!$E$26</f>
        <v>0</v>
      </c>
      <c r="CC20" s="46">
        <f>CC$7*Simulador!$E$26</f>
        <v>0</v>
      </c>
      <c r="CD20" s="46">
        <f>CD$7*Simulador!$E$26</f>
        <v>0</v>
      </c>
      <c r="CE20" s="46">
        <f>CE$7*Simulador!$E$26</f>
        <v>0</v>
      </c>
      <c r="CF20" s="46">
        <f>CF$7*Simulador!$E$26</f>
        <v>0</v>
      </c>
      <c r="CG20" s="46">
        <f>CG$7*Simulador!$E$26</f>
        <v>0</v>
      </c>
      <c r="CH20" s="46">
        <f>CH$7*Simulador!$E$26</f>
        <v>0</v>
      </c>
      <c r="CI20" s="46">
        <f>CI$7*Simulador!$E$26</f>
        <v>0</v>
      </c>
      <c r="CJ20" s="46">
        <f>CJ$7*Simulador!$E$26</f>
        <v>0</v>
      </c>
      <c r="CK20" s="46">
        <f>CK$7*Simulador!$E$26</f>
        <v>0</v>
      </c>
      <c r="CL20" s="46">
        <f>CL$7*Simulador!$E$26</f>
        <v>0</v>
      </c>
      <c r="CM20" s="46">
        <f>CM$7*Simulador!$E$26</f>
        <v>0</v>
      </c>
      <c r="CN20" s="46">
        <f>CN$7*Simulador!$E$26</f>
        <v>0</v>
      </c>
      <c r="CO20" s="46">
        <f>CO$7*Simulador!$E$26</f>
        <v>0</v>
      </c>
      <c r="CP20" s="46">
        <f>CP$7*Simulador!$E$26</f>
        <v>0</v>
      </c>
      <c r="CQ20" s="46">
        <f>CQ$7*Simulador!$E$26</f>
        <v>0</v>
      </c>
      <c r="CR20" s="46">
        <f>CR$7*Simulador!$E$26</f>
        <v>0</v>
      </c>
      <c r="CS20" s="46">
        <f>CS$7*Simulador!$E$26</f>
        <v>0</v>
      </c>
      <c r="CT20" s="46">
        <f>CT$7*Simulador!$E$26</f>
        <v>0</v>
      </c>
      <c r="CU20" s="46">
        <f>CU$7*Simulador!$E$26</f>
        <v>0</v>
      </c>
      <c r="CV20" s="46">
        <f>CV$7*Simulador!$E$26</f>
        <v>0</v>
      </c>
      <c r="CW20" s="46">
        <f>CW$7*Simulador!$E$26</f>
        <v>0</v>
      </c>
      <c r="CX20" s="46">
        <f>CX$7*Simulador!$E$26</f>
        <v>0</v>
      </c>
      <c r="CY20" s="46">
        <f>CY$7*Simulador!$E$26</f>
        <v>0</v>
      </c>
      <c r="CZ20" s="46">
        <f>CZ$7*Simulador!$E$26</f>
        <v>0</v>
      </c>
      <c r="DA20" s="46">
        <f>DA$7*Simulador!$E$26</f>
        <v>0</v>
      </c>
      <c r="DB20" s="46">
        <f>DB$7*Simulador!$E$26</f>
        <v>0</v>
      </c>
      <c r="DC20" s="46">
        <f>DC$7*Simulador!$E$26</f>
        <v>0</v>
      </c>
      <c r="DD20" s="46">
        <f>DD$7*Simulador!$E$26</f>
        <v>0</v>
      </c>
      <c r="DE20" s="46">
        <f>DE$7*Simulador!$E$26</f>
        <v>0</v>
      </c>
      <c r="DF20" s="46">
        <f>DF$7*Simulador!$E$26</f>
        <v>0</v>
      </c>
      <c r="DG20" s="46">
        <f>DG$7*Simulador!$E$26</f>
        <v>0</v>
      </c>
      <c r="DH20" s="46">
        <f>DH$7*Simulador!$E$26</f>
        <v>0</v>
      </c>
      <c r="DI20" s="46">
        <f>DI$7*Simulador!$E$26</f>
        <v>0</v>
      </c>
      <c r="DJ20" s="46">
        <f>DJ$7*Simulador!$E$26</f>
        <v>0</v>
      </c>
      <c r="DK20" s="46">
        <f>DK$7*Simulador!$E$26</f>
        <v>0</v>
      </c>
      <c r="DL20" s="46">
        <f>DL$7*Simulador!$E$26</f>
        <v>0</v>
      </c>
      <c r="DM20" s="46">
        <f>DM$7*Simulador!$E$26</f>
        <v>0</v>
      </c>
      <c r="DN20" s="46">
        <f>DN$7*Simulador!$E$26</f>
        <v>0</v>
      </c>
      <c r="DO20" s="46">
        <f>DO$7*Simulador!$E$26</f>
        <v>0</v>
      </c>
      <c r="DP20" s="46">
        <f>DP$7*Simulador!$E$26</f>
        <v>0</v>
      </c>
      <c r="DQ20" s="46">
        <f>DQ$7*Simulador!$E$26</f>
        <v>0</v>
      </c>
      <c r="DR20" s="46">
        <f>DR$7*Simulador!$E$26</f>
        <v>0</v>
      </c>
      <c r="DS20" s="46">
        <f>DS$7*Simulador!$E$26</f>
        <v>0</v>
      </c>
      <c r="DT20" s="46">
        <f>DT$7*Simulador!$E$26</f>
        <v>0</v>
      </c>
      <c r="DU20" s="46">
        <f>DU$7*Simulador!$E$26</f>
        <v>0</v>
      </c>
      <c r="DV20" s="46">
        <f>DV$7*Simulador!$E$26</f>
        <v>0</v>
      </c>
      <c r="DW20" s="46">
        <f>DW$7*Simulador!$E$26</f>
        <v>0</v>
      </c>
      <c r="DX20" s="46">
        <f>DX$7*Simulador!$E$26</f>
        <v>0</v>
      </c>
      <c r="DY20" s="46">
        <f>DY$7*Simulador!$E$26</f>
        <v>0</v>
      </c>
      <c r="DZ20" s="46">
        <f>DZ$7*Simulador!$E$26</f>
        <v>0</v>
      </c>
      <c r="EA20" s="46">
        <f>EA$7*Simulador!$E$26</f>
        <v>0</v>
      </c>
      <c r="EB20" s="46">
        <f>EB$7*Simulador!$E$26</f>
        <v>0</v>
      </c>
      <c r="EC20" s="46">
        <f>EC$7*Simulador!$E$26</f>
        <v>0</v>
      </c>
      <c r="ED20" s="46">
        <f>ED$7*Simulador!$E$26</f>
        <v>0</v>
      </c>
    </row>
    <row r="21" spans="2:134" ht="12.5" x14ac:dyDescent="0.25">
      <c r="B21" s="46" t="s">
        <v>194</v>
      </c>
      <c r="C21" s="53"/>
      <c r="D21" s="62">
        <f t="shared" ref="D21:H21" si="18">SUMIFS($O21:$BV21,$O$4:$BV$4,D$3)</f>
        <v>0</v>
      </c>
      <c r="E21" s="62">
        <f t="shared" si="18"/>
        <v>0</v>
      </c>
      <c r="F21" s="62">
        <f t="shared" si="18"/>
        <v>0</v>
      </c>
      <c r="G21" s="62">
        <f t="shared" si="18"/>
        <v>0</v>
      </c>
      <c r="H21" s="62">
        <f t="shared" si="18"/>
        <v>0</v>
      </c>
      <c r="I21" s="62">
        <f t="shared" ref="I21:M21" si="19">SUMIFS($O21:$ED21,$O$4:$ED$4,I$3)</f>
        <v>0</v>
      </c>
      <c r="J21" s="62">
        <f t="shared" si="19"/>
        <v>0</v>
      </c>
      <c r="K21" s="62">
        <f t="shared" si="19"/>
        <v>0</v>
      </c>
      <c r="L21" s="62">
        <f t="shared" si="19"/>
        <v>0</v>
      </c>
      <c r="M21" s="62">
        <f t="shared" si="19"/>
        <v>0</v>
      </c>
      <c r="N21" s="53"/>
      <c r="O21" s="62">
        <v>0</v>
      </c>
      <c r="P21" s="62">
        <f>P$15*Premissas!$C$3</f>
        <v>0</v>
      </c>
      <c r="Q21" s="62">
        <f>Q$15*Premissas!$C$3</f>
        <v>0</v>
      </c>
      <c r="R21" s="62">
        <f>R$15*Premissas!$C$3</f>
        <v>0</v>
      </c>
      <c r="S21" s="62">
        <f>S$15*Premissas!$C$3</f>
        <v>0</v>
      </c>
      <c r="T21" s="62">
        <f>T$15*Premissas!$C$3</f>
        <v>0</v>
      </c>
      <c r="U21" s="62">
        <f>U$15*Premissas!$C$3</f>
        <v>0</v>
      </c>
      <c r="V21" s="62">
        <f>V$15*Premissas!$C$3</f>
        <v>0</v>
      </c>
      <c r="W21" s="62">
        <f>W$15*Premissas!$C$3</f>
        <v>0</v>
      </c>
      <c r="X21" s="62">
        <f>X$15*Premissas!$C$3</f>
        <v>0</v>
      </c>
      <c r="Y21" s="62">
        <f>Y$15*Premissas!$C$3</f>
        <v>0</v>
      </c>
      <c r="Z21" s="62">
        <f>Z$15*Premissas!$C$3</f>
        <v>0</v>
      </c>
      <c r="AA21" s="62">
        <f>AA$15*Premissas!$C$3</f>
        <v>0</v>
      </c>
      <c r="AB21" s="62">
        <f>AB$15*Premissas!$C$3</f>
        <v>0</v>
      </c>
      <c r="AC21" s="62">
        <f>AC$15*Premissas!$C$3</f>
        <v>0</v>
      </c>
      <c r="AD21" s="62">
        <f>AD$15*Premissas!$C$3</f>
        <v>0</v>
      </c>
      <c r="AE21" s="62">
        <f>AE$15*Premissas!$C$3</f>
        <v>0</v>
      </c>
      <c r="AF21" s="62">
        <f>AF$15*Premissas!$C$3</f>
        <v>0</v>
      </c>
      <c r="AG21" s="62">
        <f>AG$15*Premissas!$C$3</f>
        <v>0</v>
      </c>
      <c r="AH21" s="62">
        <f>AH$15*Premissas!$C$3</f>
        <v>0</v>
      </c>
      <c r="AI21" s="62">
        <f>AI$15*Premissas!$C$3</f>
        <v>0</v>
      </c>
      <c r="AJ21" s="62">
        <f>AJ$15*Premissas!$C$3</f>
        <v>0</v>
      </c>
      <c r="AK21" s="62">
        <f>AK$15*Premissas!$C$3</f>
        <v>0</v>
      </c>
      <c r="AL21" s="62">
        <f>AL$15*Premissas!$C$3</f>
        <v>0</v>
      </c>
      <c r="AM21" s="62">
        <f>AM$15*Premissas!$C$3</f>
        <v>0</v>
      </c>
      <c r="AN21" s="62">
        <f>AN$15*Premissas!$C$3</f>
        <v>0</v>
      </c>
      <c r="AO21" s="62">
        <f>AO$15*Premissas!$C$3</f>
        <v>0</v>
      </c>
      <c r="AP21" s="62">
        <f>AP$15*Premissas!$C$3</f>
        <v>0</v>
      </c>
      <c r="AQ21" s="62">
        <f>AQ$15*Premissas!$C$3</f>
        <v>0</v>
      </c>
      <c r="AR21" s="62">
        <f>AR$15*Premissas!$C$3</f>
        <v>0</v>
      </c>
      <c r="AS21" s="62">
        <f>AS$15*Premissas!$C$3</f>
        <v>0</v>
      </c>
      <c r="AT21" s="62">
        <f>AT$15*Premissas!$C$3</f>
        <v>0</v>
      </c>
      <c r="AU21" s="62">
        <f>AU$15*Premissas!$C$3</f>
        <v>0</v>
      </c>
      <c r="AV21" s="62">
        <f>AV$15*Premissas!$C$3</f>
        <v>0</v>
      </c>
      <c r="AW21" s="62">
        <f>AW$15*Premissas!$C$3</f>
        <v>0</v>
      </c>
      <c r="AX21" s="62">
        <f>AX$15*Premissas!$C$3</f>
        <v>0</v>
      </c>
      <c r="AY21" s="62">
        <f>AY$15*Premissas!$C$3</f>
        <v>0</v>
      </c>
      <c r="AZ21" s="62">
        <f>AZ$15*Premissas!$C$3</f>
        <v>0</v>
      </c>
      <c r="BA21" s="62">
        <f>BA$15*Premissas!$C$3</f>
        <v>0</v>
      </c>
      <c r="BB21" s="62">
        <f>BB$15*Premissas!$C$3</f>
        <v>0</v>
      </c>
      <c r="BC21" s="62">
        <f>BC$15*Premissas!$C$3</f>
        <v>0</v>
      </c>
      <c r="BD21" s="62">
        <f>BD$15*Premissas!$C$3</f>
        <v>0</v>
      </c>
      <c r="BE21" s="62">
        <f>BE$15*Premissas!$C$3</f>
        <v>0</v>
      </c>
      <c r="BF21" s="62">
        <f>BF$15*Premissas!$C$3</f>
        <v>0</v>
      </c>
      <c r="BG21" s="62">
        <f>BG$15*Premissas!$C$3</f>
        <v>0</v>
      </c>
      <c r="BH21" s="62">
        <f>BH$15*Premissas!$C$3</f>
        <v>0</v>
      </c>
      <c r="BI21" s="62">
        <f>BI$15*Premissas!$C$3</f>
        <v>0</v>
      </c>
      <c r="BJ21" s="62">
        <f>BJ$15*Premissas!$C$3</f>
        <v>0</v>
      </c>
      <c r="BK21" s="62">
        <f>BK$15*Premissas!$C$3</f>
        <v>0</v>
      </c>
      <c r="BL21" s="62">
        <f>BL$15*Premissas!$C$3</f>
        <v>0</v>
      </c>
      <c r="BM21" s="62">
        <f>BM$15*Premissas!$C$3</f>
        <v>0</v>
      </c>
      <c r="BN21" s="62">
        <f>BN$15*Premissas!$C$3</f>
        <v>0</v>
      </c>
      <c r="BO21" s="62">
        <f>BO$15*Premissas!$C$3</f>
        <v>0</v>
      </c>
      <c r="BP21" s="62">
        <f>BP$15*Premissas!$C$3</f>
        <v>0</v>
      </c>
      <c r="BQ21" s="62">
        <f>BQ$15*Premissas!$C$3</f>
        <v>0</v>
      </c>
      <c r="BR21" s="62">
        <f>BR$15*Premissas!$C$3</f>
        <v>0</v>
      </c>
      <c r="BS21" s="62">
        <f>BS$15*Premissas!$C$3</f>
        <v>0</v>
      </c>
      <c r="BT21" s="62">
        <f>BT$15*Premissas!$C$3</f>
        <v>0</v>
      </c>
      <c r="BU21" s="62">
        <f>BU$15*Premissas!$C$3</f>
        <v>0</v>
      </c>
      <c r="BV21" s="62">
        <f>BV$15*Premissas!$C$3</f>
        <v>0</v>
      </c>
      <c r="BW21" s="62">
        <f>BW$15*Premissas!$C$3</f>
        <v>0</v>
      </c>
      <c r="BX21" s="62">
        <f>BX$15*Premissas!$C$3</f>
        <v>0</v>
      </c>
      <c r="BY21" s="62">
        <f>BY$15*Premissas!$C$3</f>
        <v>0</v>
      </c>
      <c r="BZ21" s="62">
        <f>BZ$15*Premissas!$C$3</f>
        <v>0</v>
      </c>
      <c r="CA21" s="62">
        <f>CA$15*Premissas!$C$3</f>
        <v>0</v>
      </c>
      <c r="CB21" s="62">
        <f>CB$15*Premissas!$C$3</f>
        <v>0</v>
      </c>
      <c r="CC21" s="62">
        <f>CC$15*Premissas!$C$3</f>
        <v>0</v>
      </c>
      <c r="CD21" s="62">
        <f>CD$15*Premissas!$C$3</f>
        <v>0</v>
      </c>
      <c r="CE21" s="62">
        <f>CE$15*Premissas!$C$3</f>
        <v>0</v>
      </c>
      <c r="CF21" s="62">
        <f>CF$15*Premissas!$C$3</f>
        <v>0</v>
      </c>
      <c r="CG21" s="62">
        <f>CG$15*Premissas!$C$3</f>
        <v>0</v>
      </c>
      <c r="CH21" s="62">
        <f>CH$15*Premissas!$C$3</f>
        <v>0</v>
      </c>
      <c r="CI21" s="62">
        <f>CI$15*Premissas!$C$3</f>
        <v>0</v>
      </c>
      <c r="CJ21" s="62">
        <f>CJ$15*Premissas!$C$3</f>
        <v>0</v>
      </c>
      <c r="CK21" s="62">
        <f>CK$15*Premissas!$C$3</f>
        <v>0</v>
      </c>
      <c r="CL21" s="62">
        <f>CL$15*Premissas!$C$3</f>
        <v>0</v>
      </c>
      <c r="CM21" s="62">
        <f>CM$15*Premissas!$C$3</f>
        <v>0</v>
      </c>
      <c r="CN21" s="62">
        <f>CN$15*Premissas!$C$3</f>
        <v>0</v>
      </c>
      <c r="CO21" s="62">
        <f>CO$15*Premissas!$C$3</f>
        <v>0</v>
      </c>
      <c r="CP21" s="62">
        <f>CP$15*Premissas!$C$3</f>
        <v>0</v>
      </c>
      <c r="CQ21" s="62">
        <f>CQ$15*Premissas!$C$3</f>
        <v>0</v>
      </c>
      <c r="CR21" s="62">
        <f>CR$15*Premissas!$C$3</f>
        <v>0</v>
      </c>
      <c r="CS21" s="62">
        <f>CS$15*Premissas!$C$3</f>
        <v>0</v>
      </c>
      <c r="CT21" s="62">
        <f>CT$15*Premissas!$C$3</f>
        <v>0</v>
      </c>
      <c r="CU21" s="62">
        <f>CU$15*Premissas!$C$3</f>
        <v>0</v>
      </c>
      <c r="CV21" s="62">
        <f>CV$15*Premissas!$C$3</f>
        <v>0</v>
      </c>
      <c r="CW21" s="62">
        <f>CW$15*Premissas!$C$3</f>
        <v>0</v>
      </c>
      <c r="CX21" s="62">
        <f>CX$15*Premissas!$C$3</f>
        <v>0</v>
      </c>
      <c r="CY21" s="62">
        <f>CY$15*Premissas!$C$3</f>
        <v>0</v>
      </c>
      <c r="CZ21" s="62">
        <f>CZ$15*Premissas!$C$3</f>
        <v>0</v>
      </c>
      <c r="DA21" s="62">
        <f>DA$15*Premissas!$C$3</f>
        <v>0</v>
      </c>
      <c r="DB21" s="62">
        <f>DB$15*Premissas!$C$3</f>
        <v>0</v>
      </c>
      <c r="DC21" s="62">
        <f>DC$15*Premissas!$C$3</f>
        <v>0</v>
      </c>
      <c r="DD21" s="62">
        <f>DD$15*Premissas!$C$3</f>
        <v>0</v>
      </c>
      <c r="DE21" s="62">
        <f>DE$15*Premissas!$C$3</f>
        <v>0</v>
      </c>
      <c r="DF21" s="62">
        <f>DF$15*Premissas!$C$3</f>
        <v>0</v>
      </c>
      <c r="DG21" s="62">
        <f>DG$15*Premissas!$C$3</f>
        <v>0</v>
      </c>
      <c r="DH21" s="62">
        <f>DH$15*Premissas!$C$3</f>
        <v>0</v>
      </c>
      <c r="DI21" s="62">
        <f>DI$15*Premissas!$C$3</f>
        <v>0</v>
      </c>
      <c r="DJ21" s="62">
        <f>DJ$15*Premissas!$C$3</f>
        <v>0</v>
      </c>
      <c r="DK21" s="62">
        <f>DK$15*Premissas!$C$3</f>
        <v>0</v>
      </c>
      <c r="DL21" s="62">
        <f>DL$15*Premissas!$C$3</f>
        <v>0</v>
      </c>
      <c r="DM21" s="62">
        <f>DM$15*Premissas!$C$3</f>
        <v>0</v>
      </c>
      <c r="DN21" s="62">
        <f>DN$15*Premissas!$C$3</f>
        <v>0</v>
      </c>
      <c r="DO21" s="62">
        <f>DO$15*Premissas!$C$3</f>
        <v>0</v>
      </c>
      <c r="DP21" s="62">
        <f>DP$15*Premissas!$C$3</f>
        <v>0</v>
      </c>
      <c r="DQ21" s="62">
        <f>DQ$15*Premissas!$C$3</f>
        <v>0</v>
      </c>
      <c r="DR21" s="62">
        <f>DR$15*Premissas!$C$3</f>
        <v>0</v>
      </c>
      <c r="DS21" s="62">
        <f>DS$15*Premissas!$C$3</f>
        <v>0</v>
      </c>
      <c r="DT21" s="62">
        <f>DT$15*Premissas!$C$3</f>
        <v>0</v>
      </c>
      <c r="DU21" s="62">
        <f>DU$15*Premissas!$C$3</f>
        <v>0</v>
      </c>
      <c r="DV21" s="62">
        <f>DV$15*Premissas!$C$3</f>
        <v>0</v>
      </c>
      <c r="DW21" s="62">
        <f>DW$15*Premissas!$C$3</f>
        <v>0</v>
      </c>
      <c r="DX21" s="62">
        <f>DX$15*Premissas!$C$3</f>
        <v>0</v>
      </c>
      <c r="DY21" s="62">
        <f>DY$15*Premissas!$C$3</f>
        <v>0</v>
      </c>
      <c r="DZ21" s="62">
        <f>DZ$15*Premissas!$C$3</f>
        <v>0</v>
      </c>
      <c r="EA21" s="62">
        <f>EA$15*Premissas!$C$3</f>
        <v>0</v>
      </c>
      <c r="EB21" s="62">
        <f>EB$15*Premissas!$C$3</f>
        <v>0</v>
      </c>
      <c r="EC21" s="62">
        <f>EC$15*Premissas!$C$3</f>
        <v>0</v>
      </c>
      <c r="ED21" s="62">
        <f>ED$15*Premissas!$C$3</f>
        <v>0</v>
      </c>
    </row>
    <row r="22" spans="2:134" ht="12.5" x14ac:dyDescent="0.25">
      <c r="B22" s="46" t="s">
        <v>195</v>
      </c>
      <c r="C22" s="53"/>
      <c r="D22" s="62">
        <f t="shared" ref="D22:H22" si="20">SUMIFS($O22:$BV22,$O$4:$BV$4,D$3)</f>
        <v>40550</v>
      </c>
      <c r="E22" s="62">
        <f t="shared" si="20"/>
        <v>0</v>
      </c>
      <c r="F22" s="62">
        <f t="shared" si="20"/>
        <v>0</v>
      </c>
      <c r="G22" s="62">
        <f t="shared" si="20"/>
        <v>0</v>
      </c>
      <c r="H22" s="62">
        <f t="shared" si="20"/>
        <v>0</v>
      </c>
      <c r="I22" s="62">
        <f t="shared" ref="I22:M22" si="21">SUMIFS($O22:$ED22,$O$4:$ED$4,I$3)</f>
        <v>0</v>
      </c>
      <c r="J22" s="62">
        <f t="shared" si="21"/>
        <v>0</v>
      </c>
      <c r="K22" s="62">
        <f t="shared" si="21"/>
        <v>0</v>
      </c>
      <c r="L22" s="62">
        <f t="shared" si="21"/>
        <v>0</v>
      </c>
      <c r="M22" s="62">
        <f t="shared" si="21"/>
        <v>0</v>
      </c>
      <c r="N22" s="53"/>
      <c r="O22" s="62">
        <f>IF(IF(O7&gt;Simulador!$E$10,Simulador!$E$28*(O7-N7),(Simulador!$E$28*(1-Simulador!$E$39)*(O7-N7)))&lt;0,0,IF(O7&gt;Simulador!$E$10,Simulador!$E$28*(O7-N7),(Simulador!$E$28*(1-Simulador!$E$39)*(O7-N7))))</f>
        <v>21086</v>
      </c>
      <c r="P22" s="62">
        <f>IF(IF(P7&gt;Simulador!$E$10,Simulador!$E$28*(P7-O7),(Simulador!$E$28*(1-Simulador!$E$39)*(P7-O7)))&lt;0,0,IF(P7&gt;Simulador!$E$10,Simulador!$E$28*(P7-O7),(Simulador!$E$28*(1-Simulador!$E$39)*(P7-O7))))</f>
        <v>19464</v>
      </c>
      <c r="Q22" s="62">
        <f>IF(IF(Q7&gt;Simulador!$E$10,Simulador!$E$28*(Q7-P7),(Simulador!$E$28*(1-Simulador!$E$39)*(Q7-P7)))&lt;0,0,IF(Q7&gt;Simulador!$E$10,Simulador!$E$28*(Q7-P7),(Simulador!$E$28*(1-Simulador!$E$39)*(Q7-P7))))</f>
        <v>0</v>
      </c>
      <c r="R22" s="62">
        <f>IF(IF(R7&gt;Simulador!$E$10,Simulador!$E$28*(R7-Q7),(Simulador!$E$28*(1-Simulador!$E$39)*(R7-Q7)))&lt;0,0,IF(R7&gt;Simulador!$E$10,Simulador!$E$28*(R7-Q7),(Simulador!$E$28*(1-Simulador!$E$39)*(R7-Q7))))</f>
        <v>0</v>
      </c>
      <c r="S22" s="62">
        <f>IF(IF(S7&gt;Simulador!$E$10,Simulador!$E$28*(S7-R7),(Simulador!$E$28*(1-Simulador!$E$39)*(S7-R7)))&lt;0,0,IF(S7&gt;Simulador!$E$10,Simulador!$E$28*(S7-R7),(Simulador!$E$28*(1-Simulador!$E$39)*(S7-R7))))</f>
        <v>0</v>
      </c>
      <c r="T22" s="62">
        <f>IF(IF(T7&gt;Simulador!$E$10,Simulador!$E$28*(T7-S7),(Simulador!$E$28*(1-Simulador!$E$39)*(T7-S7)))&lt;0,0,IF(T7&gt;Simulador!$E$10,Simulador!$E$28*(T7-S7),(Simulador!$E$28*(1-Simulador!$E$39)*(T7-S7))))</f>
        <v>0</v>
      </c>
      <c r="U22" s="62">
        <f>IF(IF(U7&gt;Simulador!$E$10,Simulador!$E$28*(U7-T7),(Simulador!$E$28*(1-Simulador!$E$39)*(U7-T7)))&lt;0,0,IF(U7&gt;Simulador!$E$10,Simulador!$E$28*(U7-T7),(Simulador!$E$28*(1-Simulador!$E$39)*(U7-T7))))</f>
        <v>0</v>
      </c>
      <c r="V22" s="62">
        <f>IF(IF(V7&gt;Simulador!$E$10,Simulador!$E$28*(V7-U7),(Simulador!$E$28*(1-Simulador!$E$39)*(V7-U7)))&lt;0,0,IF(V7&gt;Simulador!$E$10,Simulador!$E$28*(V7-U7),(Simulador!$E$28*(1-Simulador!$E$39)*(V7-U7))))</f>
        <v>0</v>
      </c>
      <c r="W22" s="62">
        <f>IF(IF(W7&gt;Simulador!$E$10,Simulador!$E$28*(W7-V7),(Simulador!$E$28*(1-Simulador!$E$39)*(W7-V7)))&lt;0,0,IF(W7&gt;Simulador!$E$10,Simulador!$E$28*(W7-V7),(Simulador!$E$28*(1-Simulador!$E$39)*(W7-V7))))</f>
        <v>0</v>
      </c>
      <c r="X22" s="62">
        <f>IF(IF(X7&gt;Simulador!$E$10,Simulador!$E$28*(X7-W7),(Simulador!$E$28*(1-Simulador!$E$39)*(X7-W7)))&lt;0,0,IF(X7&gt;Simulador!$E$10,Simulador!$E$28*(X7-W7),(Simulador!$E$28*(1-Simulador!$E$39)*(X7-W7))))</f>
        <v>0</v>
      </c>
      <c r="Y22" s="62">
        <f>IF(IF(Y7&gt;Simulador!$E$10,Simulador!$E$28*(Y7-X7),(Simulador!$E$28*(1-Simulador!$E$39)*(Y7-X7)))&lt;0,0,IF(Y7&gt;Simulador!$E$10,Simulador!$E$28*(Y7-X7),(Simulador!$E$28*(1-Simulador!$E$39)*(Y7-X7))))</f>
        <v>0</v>
      </c>
      <c r="Z22" s="62">
        <f>IF(IF(Z7&gt;Simulador!$E$10,Simulador!$E$28*(Z7-Y7),(Simulador!$E$28*(1-Simulador!$E$39)*(Z7-Y7)))&lt;0,0,IF(Z7&gt;Simulador!$E$10,Simulador!$E$28*(Z7-Y7),(Simulador!$E$28*(1-Simulador!$E$39)*(Z7-Y7))))</f>
        <v>0</v>
      </c>
      <c r="AA22" s="62">
        <f>IF(IF(AA7&gt;Simulador!$E$10,Simulador!$E$28*(AA7-Z7),(Simulador!$E$28*(1-Simulador!$E$39)*(AA7-Z7)))&lt;0,0,IF(AA7&gt;Simulador!$E$10,Simulador!$E$28*(AA7-Z7),(Simulador!$E$28*(1-Simulador!$E$39)*(AA7-Z7))))</f>
        <v>0</v>
      </c>
      <c r="AB22" s="62">
        <f>IF(IF(AB7&gt;Simulador!$E$10,Simulador!$E$28*(AB7-AA7),(Simulador!$E$28*(1-Simulador!$E$39)*(AB7-AA7)))&lt;0,0,IF(AB7&gt;Simulador!$E$10,Simulador!$E$28*(AB7-AA7),(Simulador!$E$28*(1-Simulador!$E$39)*(AB7-AA7))))</f>
        <v>0</v>
      </c>
      <c r="AC22" s="62">
        <f>IF(IF(AC7&gt;Simulador!$E$10,Simulador!$E$28*(AC7-AB7),(Simulador!$E$28*(1-Simulador!$E$39)*(AC7-AB7)))&lt;0,0,IF(AC7&gt;Simulador!$E$10,Simulador!$E$28*(AC7-AB7),(Simulador!$E$28*(1-Simulador!$E$39)*(AC7-AB7))))</f>
        <v>0</v>
      </c>
      <c r="AD22" s="62">
        <f>IF(IF(AD7&gt;Simulador!$E$10,Simulador!$E$28*(AD7-AC7),(Simulador!$E$28*(1-Simulador!$E$39)*(AD7-AC7)))&lt;0,0,IF(AD7&gt;Simulador!$E$10,Simulador!$E$28*(AD7-AC7),(Simulador!$E$28*(1-Simulador!$E$39)*(AD7-AC7))))</f>
        <v>0</v>
      </c>
      <c r="AE22" s="62">
        <f>IF(IF(AE7&gt;Simulador!$E$10,Simulador!$E$28*(AE7-AD7),(Simulador!$E$28*(1-Simulador!$E$39)*(AE7-AD7)))&lt;0,0,IF(AE7&gt;Simulador!$E$10,Simulador!$E$28*(AE7-AD7),(Simulador!$E$28*(1-Simulador!$E$39)*(AE7-AD7))))</f>
        <v>0</v>
      </c>
      <c r="AF22" s="62">
        <f>IF(IF(AF7&gt;Simulador!$E$10,Simulador!$E$28*(AF7-AE7),(Simulador!$E$28*(1-Simulador!$E$39)*(AF7-AE7)))&lt;0,0,IF(AF7&gt;Simulador!$E$10,Simulador!$E$28*(AF7-AE7),(Simulador!$E$28*(1-Simulador!$E$39)*(AF7-AE7))))</f>
        <v>0</v>
      </c>
      <c r="AG22" s="62">
        <f>IF(IF(AG7&gt;Simulador!$E$10,Simulador!$E$28*(AG7-AF7),(Simulador!$E$28*(1-Simulador!$E$39)*(AG7-AF7)))&lt;0,0,IF(AG7&gt;Simulador!$E$10,Simulador!$E$28*(AG7-AF7),(Simulador!$E$28*(1-Simulador!$E$39)*(AG7-AF7))))</f>
        <v>0</v>
      </c>
      <c r="AH22" s="62">
        <f>IF(IF(AH7&gt;Simulador!$E$10,Simulador!$E$28*(AH7-AG7),(Simulador!$E$28*(1-Simulador!$E$39)*(AH7-AG7)))&lt;0,0,IF(AH7&gt;Simulador!$E$10,Simulador!$E$28*(AH7-AG7),(Simulador!$E$28*(1-Simulador!$E$39)*(AH7-AG7))))</f>
        <v>0</v>
      </c>
      <c r="AI22" s="62">
        <f>IF(IF(AI7&gt;Simulador!$E$10,Simulador!$E$28*(AI7-AH7),(Simulador!$E$28*(1-Simulador!$E$39)*(AI7-AH7)))&lt;0,0,IF(AI7&gt;Simulador!$E$10,Simulador!$E$28*(AI7-AH7),(Simulador!$E$28*(1-Simulador!$E$39)*(AI7-AH7))))</f>
        <v>0</v>
      </c>
      <c r="AJ22" s="62">
        <f>IF(IF(AJ7&gt;Simulador!$E$10,Simulador!$E$28*(AJ7-AI7),(Simulador!$E$28*(1-Simulador!$E$39)*(AJ7-AI7)))&lt;0,0,IF(AJ7&gt;Simulador!$E$10,Simulador!$E$28*(AJ7-AI7),(Simulador!$E$28*(1-Simulador!$E$39)*(AJ7-AI7))))</f>
        <v>0</v>
      </c>
      <c r="AK22" s="62">
        <f>IF(IF(AK7&gt;Simulador!$E$10,Simulador!$E$28*(AK7-AJ7),(Simulador!$E$28*(1-Simulador!$E$39)*(AK7-AJ7)))&lt;0,0,IF(AK7&gt;Simulador!$E$10,Simulador!$E$28*(AK7-AJ7),(Simulador!$E$28*(1-Simulador!$E$39)*(AK7-AJ7))))</f>
        <v>0</v>
      </c>
      <c r="AL22" s="62">
        <f>IF(IF(AL7&gt;Simulador!$E$10,Simulador!$E$28*(AL7-AK7),(Simulador!$E$28*(1-Simulador!$E$39)*(AL7-AK7)))&lt;0,0,IF(AL7&gt;Simulador!$E$10,Simulador!$E$28*(AL7-AK7),(Simulador!$E$28*(1-Simulador!$E$39)*(AL7-AK7))))</f>
        <v>0</v>
      </c>
      <c r="AM22" s="62">
        <f>IF(IF(AM7&gt;Simulador!$E$10,Simulador!$E$28*(AM7-AL7),(Simulador!$E$28*(1-Simulador!$E$39)*(AM7-AL7)))&lt;0,0,IF(AM7&gt;Simulador!$E$10,Simulador!$E$28*(AM7-AL7),(Simulador!$E$28*(1-Simulador!$E$39)*(AM7-AL7))))</f>
        <v>0</v>
      </c>
      <c r="AN22" s="62">
        <f>IF(IF(AN7&gt;Simulador!$E$10,Simulador!$E$28*(AN7-AM7),(Simulador!$E$28*(1-Simulador!$E$39)*(AN7-AM7)))&lt;0,0,IF(AN7&gt;Simulador!$E$10,Simulador!$E$28*(AN7-AM7),(Simulador!$E$28*(1-Simulador!$E$39)*(AN7-AM7))))</f>
        <v>0</v>
      </c>
      <c r="AO22" s="62">
        <f>IF(IF(AO7&gt;Simulador!$E$10,Simulador!$E$28*(AO7-AN7),(Simulador!$E$28*(1-Simulador!$E$39)*(AO7-AN7)))&lt;0,0,IF(AO7&gt;Simulador!$E$10,Simulador!$E$28*(AO7-AN7),(Simulador!$E$28*(1-Simulador!$E$39)*(AO7-AN7))))</f>
        <v>0</v>
      </c>
      <c r="AP22" s="62">
        <f>IF(IF(AP7&gt;Simulador!$E$10,Simulador!$E$28*(AP7-AO7),(Simulador!$E$28*(1-Simulador!$E$39)*(AP7-AO7)))&lt;0,0,IF(AP7&gt;Simulador!$E$10,Simulador!$E$28*(AP7-AO7),(Simulador!$E$28*(1-Simulador!$E$39)*(AP7-AO7))))</f>
        <v>0</v>
      </c>
      <c r="AQ22" s="62">
        <f>IF(IF(AQ7&gt;Simulador!$E$10,Simulador!$E$28*(AQ7-AP7),(Simulador!$E$28*(1-Simulador!$E$39)*(AQ7-AP7)))&lt;0,0,IF(AQ7&gt;Simulador!$E$10,Simulador!$E$28*(AQ7-AP7),(Simulador!$E$28*(1-Simulador!$E$39)*(AQ7-AP7))))</f>
        <v>0</v>
      </c>
      <c r="AR22" s="62">
        <f>IF(IF(AR7&gt;Simulador!$E$10,Simulador!$E$28*(AR7-AQ7),(Simulador!$E$28*(1-Simulador!$E$39)*(AR7-AQ7)))&lt;0,0,IF(AR7&gt;Simulador!$E$10,Simulador!$E$28*(AR7-AQ7),(Simulador!$E$28*(1-Simulador!$E$39)*(AR7-AQ7))))</f>
        <v>0</v>
      </c>
      <c r="AS22" s="62">
        <f>IF(IF(AS7&gt;Simulador!$E$10,Simulador!$E$28*(AS7-AR7),(Simulador!$E$28*(1-Simulador!$E$39)*(AS7-AR7)))&lt;0,0,IF(AS7&gt;Simulador!$E$10,Simulador!$E$28*(AS7-AR7),(Simulador!$E$28*(1-Simulador!$E$39)*(AS7-AR7))))</f>
        <v>0</v>
      </c>
      <c r="AT22" s="62">
        <f>IF(IF(AT7&gt;Simulador!$E$10,Simulador!$E$28*(AT7-AS7),(Simulador!$E$28*(1-Simulador!$E$39)*(AT7-AS7)))&lt;0,0,IF(AT7&gt;Simulador!$E$10,Simulador!$E$28*(AT7-AS7),(Simulador!$E$28*(1-Simulador!$E$39)*(AT7-AS7))))</f>
        <v>0</v>
      </c>
      <c r="AU22" s="62">
        <f>IF(IF(AU7&gt;Simulador!$E$10,Simulador!$E$28*(AU7-AT7),(Simulador!$E$28*(1-Simulador!$E$39)*(AU7-AT7)))&lt;0,0,IF(AU7&gt;Simulador!$E$10,Simulador!$E$28*(AU7-AT7),(Simulador!$E$28*(1-Simulador!$E$39)*(AU7-AT7))))</f>
        <v>0</v>
      </c>
      <c r="AV22" s="62">
        <f>IF(IF(AV7&gt;Simulador!$E$10,Simulador!$E$28*(AV7-AU7),(Simulador!$E$28*(1-Simulador!$E$39)*(AV7-AU7)))&lt;0,0,IF(AV7&gt;Simulador!$E$10,Simulador!$E$28*(AV7-AU7),(Simulador!$E$28*(1-Simulador!$E$39)*(AV7-AU7))))</f>
        <v>0</v>
      </c>
      <c r="AW22" s="62">
        <f>IF(IF(AW7&gt;Simulador!$E$10,Simulador!$E$28*(AW7-AV7),(Simulador!$E$28*(1-Simulador!$E$39)*(AW7-AV7)))&lt;0,0,IF(AW7&gt;Simulador!$E$10,Simulador!$E$28*(AW7-AV7),(Simulador!$E$28*(1-Simulador!$E$39)*(AW7-AV7))))</f>
        <v>0</v>
      </c>
      <c r="AX22" s="62">
        <f>IF(IF(AX7&gt;Simulador!$E$10,Simulador!$E$28*(AX7-AW7),(Simulador!$E$28*(1-Simulador!$E$39)*(AX7-AW7)))&lt;0,0,IF(AX7&gt;Simulador!$E$10,Simulador!$E$28*(AX7-AW7),(Simulador!$E$28*(1-Simulador!$E$39)*(AX7-AW7))))</f>
        <v>0</v>
      </c>
      <c r="AY22" s="62">
        <f>IF(IF(AY7&gt;Simulador!$E$10,Simulador!$E$28*(AY7-AX7),(Simulador!$E$28*(1-Simulador!$E$39)*(AY7-AX7)))&lt;0,0,IF(AY7&gt;Simulador!$E$10,Simulador!$E$28*(AY7-AX7),(Simulador!$E$28*(1-Simulador!$E$39)*(AY7-AX7))))</f>
        <v>0</v>
      </c>
      <c r="AZ22" s="62">
        <f>IF(IF(AZ7&gt;Simulador!$E$10,Simulador!$E$28*(AZ7-AY7),(Simulador!$E$28*(1-Simulador!$E$39)*(AZ7-AY7)))&lt;0,0,IF(AZ7&gt;Simulador!$E$10,Simulador!$E$28*(AZ7-AY7),(Simulador!$E$28*(1-Simulador!$E$39)*(AZ7-AY7))))</f>
        <v>0</v>
      </c>
      <c r="BA22" s="62">
        <f>IF(IF(BA7&gt;Simulador!$E$10,Simulador!$E$28*(BA7-AZ7),(Simulador!$E$28*(1-Simulador!$E$39)*(BA7-AZ7)))&lt;0,0,IF(BA7&gt;Simulador!$E$10,Simulador!$E$28*(BA7-AZ7),(Simulador!$E$28*(1-Simulador!$E$39)*(BA7-AZ7))))</f>
        <v>0</v>
      </c>
      <c r="BB22" s="62">
        <f>IF(IF(BB7&gt;Simulador!$E$10,Simulador!$E$28*(BB7-BA7),(Simulador!$E$28*(1-Simulador!$E$39)*(BB7-BA7)))&lt;0,0,IF(BB7&gt;Simulador!$E$10,Simulador!$E$28*(BB7-BA7),(Simulador!$E$28*(1-Simulador!$E$39)*(BB7-BA7))))</f>
        <v>0</v>
      </c>
      <c r="BC22" s="62">
        <f>IF(IF(BC7&gt;Simulador!$E$10,Simulador!$E$28*(BC7-BB7),(Simulador!$E$28*(1-Simulador!$E$39)*(BC7-BB7)))&lt;0,0,IF(BC7&gt;Simulador!$E$10,Simulador!$E$28*(BC7-BB7),(Simulador!$E$28*(1-Simulador!$E$39)*(BC7-BB7))))</f>
        <v>0</v>
      </c>
      <c r="BD22" s="62">
        <f>IF(IF(BD7&gt;Simulador!$E$10,Simulador!$E$28*(BD7-BC7),(Simulador!$E$28*(1-Simulador!$E$39)*(BD7-BC7)))&lt;0,0,IF(BD7&gt;Simulador!$E$10,Simulador!$E$28*(BD7-BC7),(Simulador!$E$28*(1-Simulador!$E$39)*(BD7-BC7))))</f>
        <v>0</v>
      </c>
      <c r="BE22" s="62">
        <f>IF(IF(BE7&gt;Simulador!$E$10,Simulador!$E$28*(BE7-BD7),(Simulador!$E$28*(1-Simulador!$E$39)*(BE7-BD7)))&lt;0,0,IF(BE7&gt;Simulador!$E$10,Simulador!$E$28*(BE7-BD7),(Simulador!$E$28*(1-Simulador!$E$39)*(BE7-BD7))))</f>
        <v>0</v>
      </c>
      <c r="BF22" s="62">
        <f>IF(IF(BF7&gt;Simulador!$E$10,Simulador!$E$28*(BF7-BE7),(Simulador!$E$28*(1-Simulador!$E$39)*(BF7-BE7)))&lt;0,0,IF(BF7&gt;Simulador!$E$10,Simulador!$E$28*(BF7-BE7),(Simulador!$E$28*(1-Simulador!$E$39)*(BF7-BE7))))</f>
        <v>0</v>
      </c>
      <c r="BG22" s="62">
        <f>IF(IF(BG7&gt;Simulador!$E$10,Simulador!$E$28*(BG7-BF7),(Simulador!$E$28*(1-Simulador!$E$39)*(BG7-BF7)))&lt;0,0,IF(BG7&gt;Simulador!$E$10,Simulador!$E$28*(BG7-BF7),(Simulador!$E$28*(1-Simulador!$E$39)*(BG7-BF7))))</f>
        <v>0</v>
      </c>
      <c r="BH22" s="62">
        <f>IF(IF(BH7&gt;Simulador!$E$10,Simulador!$E$28*(BH7-BG7),(Simulador!$E$28*(1-Simulador!$E$39)*(BH7-BG7)))&lt;0,0,IF(BH7&gt;Simulador!$E$10,Simulador!$E$28*(BH7-BG7),(Simulador!$E$28*(1-Simulador!$E$39)*(BH7-BG7))))</f>
        <v>0</v>
      </c>
      <c r="BI22" s="62">
        <f>IF(IF(BI7&gt;Simulador!$E$10,Simulador!$E$28*(BI7-BH7),(Simulador!$E$28*(1-Simulador!$E$39)*(BI7-BH7)))&lt;0,0,IF(BI7&gt;Simulador!$E$10,Simulador!$E$28*(BI7-BH7),(Simulador!$E$28*(1-Simulador!$E$39)*(BI7-BH7))))</f>
        <v>0</v>
      </c>
      <c r="BJ22" s="62">
        <f>IF(IF(BJ7&gt;Simulador!$E$10,Simulador!$E$28*(BJ7-BI7),(Simulador!$E$28*(1-Simulador!$E$39)*(BJ7-BI7)))&lt;0,0,IF(BJ7&gt;Simulador!$E$10,Simulador!$E$28*(BJ7-BI7),(Simulador!$E$28*(1-Simulador!$E$39)*(BJ7-BI7))))</f>
        <v>0</v>
      </c>
      <c r="BK22" s="62">
        <f>IF(IF(BK7&gt;Simulador!$E$10,Simulador!$E$28*(BK7-BJ7),(Simulador!$E$28*(1-Simulador!$E$39)*(BK7-BJ7)))&lt;0,0,IF(BK7&gt;Simulador!$E$10,Simulador!$E$28*(BK7-BJ7),(Simulador!$E$28*(1-Simulador!$E$39)*(BK7-BJ7))))</f>
        <v>0</v>
      </c>
      <c r="BL22" s="62">
        <f>IF(IF(BL7&gt;Simulador!$E$10,Simulador!$E$28*(BL7-BK7),(Simulador!$E$28*(1-Simulador!$E$39)*(BL7-BK7)))&lt;0,0,IF(BL7&gt;Simulador!$E$10,Simulador!$E$28*(BL7-BK7),(Simulador!$E$28*(1-Simulador!$E$39)*(BL7-BK7))))</f>
        <v>0</v>
      </c>
      <c r="BM22" s="62">
        <f>IF(IF(BM7&gt;Simulador!$E$10,Simulador!$E$28*(BM7-BL7),(Simulador!$E$28*(1-Simulador!$E$39)*(BM7-BL7)))&lt;0,0,IF(BM7&gt;Simulador!$E$10,Simulador!$E$28*(BM7-BL7),(Simulador!$E$28*(1-Simulador!$E$39)*(BM7-BL7))))</f>
        <v>0</v>
      </c>
      <c r="BN22" s="62">
        <f>IF(IF(BN7&gt;Simulador!$E$10,Simulador!$E$28*(BN7-BM7),(Simulador!$E$28*(1-Simulador!$E$39)*(BN7-BM7)))&lt;0,0,IF(BN7&gt;Simulador!$E$10,Simulador!$E$28*(BN7-BM7),(Simulador!$E$28*(1-Simulador!$E$39)*(BN7-BM7))))</f>
        <v>0</v>
      </c>
      <c r="BO22" s="62">
        <f>IF(IF(BO7&gt;Simulador!$E$10,Simulador!$E$28*(BO7-BN7),(Simulador!$E$28*(1-Simulador!$E$39)*(BO7-BN7)))&lt;0,0,IF(BO7&gt;Simulador!$E$10,Simulador!$E$28*(BO7-BN7),(Simulador!$E$28*(1-Simulador!$E$39)*(BO7-BN7))))</f>
        <v>0</v>
      </c>
      <c r="BP22" s="62">
        <f>IF(IF(BP7&gt;Simulador!$E$10,Simulador!$E$28*(BP7-BO7),(Simulador!$E$28*(1-Simulador!$E$39)*(BP7-BO7)))&lt;0,0,IF(BP7&gt;Simulador!$E$10,Simulador!$E$28*(BP7-BO7),(Simulador!$E$28*(1-Simulador!$E$39)*(BP7-BO7))))</f>
        <v>0</v>
      </c>
      <c r="BQ22" s="62">
        <f>IF(IF(BQ7&gt;Simulador!$E$10,Simulador!$E$28*(BQ7-BP7),(Simulador!$E$28*(1-Simulador!$E$39)*(BQ7-BP7)))&lt;0,0,IF(BQ7&gt;Simulador!$E$10,Simulador!$E$28*(BQ7-BP7),(Simulador!$E$28*(1-Simulador!$E$39)*(BQ7-BP7))))</f>
        <v>0</v>
      </c>
      <c r="BR22" s="62">
        <f>IF(IF(BR7&gt;Simulador!$E$10,Simulador!$E$28*(BR7-BQ7),(Simulador!$E$28*(1-Simulador!$E$39)*(BR7-BQ7)))&lt;0,0,IF(BR7&gt;Simulador!$E$10,Simulador!$E$28*(BR7-BQ7),(Simulador!$E$28*(1-Simulador!$E$39)*(BR7-BQ7))))</f>
        <v>0</v>
      </c>
      <c r="BS22" s="62">
        <f>IF(IF(BS7&gt;Simulador!$E$10,Simulador!$E$28*(BS7-BR7),(Simulador!$E$28*(1-Simulador!$E$39)*(BS7-BR7)))&lt;0,0,IF(BS7&gt;Simulador!$E$10,Simulador!$E$28*(BS7-BR7),(Simulador!$E$28*(1-Simulador!$E$39)*(BS7-BR7))))</f>
        <v>0</v>
      </c>
      <c r="BT22" s="62">
        <f>IF(IF(BT7&gt;Simulador!$E$10,Simulador!$E$28*(BT7-BS7),(Simulador!$E$28*(1-Simulador!$E$39)*(BT7-BS7)))&lt;0,0,IF(BT7&gt;Simulador!$E$10,Simulador!$E$28*(BT7-BS7),(Simulador!$E$28*(1-Simulador!$E$39)*(BT7-BS7))))</f>
        <v>0</v>
      </c>
      <c r="BU22" s="62">
        <f>IF(IF(BU7&gt;Simulador!$E$10,Simulador!$E$28*(BU7-BT7),(Simulador!$E$28*(1-Simulador!$E$39)*(BU7-BT7)))&lt;0,0,IF(BU7&gt;Simulador!$E$10,Simulador!$E$28*(BU7-BT7),(Simulador!$E$28*(1-Simulador!$E$39)*(BU7-BT7))))</f>
        <v>0</v>
      </c>
      <c r="BV22" s="62">
        <f>IF(IF(BV7&gt;Simulador!$E$10,Simulador!$E$28*(BV7-BU7),(Simulador!$E$28*(1-Simulador!$E$39)*(BV7-BU7)))&lt;0,0,IF(BV7&gt;Simulador!$E$10,Simulador!$E$28*(BV7-BU7),(Simulador!$E$28*(1-Simulador!$E$39)*(BV7-BU7))))</f>
        <v>0</v>
      </c>
      <c r="BW22" s="62">
        <f>IF(IF(BW7&gt;Simulador!$E$10,Simulador!$E$28*(BW7-BV7),(Simulador!$E$28*(1-Simulador!$E$39)*(BW7-BV7)))&lt;0,0,IF(BW7&gt;Simulador!$E$10,Simulador!$E$28*(BW7-BV7),(Simulador!$E$28*(1-Simulador!$E$39)*(BW7-BV7))))</f>
        <v>0</v>
      </c>
      <c r="BX22" s="62">
        <f>IF(IF(BX7&gt;Simulador!$E$10,Simulador!$E$28*(BX7-BW7),(Simulador!$E$28*(1-Simulador!$E$39)*(BX7-BW7)))&lt;0,0,IF(BX7&gt;Simulador!$E$10,Simulador!$E$28*(BX7-BW7),(Simulador!$E$28*(1-Simulador!$E$39)*(BX7-BW7))))</f>
        <v>0</v>
      </c>
      <c r="BY22" s="62">
        <f>IF(IF(BY7&gt;Simulador!$E$10,Simulador!$E$28*(BY7-BX7),(Simulador!$E$28*(1-Simulador!$E$39)*(BY7-BX7)))&lt;0,0,IF(BY7&gt;Simulador!$E$10,Simulador!$E$28*(BY7-BX7),(Simulador!$E$28*(1-Simulador!$E$39)*(BY7-BX7))))</f>
        <v>0</v>
      </c>
      <c r="BZ22" s="62">
        <f>IF(IF(BZ7&gt;Simulador!$E$10,Simulador!$E$28*(BZ7-BY7),(Simulador!$E$28*(1-Simulador!$E$39)*(BZ7-BY7)))&lt;0,0,IF(BZ7&gt;Simulador!$E$10,Simulador!$E$28*(BZ7-BY7),(Simulador!$E$28*(1-Simulador!$E$39)*(BZ7-BY7))))</f>
        <v>0</v>
      </c>
      <c r="CA22" s="62">
        <f>IF(IF(CA7&gt;Simulador!$E$10,Simulador!$E$28*(CA7-BZ7),(Simulador!$E$28*(1-Simulador!$E$39)*(CA7-BZ7)))&lt;0,0,IF(CA7&gt;Simulador!$E$10,Simulador!$E$28*(CA7-BZ7),(Simulador!$E$28*(1-Simulador!$E$39)*(CA7-BZ7))))</f>
        <v>0</v>
      </c>
      <c r="CB22" s="62">
        <f>IF(IF(CB7&gt;Simulador!$E$10,Simulador!$E$28*(CB7-CA7),(Simulador!$E$28*(1-Simulador!$E$39)*(CB7-CA7)))&lt;0,0,IF(CB7&gt;Simulador!$E$10,Simulador!$E$28*(CB7-CA7),(Simulador!$E$28*(1-Simulador!$E$39)*(CB7-CA7))))</f>
        <v>0</v>
      </c>
      <c r="CC22" s="62">
        <f>IF(IF(CC7&gt;Simulador!$E$10,Simulador!$E$28*(CC7-CB7),(Simulador!$E$28*(1-Simulador!$E$39)*(CC7-CB7)))&lt;0,0,IF(CC7&gt;Simulador!$E$10,Simulador!$E$28*(CC7-CB7),(Simulador!$E$28*(1-Simulador!$E$39)*(CC7-CB7))))</f>
        <v>0</v>
      </c>
      <c r="CD22" s="62">
        <f>IF(IF(CD7&gt;Simulador!$E$10,Simulador!$E$28*(CD7-CC7),(Simulador!$E$28*(1-Simulador!$E$39)*(CD7-CC7)))&lt;0,0,IF(CD7&gt;Simulador!$E$10,Simulador!$E$28*(CD7-CC7),(Simulador!$E$28*(1-Simulador!$E$39)*(CD7-CC7))))</f>
        <v>0</v>
      </c>
      <c r="CE22" s="62">
        <f>IF(IF(CE7&gt;Simulador!$E$10,Simulador!$E$28*(CE7-CD7),(Simulador!$E$28*(1-Simulador!$E$39)*(CE7-CD7)))&lt;0,0,IF(CE7&gt;Simulador!$E$10,Simulador!$E$28*(CE7-CD7),(Simulador!$E$28*(1-Simulador!$E$39)*(CE7-CD7))))</f>
        <v>0</v>
      </c>
      <c r="CF22" s="62">
        <f>IF(IF(CF7&gt;Simulador!$E$10,Simulador!$E$28*(CF7-CE7),(Simulador!$E$28*(1-Simulador!$E$39)*(CF7-CE7)))&lt;0,0,IF(CF7&gt;Simulador!$E$10,Simulador!$E$28*(CF7-CE7),(Simulador!$E$28*(1-Simulador!$E$39)*(CF7-CE7))))</f>
        <v>0</v>
      </c>
      <c r="CG22" s="62">
        <f>IF(IF(CG7&gt;Simulador!$E$10,Simulador!$E$28*(CG7-CF7),(Simulador!$E$28*(1-Simulador!$E$39)*(CG7-CF7)))&lt;0,0,IF(CG7&gt;Simulador!$E$10,Simulador!$E$28*(CG7-CF7),(Simulador!$E$28*(1-Simulador!$E$39)*(CG7-CF7))))</f>
        <v>0</v>
      </c>
      <c r="CH22" s="62">
        <f>IF(IF(CH7&gt;Simulador!$E$10,Simulador!$E$28*(CH7-CG7),(Simulador!$E$28*(1-Simulador!$E$39)*(CH7-CG7)))&lt;0,0,IF(CH7&gt;Simulador!$E$10,Simulador!$E$28*(CH7-CG7),(Simulador!$E$28*(1-Simulador!$E$39)*(CH7-CG7))))</f>
        <v>0</v>
      </c>
      <c r="CI22" s="62">
        <f>IF(IF(CI7&gt;Simulador!$E$10,Simulador!$E$28*(CI7-CH7),(Simulador!$E$28*(1-Simulador!$E$39)*(CI7-CH7)))&lt;0,0,IF(CI7&gt;Simulador!$E$10,Simulador!$E$28*(CI7-CH7),(Simulador!$E$28*(1-Simulador!$E$39)*(CI7-CH7))))</f>
        <v>0</v>
      </c>
      <c r="CJ22" s="62">
        <f>IF(IF(CJ7&gt;Simulador!$E$10,Simulador!$E$28*(CJ7-CI7),(Simulador!$E$28*(1-Simulador!$E$39)*(CJ7-CI7)))&lt;0,0,IF(CJ7&gt;Simulador!$E$10,Simulador!$E$28*(CJ7-CI7),(Simulador!$E$28*(1-Simulador!$E$39)*(CJ7-CI7))))</f>
        <v>0</v>
      </c>
      <c r="CK22" s="62">
        <f>IF(IF(CK7&gt;Simulador!$E$10,Simulador!$E$28*(CK7-CJ7),(Simulador!$E$28*(1-Simulador!$E$39)*(CK7-CJ7)))&lt;0,0,IF(CK7&gt;Simulador!$E$10,Simulador!$E$28*(CK7-CJ7),(Simulador!$E$28*(1-Simulador!$E$39)*(CK7-CJ7))))</f>
        <v>0</v>
      </c>
      <c r="CL22" s="62">
        <f>IF(IF(CL7&gt;Simulador!$E$10,Simulador!$E$28*(CL7-CK7),(Simulador!$E$28*(1-Simulador!$E$39)*(CL7-CK7)))&lt;0,0,IF(CL7&gt;Simulador!$E$10,Simulador!$E$28*(CL7-CK7),(Simulador!$E$28*(1-Simulador!$E$39)*(CL7-CK7))))</f>
        <v>0</v>
      </c>
      <c r="CM22" s="62">
        <f>IF(IF(CM7&gt;Simulador!$E$10,Simulador!$E$28*(CM7-CL7),(Simulador!$E$28*(1-Simulador!$E$39)*(CM7-CL7)))&lt;0,0,IF(CM7&gt;Simulador!$E$10,Simulador!$E$28*(CM7-CL7),(Simulador!$E$28*(1-Simulador!$E$39)*(CM7-CL7))))</f>
        <v>0</v>
      </c>
      <c r="CN22" s="62">
        <f>IF(IF(CN7&gt;Simulador!$E$10,Simulador!$E$28*(CN7-CM7),(Simulador!$E$28*(1-Simulador!$E$39)*(CN7-CM7)))&lt;0,0,IF(CN7&gt;Simulador!$E$10,Simulador!$E$28*(CN7-CM7),(Simulador!$E$28*(1-Simulador!$E$39)*(CN7-CM7))))</f>
        <v>0</v>
      </c>
      <c r="CO22" s="62">
        <f>IF(IF(CO7&gt;Simulador!$E$10,Simulador!$E$28*(CO7-CN7),(Simulador!$E$28*(1-Simulador!$E$39)*(CO7-CN7)))&lt;0,0,IF(CO7&gt;Simulador!$E$10,Simulador!$E$28*(CO7-CN7),(Simulador!$E$28*(1-Simulador!$E$39)*(CO7-CN7))))</f>
        <v>0</v>
      </c>
      <c r="CP22" s="62">
        <f>IF(IF(CP7&gt;Simulador!$E$10,Simulador!$E$28*(CP7-CO7),(Simulador!$E$28*(1-Simulador!$E$39)*(CP7-CO7)))&lt;0,0,IF(CP7&gt;Simulador!$E$10,Simulador!$E$28*(CP7-CO7),(Simulador!$E$28*(1-Simulador!$E$39)*(CP7-CO7))))</f>
        <v>0</v>
      </c>
      <c r="CQ22" s="62">
        <f>IF(IF(CQ7&gt;Simulador!$E$10,Simulador!$E$28*(CQ7-CP7),(Simulador!$E$28*(1-Simulador!$E$39)*(CQ7-CP7)))&lt;0,0,IF(CQ7&gt;Simulador!$E$10,Simulador!$E$28*(CQ7-CP7),(Simulador!$E$28*(1-Simulador!$E$39)*(CQ7-CP7))))</f>
        <v>0</v>
      </c>
      <c r="CR22" s="62">
        <f>IF(IF(CR7&gt;Simulador!$E$10,Simulador!$E$28*(CR7-CQ7),(Simulador!$E$28*(1-Simulador!$E$39)*(CR7-CQ7)))&lt;0,0,IF(CR7&gt;Simulador!$E$10,Simulador!$E$28*(CR7-CQ7),(Simulador!$E$28*(1-Simulador!$E$39)*(CR7-CQ7))))</f>
        <v>0</v>
      </c>
      <c r="CS22" s="62">
        <f>IF(IF(CS7&gt;Simulador!$E$10,Simulador!$E$28*(CS7-CR7),(Simulador!$E$28*(1-Simulador!$E$39)*(CS7-CR7)))&lt;0,0,IF(CS7&gt;Simulador!$E$10,Simulador!$E$28*(CS7-CR7),(Simulador!$E$28*(1-Simulador!$E$39)*(CS7-CR7))))</f>
        <v>0</v>
      </c>
      <c r="CT22" s="62">
        <f>IF(IF(CT7&gt;Simulador!$E$10,Simulador!$E$28*(CT7-CS7),(Simulador!$E$28*(1-Simulador!$E$39)*(CT7-CS7)))&lt;0,0,IF(CT7&gt;Simulador!$E$10,Simulador!$E$28*(CT7-CS7),(Simulador!$E$28*(1-Simulador!$E$39)*(CT7-CS7))))</f>
        <v>0</v>
      </c>
      <c r="CU22" s="62">
        <f>IF(IF(CU7&gt;Simulador!$E$10,Simulador!$E$28*(CU7-CT7),(Simulador!$E$28*(1-Simulador!$E$39)*(CU7-CT7)))&lt;0,0,IF(CU7&gt;Simulador!$E$10,Simulador!$E$28*(CU7-CT7),(Simulador!$E$28*(1-Simulador!$E$39)*(CU7-CT7))))</f>
        <v>0</v>
      </c>
      <c r="CV22" s="62">
        <f>IF(IF(CV7&gt;Simulador!$E$10,Simulador!$E$28*(CV7-CU7),(Simulador!$E$28*(1-Simulador!$E$39)*(CV7-CU7)))&lt;0,0,IF(CV7&gt;Simulador!$E$10,Simulador!$E$28*(CV7-CU7),(Simulador!$E$28*(1-Simulador!$E$39)*(CV7-CU7))))</f>
        <v>0</v>
      </c>
      <c r="CW22" s="62">
        <f>IF(IF(CW7&gt;Simulador!$E$10,Simulador!$E$28*(CW7-CV7),(Simulador!$E$28*(1-Simulador!$E$39)*(CW7-CV7)))&lt;0,0,IF(CW7&gt;Simulador!$E$10,Simulador!$E$28*(CW7-CV7),(Simulador!$E$28*(1-Simulador!$E$39)*(CW7-CV7))))</f>
        <v>0</v>
      </c>
      <c r="CX22" s="62">
        <f>IF(IF(CX7&gt;Simulador!$E$10,Simulador!$E$28*(CX7-CW7),(Simulador!$E$28*(1-Simulador!$E$39)*(CX7-CW7)))&lt;0,0,IF(CX7&gt;Simulador!$E$10,Simulador!$E$28*(CX7-CW7),(Simulador!$E$28*(1-Simulador!$E$39)*(CX7-CW7))))</f>
        <v>0</v>
      </c>
      <c r="CY22" s="62">
        <f>IF(IF(CY7&gt;Simulador!$E$10,Simulador!$E$28*(CY7-CX7),(Simulador!$E$28*(1-Simulador!$E$39)*(CY7-CX7)))&lt;0,0,IF(CY7&gt;Simulador!$E$10,Simulador!$E$28*(CY7-CX7),(Simulador!$E$28*(1-Simulador!$E$39)*(CY7-CX7))))</f>
        <v>0</v>
      </c>
      <c r="CZ22" s="62">
        <f>IF(IF(CZ7&gt;Simulador!$E$10,Simulador!$E$28*(CZ7-CY7),(Simulador!$E$28*(1-Simulador!$E$39)*(CZ7-CY7)))&lt;0,0,IF(CZ7&gt;Simulador!$E$10,Simulador!$E$28*(CZ7-CY7),(Simulador!$E$28*(1-Simulador!$E$39)*(CZ7-CY7))))</f>
        <v>0</v>
      </c>
      <c r="DA22" s="62">
        <f>IF(IF(DA7&gt;Simulador!$E$10,Simulador!$E$28*(DA7-CZ7),(Simulador!$E$28*(1-Simulador!$E$39)*(DA7-CZ7)))&lt;0,0,IF(DA7&gt;Simulador!$E$10,Simulador!$E$28*(DA7-CZ7),(Simulador!$E$28*(1-Simulador!$E$39)*(DA7-CZ7))))</f>
        <v>0</v>
      </c>
      <c r="DB22" s="62">
        <f>IF(IF(DB7&gt;Simulador!$E$10,Simulador!$E$28*(DB7-DA7),(Simulador!$E$28*(1-Simulador!$E$39)*(DB7-DA7)))&lt;0,0,IF(DB7&gt;Simulador!$E$10,Simulador!$E$28*(DB7-DA7),(Simulador!$E$28*(1-Simulador!$E$39)*(DB7-DA7))))</f>
        <v>0</v>
      </c>
      <c r="DC22" s="62">
        <f>IF(IF(DC7&gt;Simulador!$E$10,Simulador!$E$28*(DC7-DB7),(Simulador!$E$28*(1-Simulador!$E$39)*(DC7-DB7)))&lt;0,0,IF(DC7&gt;Simulador!$E$10,Simulador!$E$28*(DC7-DB7),(Simulador!$E$28*(1-Simulador!$E$39)*(DC7-DB7))))</f>
        <v>0</v>
      </c>
      <c r="DD22" s="62">
        <f>IF(IF(DD7&gt;Simulador!$E$10,Simulador!$E$28*(DD7-DC7),(Simulador!$E$28*(1-Simulador!$E$39)*(DD7-DC7)))&lt;0,0,IF(DD7&gt;Simulador!$E$10,Simulador!$E$28*(DD7-DC7),(Simulador!$E$28*(1-Simulador!$E$39)*(DD7-DC7))))</f>
        <v>0</v>
      </c>
      <c r="DE22" s="62">
        <f>IF(IF(DE7&gt;Simulador!$E$10,Simulador!$E$28*(DE7-DD7),(Simulador!$E$28*(1-Simulador!$E$39)*(DE7-DD7)))&lt;0,0,IF(DE7&gt;Simulador!$E$10,Simulador!$E$28*(DE7-DD7),(Simulador!$E$28*(1-Simulador!$E$39)*(DE7-DD7))))</f>
        <v>0</v>
      </c>
      <c r="DF22" s="62">
        <f>IF(IF(DF7&gt;Simulador!$E$10,Simulador!$E$28*(DF7-DE7),(Simulador!$E$28*(1-Simulador!$E$39)*(DF7-DE7)))&lt;0,0,IF(DF7&gt;Simulador!$E$10,Simulador!$E$28*(DF7-DE7),(Simulador!$E$28*(1-Simulador!$E$39)*(DF7-DE7))))</f>
        <v>0</v>
      </c>
      <c r="DG22" s="62">
        <f>IF(IF(DG7&gt;Simulador!$E$10,Simulador!$E$28*(DG7-DF7),(Simulador!$E$28*(1-Simulador!$E$39)*(DG7-DF7)))&lt;0,0,IF(DG7&gt;Simulador!$E$10,Simulador!$E$28*(DG7-DF7),(Simulador!$E$28*(1-Simulador!$E$39)*(DG7-DF7))))</f>
        <v>0</v>
      </c>
      <c r="DH22" s="62">
        <f>IF(IF(DH7&gt;Simulador!$E$10,Simulador!$E$28*(DH7-DG7),(Simulador!$E$28*(1-Simulador!$E$39)*(DH7-DG7)))&lt;0,0,IF(DH7&gt;Simulador!$E$10,Simulador!$E$28*(DH7-DG7),(Simulador!$E$28*(1-Simulador!$E$39)*(DH7-DG7))))</f>
        <v>0</v>
      </c>
      <c r="DI22" s="62">
        <f>IF(IF(DI7&gt;Simulador!$E$10,Simulador!$E$28*(DI7-DH7),(Simulador!$E$28*(1-Simulador!$E$39)*(DI7-DH7)))&lt;0,0,IF(DI7&gt;Simulador!$E$10,Simulador!$E$28*(DI7-DH7),(Simulador!$E$28*(1-Simulador!$E$39)*(DI7-DH7))))</f>
        <v>0</v>
      </c>
      <c r="DJ22" s="62">
        <f>IF(IF(DJ7&gt;Simulador!$E$10,Simulador!$E$28*(DJ7-DI7),(Simulador!$E$28*(1-Simulador!$E$39)*(DJ7-DI7)))&lt;0,0,IF(DJ7&gt;Simulador!$E$10,Simulador!$E$28*(DJ7-DI7),(Simulador!$E$28*(1-Simulador!$E$39)*(DJ7-DI7))))</f>
        <v>0</v>
      </c>
      <c r="DK22" s="62">
        <f>IF(IF(DK7&gt;Simulador!$E$10,Simulador!$E$28*(DK7-DJ7),(Simulador!$E$28*(1-Simulador!$E$39)*(DK7-DJ7)))&lt;0,0,IF(DK7&gt;Simulador!$E$10,Simulador!$E$28*(DK7-DJ7),(Simulador!$E$28*(1-Simulador!$E$39)*(DK7-DJ7))))</f>
        <v>0</v>
      </c>
      <c r="DL22" s="62">
        <f>IF(IF(DL7&gt;Simulador!$E$10,Simulador!$E$28*(DL7-DK7),(Simulador!$E$28*(1-Simulador!$E$39)*(DL7-DK7)))&lt;0,0,IF(DL7&gt;Simulador!$E$10,Simulador!$E$28*(DL7-DK7),(Simulador!$E$28*(1-Simulador!$E$39)*(DL7-DK7))))</f>
        <v>0</v>
      </c>
      <c r="DM22" s="62">
        <f>IF(IF(DM7&gt;Simulador!$E$10,Simulador!$E$28*(DM7-DL7),(Simulador!$E$28*(1-Simulador!$E$39)*(DM7-DL7)))&lt;0,0,IF(DM7&gt;Simulador!$E$10,Simulador!$E$28*(DM7-DL7),(Simulador!$E$28*(1-Simulador!$E$39)*(DM7-DL7))))</f>
        <v>0</v>
      </c>
      <c r="DN22" s="62">
        <f>IF(IF(DN7&gt;Simulador!$E$10,Simulador!$E$28*(DN7-DM7),(Simulador!$E$28*(1-Simulador!$E$39)*(DN7-DM7)))&lt;0,0,IF(DN7&gt;Simulador!$E$10,Simulador!$E$28*(DN7-DM7),(Simulador!$E$28*(1-Simulador!$E$39)*(DN7-DM7))))</f>
        <v>0</v>
      </c>
      <c r="DO22" s="62">
        <f>IF(IF(DO7&gt;Simulador!$E$10,Simulador!$E$28*(DO7-DN7),(Simulador!$E$28*(1-Simulador!$E$39)*(DO7-DN7)))&lt;0,0,IF(DO7&gt;Simulador!$E$10,Simulador!$E$28*(DO7-DN7),(Simulador!$E$28*(1-Simulador!$E$39)*(DO7-DN7))))</f>
        <v>0</v>
      </c>
      <c r="DP22" s="62">
        <f>IF(IF(DP7&gt;Simulador!$E$10,Simulador!$E$28*(DP7-DO7),(Simulador!$E$28*(1-Simulador!$E$39)*(DP7-DO7)))&lt;0,0,IF(DP7&gt;Simulador!$E$10,Simulador!$E$28*(DP7-DO7),(Simulador!$E$28*(1-Simulador!$E$39)*(DP7-DO7))))</f>
        <v>0</v>
      </c>
      <c r="DQ22" s="62">
        <f>IF(IF(DQ7&gt;Simulador!$E$10,Simulador!$E$28*(DQ7-DP7),(Simulador!$E$28*(1-Simulador!$E$39)*(DQ7-DP7)))&lt;0,0,IF(DQ7&gt;Simulador!$E$10,Simulador!$E$28*(DQ7-DP7),(Simulador!$E$28*(1-Simulador!$E$39)*(DQ7-DP7))))</f>
        <v>0</v>
      </c>
      <c r="DR22" s="62">
        <f>IF(IF(DR7&gt;Simulador!$E$10,Simulador!$E$28*(DR7-DQ7),(Simulador!$E$28*(1-Simulador!$E$39)*(DR7-DQ7)))&lt;0,0,IF(DR7&gt;Simulador!$E$10,Simulador!$E$28*(DR7-DQ7),(Simulador!$E$28*(1-Simulador!$E$39)*(DR7-DQ7))))</f>
        <v>0</v>
      </c>
      <c r="DS22" s="62">
        <f>IF(IF(DS7&gt;Simulador!$E$10,Simulador!$E$28*(DS7-DR7),(Simulador!$E$28*(1-Simulador!$E$39)*(DS7-DR7)))&lt;0,0,IF(DS7&gt;Simulador!$E$10,Simulador!$E$28*(DS7-DR7),(Simulador!$E$28*(1-Simulador!$E$39)*(DS7-DR7))))</f>
        <v>0</v>
      </c>
      <c r="DT22" s="62">
        <f>IF(IF(DT7&gt;Simulador!$E$10,Simulador!$E$28*(DT7-DS7),(Simulador!$E$28*(1-Simulador!$E$39)*(DT7-DS7)))&lt;0,0,IF(DT7&gt;Simulador!$E$10,Simulador!$E$28*(DT7-DS7),(Simulador!$E$28*(1-Simulador!$E$39)*(DT7-DS7))))</f>
        <v>0</v>
      </c>
      <c r="DU22" s="62">
        <f>IF(IF(DU7&gt;Simulador!$E$10,Simulador!$E$28*(DU7-DT7),(Simulador!$E$28*(1-Simulador!$E$39)*(DU7-DT7)))&lt;0,0,IF(DU7&gt;Simulador!$E$10,Simulador!$E$28*(DU7-DT7),(Simulador!$E$28*(1-Simulador!$E$39)*(DU7-DT7))))</f>
        <v>0</v>
      </c>
      <c r="DV22" s="62">
        <f>IF(IF(DV7&gt;Simulador!$E$10,Simulador!$E$28*(DV7-DU7),(Simulador!$E$28*(1-Simulador!$E$39)*(DV7-DU7)))&lt;0,0,IF(DV7&gt;Simulador!$E$10,Simulador!$E$28*(DV7-DU7),(Simulador!$E$28*(1-Simulador!$E$39)*(DV7-DU7))))</f>
        <v>0</v>
      </c>
      <c r="DW22" s="62">
        <f>IF(IF(DW7&gt;Simulador!$E$10,Simulador!$E$28*(DW7-DV7),(Simulador!$E$28*(1-Simulador!$E$39)*(DW7-DV7)))&lt;0,0,IF(DW7&gt;Simulador!$E$10,Simulador!$E$28*(DW7-DV7),(Simulador!$E$28*(1-Simulador!$E$39)*(DW7-DV7))))</f>
        <v>0</v>
      </c>
      <c r="DX22" s="62">
        <f>IF(IF(DX7&gt;Simulador!$E$10,Simulador!$E$28*(DX7-DW7),(Simulador!$E$28*(1-Simulador!$E$39)*(DX7-DW7)))&lt;0,0,IF(DX7&gt;Simulador!$E$10,Simulador!$E$28*(DX7-DW7),(Simulador!$E$28*(1-Simulador!$E$39)*(DX7-DW7))))</f>
        <v>0</v>
      </c>
      <c r="DY22" s="62">
        <f>IF(IF(DY7&gt;Simulador!$E$10,Simulador!$E$28*(DY7-DX7),(Simulador!$E$28*(1-Simulador!$E$39)*(DY7-DX7)))&lt;0,0,IF(DY7&gt;Simulador!$E$10,Simulador!$E$28*(DY7-DX7),(Simulador!$E$28*(1-Simulador!$E$39)*(DY7-DX7))))</f>
        <v>0</v>
      </c>
      <c r="DZ22" s="62">
        <f>IF(IF(DZ7&gt;Simulador!$E$10,Simulador!$E$28*(DZ7-DY7),(Simulador!$E$28*(1-Simulador!$E$39)*(DZ7-DY7)))&lt;0,0,IF(DZ7&gt;Simulador!$E$10,Simulador!$E$28*(DZ7-DY7),(Simulador!$E$28*(1-Simulador!$E$39)*(DZ7-DY7))))</f>
        <v>0</v>
      </c>
      <c r="EA22" s="62">
        <f>IF(IF(EA7&gt;Simulador!$E$10,Simulador!$E$28*(EA7-DZ7),(Simulador!$E$28*(1-Simulador!$E$39)*(EA7-DZ7)))&lt;0,0,IF(EA7&gt;Simulador!$E$10,Simulador!$E$28*(EA7-DZ7),(Simulador!$E$28*(1-Simulador!$E$39)*(EA7-DZ7))))</f>
        <v>0</v>
      </c>
      <c r="EB22" s="62">
        <f>IF(IF(EB7&gt;Simulador!$E$10,Simulador!$E$28*(EB7-EA7),(Simulador!$E$28*(1-Simulador!$E$39)*(EB7-EA7)))&lt;0,0,IF(EB7&gt;Simulador!$E$10,Simulador!$E$28*(EB7-EA7),(Simulador!$E$28*(1-Simulador!$E$39)*(EB7-EA7))))</f>
        <v>0</v>
      </c>
      <c r="EC22" s="62">
        <f>IF(IF(EC7&gt;Simulador!$E$10,Simulador!$E$28*(EC7-EB7),(Simulador!$E$28*(1-Simulador!$E$39)*(EC7-EB7)))&lt;0,0,IF(EC7&gt;Simulador!$E$10,Simulador!$E$28*(EC7-EB7),(Simulador!$E$28*(1-Simulador!$E$39)*(EC7-EB7))))</f>
        <v>0</v>
      </c>
      <c r="ED22" s="62">
        <f>IF(IF(ED7&gt;Simulador!$E$10,Simulador!$E$28*(ED7-EC7),(Simulador!$E$28*(1-Simulador!$E$39)*(ED7-EC7)))&lt;0,0,IF(ED7&gt;Simulador!$E$10,Simulador!$E$28*(ED7-EC7),(Simulador!$E$28*(1-Simulador!$E$39)*(ED7-EC7))))</f>
        <v>0</v>
      </c>
    </row>
    <row r="23" spans="2:134" ht="12.5" x14ac:dyDescent="0.25">
      <c r="B23" s="46" t="s">
        <v>196</v>
      </c>
      <c r="C23" s="53"/>
      <c r="D23" s="62">
        <f t="shared" ref="D23:H23" si="22">SUMIFS($O23:$BV23,$O$4:$BV$4,D$3)</f>
        <v>3000</v>
      </c>
      <c r="E23" s="62">
        <f t="shared" si="22"/>
        <v>0</v>
      </c>
      <c r="F23" s="62">
        <f t="shared" si="22"/>
        <v>0</v>
      </c>
      <c r="G23" s="62">
        <f t="shared" si="22"/>
        <v>0</v>
      </c>
      <c r="H23" s="62">
        <f t="shared" si="22"/>
        <v>0</v>
      </c>
      <c r="I23" s="62">
        <f t="shared" ref="I23:M23" si="23">SUMIFS($O23:$ED23,$O$4:$ED$4,I$3)</f>
        <v>0</v>
      </c>
      <c r="J23" s="62">
        <f t="shared" si="23"/>
        <v>0</v>
      </c>
      <c r="K23" s="62">
        <f t="shared" si="23"/>
        <v>0</v>
      </c>
      <c r="L23" s="62">
        <f t="shared" si="23"/>
        <v>0</v>
      </c>
      <c r="M23" s="62">
        <f t="shared" si="23"/>
        <v>0</v>
      </c>
      <c r="N23" s="53"/>
      <c r="O23" s="62">
        <f>IF(Simulador!$E$41=TRUE,0,Simulador!$E$32)</f>
        <v>3000</v>
      </c>
      <c r="P23" s="62">
        <v>0</v>
      </c>
      <c r="Q23" s="62">
        <f t="shared" ref="Q23:ED23" si="24">P23</f>
        <v>0</v>
      </c>
      <c r="R23" s="62">
        <f t="shared" si="24"/>
        <v>0</v>
      </c>
      <c r="S23" s="62">
        <f t="shared" si="24"/>
        <v>0</v>
      </c>
      <c r="T23" s="62">
        <f t="shared" si="24"/>
        <v>0</v>
      </c>
      <c r="U23" s="62">
        <f t="shared" si="24"/>
        <v>0</v>
      </c>
      <c r="V23" s="62">
        <f t="shared" si="24"/>
        <v>0</v>
      </c>
      <c r="W23" s="62">
        <f t="shared" si="24"/>
        <v>0</v>
      </c>
      <c r="X23" s="62">
        <f t="shared" si="24"/>
        <v>0</v>
      </c>
      <c r="Y23" s="62">
        <f t="shared" si="24"/>
        <v>0</v>
      </c>
      <c r="Z23" s="62">
        <f t="shared" si="24"/>
        <v>0</v>
      </c>
      <c r="AA23" s="62">
        <f t="shared" si="24"/>
        <v>0</v>
      </c>
      <c r="AB23" s="62">
        <f t="shared" si="24"/>
        <v>0</v>
      </c>
      <c r="AC23" s="62">
        <f t="shared" si="24"/>
        <v>0</v>
      </c>
      <c r="AD23" s="62">
        <f t="shared" si="24"/>
        <v>0</v>
      </c>
      <c r="AE23" s="62">
        <f t="shared" si="24"/>
        <v>0</v>
      </c>
      <c r="AF23" s="62">
        <f t="shared" si="24"/>
        <v>0</v>
      </c>
      <c r="AG23" s="62">
        <f t="shared" si="24"/>
        <v>0</v>
      </c>
      <c r="AH23" s="62">
        <f t="shared" si="24"/>
        <v>0</v>
      </c>
      <c r="AI23" s="62">
        <f t="shared" si="24"/>
        <v>0</v>
      </c>
      <c r="AJ23" s="62">
        <f t="shared" si="24"/>
        <v>0</v>
      </c>
      <c r="AK23" s="62">
        <f t="shared" si="24"/>
        <v>0</v>
      </c>
      <c r="AL23" s="62">
        <f t="shared" si="24"/>
        <v>0</v>
      </c>
      <c r="AM23" s="62">
        <f t="shared" si="24"/>
        <v>0</v>
      </c>
      <c r="AN23" s="62">
        <f t="shared" si="24"/>
        <v>0</v>
      </c>
      <c r="AO23" s="62">
        <f t="shared" si="24"/>
        <v>0</v>
      </c>
      <c r="AP23" s="62">
        <f t="shared" si="24"/>
        <v>0</v>
      </c>
      <c r="AQ23" s="62">
        <f t="shared" si="24"/>
        <v>0</v>
      </c>
      <c r="AR23" s="62">
        <f t="shared" si="24"/>
        <v>0</v>
      </c>
      <c r="AS23" s="62">
        <f t="shared" si="24"/>
        <v>0</v>
      </c>
      <c r="AT23" s="62">
        <f t="shared" si="24"/>
        <v>0</v>
      </c>
      <c r="AU23" s="62">
        <f t="shared" si="24"/>
        <v>0</v>
      </c>
      <c r="AV23" s="62">
        <f t="shared" si="24"/>
        <v>0</v>
      </c>
      <c r="AW23" s="62">
        <f t="shared" si="24"/>
        <v>0</v>
      </c>
      <c r="AX23" s="62">
        <f t="shared" si="24"/>
        <v>0</v>
      </c>
      <c r="AY23" s="62">
        <f t="shared" si="24"/>
        <v>0</v>
      </c>
      <c r="AZ23" s="62">
        <f t="shared" si="24"/>
        <v>0</v>
      </c>
      <c r="BA23" s="62">
        <f t="shared" si="24"/>
        <v>0</v>
      </c>
      <c r="BB23" s="62">
        <f t="shared" si="24"/>
        <v>0</v>
      </c>
      <c r="BC23" s="62">
        <f t="shared" si="24"/>
        <v>0</v>
      </c>
      <c r="BD23" s="62">
        <f t="shared" si="24"/>
        <v>0</v>
      </c>
      <c r="BE23" s="62">
        <f t="shared" si="24"/>
        <v>0</v>
      </c>
      <c r="BF23" s="62">
        <f t="shared" si="24"/>
        <v>0</v>
      </c>
      <c r="BG23" s="62">
        <f t="shared" si="24"/>
        <v>0</v>
      </c>
      <c r="BH23" s="62">
        <f t="shared" si="24"/>
        <v>0</v>
      </c>
      <c r="BI23" s="62">
        <f t="shared" si="24"/>
        <v>0</v>
      </c>
      <c r="BJ23" s="62">
        <f t="shared" si="24"/>
        <v>0</v>
      </c>
      <c r="BK23" s="62">
        <f t="shared" si="24"/>
        <v>0</v>
      </c>
      <c r="BL23" s="62">
        <f t="shared" si="24"/>
        <v>0</v>
      </c>
      <c r="BM23" s="62">
        <f t="shared" si="24"/>
        <v>0</v>
      </c>
      <c r="BN23" s="62">
        <f t="shared" si="24"/>
        <v>0</v>
      </c>
      <c r="BO23" s="62">
        <f t="shared" si="24"/>
        <v>0</v>
      </c>
      <c r="BP23" s="62">
        <f t="shared" si="24"/>
        <v>0</v>
      </c>
      <c r="BQ23" s="62">
        <f t="shared" si="24"/>
        <v>0</v>
      </c>
      <c r="BR23" s="62">
        <f t="shared" si="24"/>
        <v>0</v>
      </c>
      <c r="BS23" s="62">
        <f t="shared" si="24"/>
        <v>0</v>
      </c>
      <c r="BT23" s="62">
        <f t="shared" si="24"/>
        <v>0</v>
      </c>
      <c r="BU23" s="62">
        <f t="shared" si="24"/>
        <v>0</v>
      </c>
      <c r="BV23" s="62">
        <f t="shared" si="24"/>
        <v>0</v>
      </c>
      <c r="BW23" s="62">
        <f t="shared" si="24"/>
        <v>0</v>
      </c>
      <c r="BX23" s="62">
        <f t="shared" si="24"/>
        <v>0</v>
      </c>
      <c r="BY23" s="62">
        <f t="shared" si="24"/>
        <v>0</v>
      </c>
      <c r="BZ23" s="62">
        <f t="shared" si="24"/>
        <v>0</v>
      </c>
      <c r="CA23" s="62">
        <f t="shared" si="24"/>
        <v>0</v>
      </c>
      <c r="CB23" s="62">
        <f t="shared" si="24"/>
        <v>0</v>
      </c>
      <c r="CC23" s="62">
        <f t="shared" si="24"/>
        <v>0</v>
      </c>
      <c r="CD23" s="62">
        <f t="shared" si="24"/>
        <v>0</v>
      </c>
      <c r="CE23" s="62">
        <f t="shared" si="24"/>
        <v>0</v>
      </c>
      <c r="CF23" s="62">
        <f t="shared" si="24"/>
        <v>0</v>
      </c>
      <c r="CG23" s="62">
        <f t="shared" si="24"/>
        <v>0</v>
      </c>
      <c r="CH23" s="62">
        <f t="shared" si="24"/>
        <v>0</v>
      </c>
      <c r="CI23" s="62">
        <f t="shared" si="24"/>
        <v>0</v>
      </c>
      <c r="CJ23" s="62">
        <f t="shared" si="24"/>
        <v>0</v>
      </c>
      <c r="CK23" s="62">
        <f t="shared" si="24"/>
        <v>0</v>
      </c>
      <c r="CL23" s="62">
        <f t="shared" si="24"/>
        <v>0</v>
      </c>
      <c r="CM23" s="62">
        <f t="shared" si="24"/>
        <v>0</v>
      </c>
      <c r="CN23" s="62">
        <f t="shared" si="24"/>
        <v>0</v>
      </c>
      <c r="CO23" s="62">
        <f t="shared" si="24"/>
        <v>0</v>
      </c>
      <c r="CP23" s="62">
        <f t="shared" si="24"/>
        <v>0</v>
      </c>
      <c r="CQ23" s="62">
        <f t="shared" si="24"/>
        <v>0</v>
      </c>
      <c r="CR23" s="62">
        <f t="shared" si="24"/>
        <v>0</v>
      </c>
      <c r="CS23" s="62">
        <f t="shared" si="24"/>
        <v>0</v>
      </c>
      <c r="CT23" s="62">
        <f t="shared" si="24"/>
        <v>0</v>
      </c>
      <c r="CU23" s="62">
        <f t="shared" si="24"/>
        <v>0</v>
      </c>
      <c r="CV23" s="62">
        <f t="shared" si="24"/>
        <v>0</v>
      </c>
      <c r="CW23" s="62">
        <f t="shared" si="24"/>
        <v>0</v>
      </c>
      <c r="CX23" s="62">
        <f t="shared" si="24"/>
        <v>0</v>
      </c>
      <c r="CY23" s="62">
        <f t="shared" si="24"/>
        <v>0</v>
      </c>
      <c r="CZ23" s="62">
        <f t="shared" si="24"/>
        <v>0</v>
      </c>
      <c r="DA23" s="62">
        <f t="shared" si="24"/>
        <v>0</v>
      </c>
      <c r="DB23" s="62">
        <f t="shared" si="24"/>
        <v>0</v>
      </c>
      <c r="DC23" s="62">
        <f t="shared" si="24"/>
        <v>0</v>
      </c>
      <c r="DD23" s="62">
        <f t="shared" si="24"/>
        <v>0</v>
      </c>
      <c r="DE23" s="62">
        <f t="shared" si="24"/>
        <v>0</v>
      </c>
      <c r="DF23" s="62">
        <f t="shared" si="24"/>
        <v>0</v>
      </c>
      <c r="DG23" s="62">
        <f t="shared" si="24"/>
        <v>0</v>
      </c>
      <c r="DH23" s="62">
        <f t="shared" si="24"/>
        <v>0</v>
      </c>
      <c r="DI23" s="62">
        <f t="shared" si="24"/>
        <v>0</v>
      </c>
      <c r="DJ23" s="62">
        <f t="shared" si="24"/>
        <v>0</v>
      </c>
      <c r="DK23" s="62">
        <f t="shared" si="24"/>
        <v>0</v>
      </c>
      <c r="DL23" s="62">
        <f t="shared" si="24"/>
        <v>0</v>
      </c>
      <c r="DM23" s="62">
        <f t="shared" si="24"/>
        <v>0</v>
      </c>
      <c r="DN23" s="62">
        <f t="shared" si="24"/>
        <v>0</v>
      </c>
      <c r="DO23" s="62">
        <f t="shared" si="24"/>
        <v>0</v>
      </c>
      <c r="DP23" s="62">
        <f t="shared" si="24"/>
        <v>0</v>
      </c>
      <c r="DQ23" s="62">
        <f t="shared" si="24"/>
        <v>0</v>
      </c>
      <c r="DR23" s="62">
        <f t="shared" si="24"/>
        <v>0</v>
      </c>
      <c r="DS23" s="62">
        <f t="shared" si="24"/>
        <v>0</v>
      </c>
      <c r="DT23" s="62">
        <f t="shared" si="24"/>
        <v>0</v>
      </c>
      <c r="DU23" s="62">
        <f t="shared" si="24"/>
        <v>0</v>
      </c>
      <c r="DV23" s="62">
        <f t="shared" si="24"/>
        <v>0</v>
      </c>
      <c r="DW23" s="62">
        <f t="shared" si="24"/>
        <v>0</v>
      </c>
      <c r="DX23" s="62">
        <f t="shared" si="24"/>
        <v>0</v>
      </c>
      <c r="DY23" s="62">
        <f t="shared" si="24"/>
        <v>0</v>
      </c>
      <c r="DZ23" s="62">
        <f t="shared" si="24"/>
        <v>0</v>
      </c>
      <c r="EA23" s="62">
        <f t="shared" si="24"/>
        <v>0</v>
      </c>
      <c r="EB23" s="62">
        <f t="shared" si="24"/>
        <v>0</v>
      </c>
      <c r="EC23" s="62">
        <f t="shared" si="24"/>
        <v>0</v>
      </c>
      <c r="ED23" s="62">
        <f t="shared" si="24"/>
        <v>0</v>
      </c>
    </row>
    <row r="24" spans="2:134" ht="13" x14ac:dyDescent="0.3">
      <c r="B24" s="38" t="s">
        <v>197</v>
      </c>
      <c r="C24" s="53"/>
      <c r="D24" s="67">
        <f t="shared" ref="D24:H24" si="25">SUMIFS($O24:$BV24,$O$4:$BV$4,D$3)</f>
        <v>0</v>
      </c>
      <c r="E24" s="67">
        <f t="shared" si="25"/>
        <v>0</v>
      </c>
      <c r="F24" s="67">
        <f t="shared" si="25"/>
        <v>0</v>
      </c>
      <c r="G24" s="67">
        <f t="shared" si="25"/>
        <v>0</v>
      </c>
      <c r="H24" s="67">
        <f t="shared" si="25"/>
        <v>0</v>
      </c>
      <c r="I24" s="67">
        <f t="shared" ref="I24:M24" si="26">SUMIFS($O24:$ED24,$O$4:$ED$4,I$3)</f>
        <v>0</v>
      </c>
      <c r="J24" s="67">
        <f t="shared" si="26"/>
        <v>0</v>
      </c>
      <c r="K24" s="67">
        <f t="shared" si="26"/>
        <v>0</v>
      </c>
      <c r="L24" s="67">
        <f t="shared" si="26"/>
        <v>0</v>
      </c>
      <c r="M24" s="67">
        <f t="shared" si="26"/>
        <v>0</v>
      </c>
      <c r="N24" s="53"/>
      <c r="O24" s="62">
        <v>0</v>
      </c>
      <c r="P24" s="62">
        <f>IF(P1&lt;=Simulador!$E$45,Simulador!$E$44*-SUM(P19),0)</f>
        <v>0</v>
      </c>
      <c r="Q24" s="62">
        <f>IF(Q1&lt;=Simulador!$E$45,Simulador!$E$44*-SUM(Q19),0)</f>
        <v>0</v>
      </c>
      <c r="R24" s="62">
        <f>IF(R1&lt;=Simulador!$E$45,Simulador!$E$44*-SUM(R19),0)</f>
        <v>0</v>
      </c>
      <c r="S24" s="62">
        <f>IF(S1&lt;=Simulador!$E$45,Simulador!$E$44*-SUM(S19),0)</f>
        <v>0</v>
      </c>
      <c r="T24" s="62">
        <f>IF(T1&lt;=Simulador!$E$45,Simulador!$E$44*-SUM(T19),0)</f>
        <v>0</v>
      </c>
      <c r="U24" s="62">
        <f>IF(U1&lt;=Simulador!$E$45,Simulador!$E$44*-SUM(U19),0)</f>
        <v>0</v>
      </c>
      <c r="V24" s="62">
        <f>IF(V1&lt;=Simulador!$E$45,Simulador!$E$44*-SUM(V19),0)</f>
        <v>0</v>
      </c>
      <c r="W24" s="62">
        <f>IF(W1&lt;=Simulador!$E$45,Simulador!$E$44*-SUM(W19),0)</f>
        <v>0</v>
      </c>
      <c r="X24" s="62">
        <f>IF(X1&lt;=Simulador!$E$45,Simulador!$E$44*-SUM(X19),0)</f>
        <v>0</v>
      </c>
      <c r="Y24" s="62">
        <f>IF(Y1&lt;=Simulador!$E$45,Simulador!$E$44*-SUM(Y19),0)</f>
        <v>0</v>
      </c>
      <c r="Z24" s="62">
        <f>IF(Z1&lt;=Simulador!$E$45,Simulador!$E$44*-SUM(Z19),0)</f>
        <v>0</v>
      </c>
      <c r="AA24" s="62">
        <f>IF(AA1&lt;=Simulador!$E$45,Simulador!$E$44*-SUM(AA19),0)</f>
        <v>0</v>
      </c>
      <c r="AB24" s="62">
        <f>IF(AB1&lt;=Simulador!$E$45,Simulador!$E$44*-SUM(AB19),0)</f>
        <v>0</v>
      </c>
      <c r="AC24" s="62">
        <f>IF(AC1&lt;=Simulador!$E$45,Simulador!$E$44*-SUM(AC19),0)</f>
        <v>0</v>
      </c>
      <c r="AD24" s="62">
        <f>IF(AD1&lt;=Simulador!$E$45,Simulador!$E$44*-SUM(AD19),0)</f>
        <v>0</v>
      </c>
      <c r="AE24" s="62">
        <f>IF(AE1&lt;=Simulador!$E$45,Simulador!$E$44*-SUM(AE19),0)</f>
        <v>0</v>
      </c>
      <c r="AF24" s="62">
        <f>IF(AF1&lt;=Simulador!$E$45,Simulador!$E$44*-SUM(AF19),0)</f>
        <v>0</v>
      </c>
      <c r="AG24" s="62">
        <f>IF(AG1&lt;=Simulador!$E$45,Simulador!$E$44*-SUM(AG19),0)</f>
        <v>0</v>
      </c>
      <c r="AH24" s="62">
        <f>IF(AH1&lt;=Simulador!$E$45,Simulador!$E$44*-SUM(AH19),0)</f>
        <v>0</v>
      </c>
      <c r="AI24" s="62">
        <f>IF(AI1&lt;=Simulador!$E$45,Simulador!$E$44*-SUM(AI19),0)</f>
        <v>0</v>
      </c>
      <c r="AJ24" s="62">
        <f>IF(AJ1&lt;=Simulador!$E$45,Simulador!$E$44*-SUM(AJ19),0)</f>
        <v>0</v>
      </c>
      <c r="AK24" s="62">
        <f>IF(AK1&lt;=Simulador!$E$45,Simulador!$E$44*-SUM(AK19),0)</f>
        <v>0</v>
      </c>
      <c r="AL24" s="62">
        <f>IF(AL1&lt;=Simulador!$E$45,Simulador!$E$44*-SUM(AL19),0)</f>
        <v>0</v>
      </c>
      <c r="AM24" s="62">
        <f>IF(AM1&lt;=Simulador!$E$45,Simulador!$E$44*-SUM(AM19),0)</f>
        <v>0</v>
      </c>
      <c r="AN24" s="62">
        <f>IF(AN1&lt;=Simulador!$E$45,Simulador!$E$44*-SUM(AN19),0)</f>
        <v>0</v>
      </c>
      <c r="AO24" s="62">
        <f>IF(AO1&lt;=Simulador!$E$45,Simulador!$E$44*-SUM(AO19),0)</f>
        <v>0</v>
      </c>
      <c r="AP24" s="62">
        <f>IF(AP1&lt;=Simulador!$E$45,Simulador!$E$44*-SUM(AP19),0)</f>
        <v>0</v>
      </c>
      <c r="AQ24" s="62">
        <f>IF(AQ1&lt;=Simulador!$E$45,Simulador!$E$44*-SUM(AQ19),0)</f>
        <v>0</v>
      </c>
      <c r="AR24" s="62">
        <f>IF(AR1&lt;=Simulador!$E$45,Simulador!$E$44*-SUM(AR19),0)</f>
        <v>0</v>
      </c>
      <c r="AS24" s="62">
        <f>IF(AS1&lt;=Simulador!$E$45,Simulador!$E$44*-SUM(AS19),0)</f>
        <v>0</v>
      </c>
      <c r="AT24" s="62">
        <f>IF(AT1&lt;=Simulador!$E$45,Simulador!$E$44*-SUM(AT19),0)</f>
        <v>0</v>
      </c>
      <c r="AU24" s="62">
        <f>IF(AU1&lt;=Simulador!$E$45,Simulador!$E$44*-SUM(AU19),0)</f>
        <v>0</v>
      </c>
      <c r="AV24" s="62">
        <f>IF(AV1&lt;=Simulador!$E$45,Simulador!$E$44*-SUM(AV19),0)</f>
        <v>0</v>
      </c>
      <c r="AW24" s="62">
        <f>IF(AW1&lt;=Simulador!$E$45,Simulador!$E$44*-SUM(AW19),0)</f>
        <v>0</v>
      </c>
      <c r="AX24" s="62">
        <f>IF(AX1&lt;=Simulador!$E$45,Simulador!$E$44*-SUM(AX19),0)</f>
        <v>0</v>
      </c>
      <c r="AY24" s="62">
        <f>IF(AY1&lt;=Simulador!$E$45,Simulador!$E$44*-SUM(AY19),0)</f>
        <v>0</v>
      </c>
      <c r="AZ24" s="62">
        <f>IF(AZ1&lt;=Simulador!$E$45,Simulador!$E$44*-SUM(AZ19),0)</f>
        <v>0</v>
      </c>
      <c r="BA24" s="62">
        <f>IF(BA1&lt;=Simulador!$E$45,Simulador!$E$44*-SUM(BA19),0)</f>
        <v>0</v>
      </c>
      <c r="BB24" s="62">
        <f>IF(BB1&lt;=Simulador!$E$45,Simulador!$E$44*-SUM(BB19),0)</f>
        <v>0</v>
      </c>
      <c r="BC24" s="62">
        <f>IF(BC1&lt;=Simulador!$E$45,Simulador!$E$44*-SUM(BC19),0)</f>
        <v>0</v>
      </c>
      <c r="BD24" s="62">
        <f>IF(BD1&lt;=Simulador!$E$45,Simulador!$E$44*-SUM(BD19),0)</f>
        <v>0</v>
      </c>
      <c r="BE24" s="62">
        <f>IF(BE1&lt;=Simulador!$E$45,Simulador!$E$44*-SUM(BE19),0)</f>
        <v>0</v>
      </c>
      <c r="BF24" s="62">
        <f>IF(BF1&lt;=Simulador!$E$45,Simulador!$E$44*-SUM(BF19),0)</f>
        <v>0</v>
      </c>
      <c r="BG24" s="62">
        <f>IF(BG1&lt;=Simulador!$E$45,Simulador!$E$44*-SUM(BG19),0)</f>
        <v>0</v>
      </c>
      <c r="BH24" s="62">
        <f>IF(BH1&lt;=Simulador!$E$45,Simulador!$E$44*-SUM(BH19),0)</f>
        <v>0</v>
      </c>
      <c r="BI24" s="62">
        <f>IF(BI1&lt;=Simulador!$E$45,Simulador!$E$44*-SUM(BI19),0)</f>
        <v>0</v>
      </c>
      <c r="BJ24" s="62">
        <f>IF(BJ1&lt;=Simulador!$E$45,Simulador!$E$44*-SUM(BJ19),0)</f>
        <v>0</v>
      </c>
      <c r="BK24" s="62">
        <f>IF(BK1&lt;=Simulador!$E$45,Simulador!$E$44*-SUM(BK19),0)</f>
        <v>0</v>
      </c>
      <c r="BL24" s="62">
        <f>IF(BL1&lt;=Simulador!$E$45,Simulador!$E$44*-SUM(BL19),0)</f>
        <v>0</v>
      </c>
      <c r="BM24" s="62">
        <f>IF(BM1&lt;=Simulador!$E$45,Simulador!$E$44*-SUM(BM19),0)</f>
        <v>0</v>
      </c>
      <c r="BN24" s="62">
        <f>IF(BN1&lt;=Simulador!$E$45,Simulador!$E$44*-SUM(BN19),0)</f>
        <v>0</v>
      </c>
      <c r="BO24" s="62">
        <f>IF(BO1&lt;=Simulador!$E$45,Simulador!$E$44*-SUM(BO19),0)</f>
        <v>0</v>
      </c>
      <c r="BP24" s="62">
        <f>IF(BP1&lt;=Simulador!$E$45,Simulador!$E$44*-SUM(BP19),0)</f>
        <v>0</v>
      </c>
      <c r="BQ24" s="62">
        <f>IF(BQ1&lt;=Simulador!$E$45,Simulador!$E$44*-SUM(BQ19),0)</f>
        <v>0</v>
      </c>
      <c r="BR24" s="62">
        <f>IF(BR1&lt;=Simulador!$E$45,Simulador!$E$44*-SUM(BR19),0)</f>
        <v>0</v>
      </c>
      <c r="BS24" s="62">
        <f>IF(BS1&lt;=Simulador!$E$45,Simulador!$E$44*-SUM(BS19),0)</f>
        <v>0</v>
      </c>
      <c r="BT24" s="62">
        <f>IF(BT1&lt;=Simulador!$E$45,Simulador!$E$44*-SUM(BT19),0)</f>
        <v>0</v>
      </c>
      <c r="BU24" s="62">
        <f>IF(BU1&lt;=Simulador!$E$45,Simulador!$E$44*-SUM(BU19),0)</f>
        <v>0</v>
      </c>
      <c r="BV24" s="62">
        <f>IF(BV1&lt;=Simulador!$E$45,Simulador!$E$44*-SUM(BV19),0)</f>
        <v>0</v>
      </c>
      <c r="BW24" s="62">
        <f>IF(BW1&lt;=Simulador!$E$45,Simulador!$E$44*-SUM(BW19),0)</f>
        <v>0</v>
      </c>
      <c r="BX24" s="62">
        <f>IF(BX1&lt;=Simulador!$E$45,Simulador!$E$44*-SUM(BX19),0)</f>
        <v>0</v>
      </c>
      <c r="BY24" s="62">
        <f>IF(BY1&lt;=Simulador!$E$45,Simulador!$E$44*-SUM(BY19),0)</f>
        <v>0</v>
      </c>
      <c r="BZ24" s="62">
        <f>IF(BZ1&lt;=Simulador!$E$45,Simulador!$E$44*-SUM(BZ19),0)</f>
        <v>0</v>
      </c>
      <c r="CA24" s="62">
        <f>IF(CA1&lt;=Simulador!$E$45,Simulador!$E$44*-SUM(CA19),0)</f>
        <v>0</v>
      </c>
      <c r="CB24" s="62">
        <f>IF(CB1&lt;=Simulador!$E$45,Simulador!$E$44*-SUM(CB19),0)</f>
        <v>0</v>
      </c>
      <c r="CC24" s="62">
        <f>IF(CC1&lt;=Simulador!$E$45,Simulador!$E$44*-SUM(CC19),0)</f>
        <v>0</v>
      </c>
      <c r="CD24" s="62">
        <f>IF(CD1&lt;=Simulador!$E$45,Simulador!$E$44*-SUM(CD19),0)</f>
        <v>0</v>
      </c>
      <c r="CE24" s="62">
        <f>IF(CE1&lt;=Simulador!$E$45,Simulador!$E$44*-SUM(CE19),0)</f>
        <v>0</v>
      </c>
      <c r="CF24" s="62">
        <f>IF(CF1&lt;=Simulador!$E$45,Simulador!$E$44*-SUM(CF19),0)</f>
        <v>0</v>
      </c>
      <c r="CG24" s="62">
        <f>IF(CG1&lt;=Simulador!$E$45,Simulador!$E$44*-SUM(CG19),0)</f>
        <v>0</v>
      </c>
      <c r="CH24" s="62">
        <f>IF(CH1&lt;=Simulador!$E$45,Simulador!$E$44*-SUM(CH19),0)</f>
        <v>0</v>
      </c>
      <c r="CI24" s="62">
        <f>IF(CI1&lt;=Simulador!$E$45,Simulador!$E$44*-SUM(CI19),0)</f>
        <v>0</v>
      </c>
      <c r="CJ24" s="62">
        <f>IF(CJ1&lt;=Simulador!$E$45,Simulador!$E$44*-SUM(CJ19),0)</f>
        <v>0</v>
      </c>
      <c r="CK24" s="62">
        <f>IF(CK1&lt;=Simulador!$E$45,Simulador!$E$44*-SUM(CK19),0)</f>
        <v>0</v>
      </c>
      <c r="CL24" s="62">
        <f>IF(CL1&lt;=Simulador!$E$45,Simulador!$E$44*-SUM(CL19),0)</f>
        <v>0</v>
      </c>
      <c r="CM24" s="62">
        <f>IF(CM1&lt;=Simulador!$E$45,Simulador!$E$44*-SUM(CM19),0)</f>
        <v>0</v>
      </c>
      <c r="CN24" s="62">
        <f>IF(CN1&lt;=Simulador!$E$45,Simulador!$E$44*-SUM(CN19),0)</f>
        <v>0</v>
      </c>
      <c r="CO24" s="62">
        <f>IF(CO1&lt;=Simulador!$E$45,Simulador!$E$44*-SUM(CO19),0)</f>
        <v>0</v>
      </c>
      <c r="CP24" s="62">
        <f>IF(CP1&lt;=Simulador!$E$45,Simulador!$E$44*-SUM(CP19),0)</f>
        <v>0</v>
      </c>
      <c r="CQ24" s="62">
        <f>IF(CQ1&lt;=Simulador!$E$45,Simulador!$E$44*-SUM(CQ19),0)</f>
        <v>0</v>
      </c>
      <c r="CR24" s="62">
        <f>IF(CR1&lt;=Simulador!$E$45,Simulador!$E$44*-SUM(CR19),0)</f>
        <v>0</v>
      </c>
      <c r="CS24" s="62">
        <f>IF(CS1&lt;=Simulador!$E$45,Simulador!$E$44*-SUM(CS19),0)</f>
        <v>0</v>
      </c>
      <c r="CT24" s="62">
        <f>IF(CT1&lt;=Simulador!$E$45,Simulador!$E$44*-SUM(CT19),0)</f>
        <v>0</v>
      </c>
      <c r="CU24" s="62">
        <f>IF(CU1&lt;=Simulador!$E$45,Simulador!$E$44*-SUM(CU19),0)</f>
        <v>0</v>
      </c>
      <c r="CV24" s="62">
        <f>IF(CV1&lt;=Simulador!$E$45,Simulador!$E$44*-SUM(CV19),0)</f>
        <v>0</v>
      </c>
      <c r="CW24" s="62">
        <f>IF(CW1&lt;=Simulador!$E$45,Simulador!$E$44*-SUM(CW19),0)</f>
        <v>0</v>
      </c>
      <c r="CX24" s="62">
        <f>IF(CX1&lt;=Simulador!$E$45,Simulador!$E$44*-SUM(CX19),0)</f>
        <v>0</v>
      </c>
      <c r="CY24" s="62">
        <f>IF(CY1&lt;=Simulador!$E$45,Simulador!$E$44*-SUM(CY19),0)</f>
        <v>0</v>
      </c>
      <c r="CZ24" s="62">
        <f>IF(CZ1&lt;=Simulador!$E$45,Simulador!$E$44*-SUM(CZ19),0)</f>
        <v>0</v>
      </c>
      <c r="DA24" s="62">
        <f>IF(DA1&lt;=Simulador!$E$45,Simulador!$E$44*-SUM(DA19),0)</f>
        <v>0</v>
      </c>
      <c r="DB24" s="62">
        <f>IF(DB1&lt;=Simulador!$E$45,Simulador!$E$44*-SUM(DB19),0)</f>
        <v>0</v>
      </c>
      <c r="DC24" s="62">
        <f>IF(DC1&lt;=Simulador!$E$45,Simulador!$E$44*-SUM(DC19),0)</f>
        <v>0</v>
      </c>
      <c r="DD24" s="62">
        <f>IF(DD1&lt;=Simulador!$E$45,Simulador!$E$44*-SUM(DD19),0)</f>
        <v>0</v>
      </c>
      <c r="DE24" s="62">
        <f>IF(DE1&lt;=Simulador!$E$45,Simulador!$E$44*-SUM(DE19),0)</f>
        <v>0</v>
      </c>
      <c r="DF24" s="62">
        <f>IF(DF1&lt;=Simulador!$E$45,Simulador!$E$44*-SUM(DF19),0)</f>
        <v>0</v>
      </c>
      <c r="DG24" s="62">
        <f>IF(DG1&lt;=Simulador!$E$45,Simulador!$E$44*-SUM(DG19),0)</f>
        <v>0</v>
      </c>
      <c r="DH24" s="62">
        <f>IF(DH1&lt;=Simulador!$E$45,Simulador!$E$44*-SUM(DH19),0)</f>
        <v>0</v>
      </c>
      <c r="DI24" s="62">
        <f>IF(DI1&lt;=Simulador!$E$45,Simulador!$E$44*-SUM(DI19),0)</f>
        <v>0</v>
      </c>
      <c r="DJ24" s="62">
        <f>IF(DJ1&lt;=Simulador!$E$45,Simulador!$E$44*-SUM(DJ19),0)</f>
        <v>0</v>
      </c>
      <c r="DK24" s="62">
        <f>IF(DK1&lt;=Simulador!$E$45,Simulador!$E$44*-SUM(DK19),0)</f>
        <v>0</v>
      </c>
      <c r="DL24" s="62">
        <f>IF(DL1&lt;=Simulador!$E$45,Simulador!$E$44*-SUM(DL19),0)</f>
        <v>0</v>
      </c>
      <c r="DM24" s="62">
        <f>IF(DM1&lt;=Simulador!$E$45,Simulador!$E$44*-SUM(DM19),0)</f>
        <v>0</v>
      </c>
      <c r="DN24" s="62">
        <f>IF(DN1&lt;=Simulador!$E$45,Simulador!$E$44*-SUM(DN19),0)</f>
        <v>0</v>
      </c>
      <c r="DO24" s="62">
        <f>IF(DO1&lt;=Simulador!$E$45,Simulador!$E$44*-SUM(DO19),0)</f>
        <v>0</v>
      </c>
      <c r="DP24" s="62">
        <f>IF(DP1&lt;=Simulador!$E$45,Simulador!$E$44*-SUM(DP19),0)</f>
        <v>0</v>
      </c>
      <c r="DQ24" s="62">
        <f>IF(DQ1&lt;=Simulador!$E$45,Simulador!$E$44*-SUM(DQ19),0)</f>
        <v>0</v>
      </c>
      <c r="DR24" s="62">
        <f>IF(DR1&lt;=Simulador!$E$45,Simulador!$E$44*-SUM(DR19),0)</f>
        <v>0</v>
      </c>
      <c r="DS24" s="62">
        <f>IF(DS1&lt;=Simulador!$E$45,Simulador!$E$44*-SUM(DS19),0)</f>
        <v>0</v>
      </c>
      <c r="DT24" s="62">
        <f>IF(DT1&lt;=Simulador!$E$45,Simulador!$E$44*-SUM(DT19),0)</f>
        <v>0</v>
      </c>
      <c r="DU24" s="62">
        <f>IF(DU1&lt;=Simulador!$E$45,Simulador!$E$44*-SUM(DU19),0)</f>
        <v>0</v>
      </c>
      <c r="DV24" s="62">
        <f>IF(DV1&lt;=Simulador!$E$45,Simulador!$E$44*-SUM(DV19),0)</f>
        <v>0</v>
      </c>
      <c r="DW24" s="62">
        <f>IF(DW1&lt;=Simulador!$E$45,Simulador!$E$44*-SUM(DW19),0)</f>
        <v>0</v>
      </c>
      <c r="DX24" s="62">
        <f>IF(DX1&lt;=Simulador!$E$45,Simulador!$E$44*-SUM(DX19),0)</f>
        <v>0</v>
      </c>
      <c r="DY24" s="62">
        <f>IF(DY1&lt;=Simulador!$E$45,Simulador!$E$44*-SUM(DY19),0)</f>
        <v>0</v>
      </c>
      <c r="DZ24" s="62">
        <f>IF(DZ1&lt;=Simulador!$E$45,Simulador!$E$44*-SUM(DZ19),0)</f>
        <v>0</v>
      </c>
      <c r="EA24" s="62">
        <f>IF(EA1&lt;=Simulador!$E$45,Simulador!$E$44*-SUM(EA19),0)</f>
        <v>0</v>
      </c>
      <c r="EB24" s="62">
        <f>IF(EB1&lt;=Simulador!$E$45,Simulador!$E$44*-SUM(EB19),0)</f>
        <v>0</v>
      </c>
      <c r="EC24" s="62">
        <f>IF(EC1&lt;=Simulador!$E$45,Simulador!$E$44*-SUM(EC19),0)</f>
        <v>0</v>
      </c>
      <c r="ED24" s="62">
        <f>IF(ED1&lt;=Simulador!$E$45,Simulador!$E$44*-SUM(ED19),0)</f>
        <v>0</v>
      </c>
    </row>
    <row r="25" spans="2:134" ht="12.5" x14ac:dyDescent="0.25">
      <c r="C25" s="53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53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</row>
    <row r="26" spans="2:134" ht="13" x14ac:dyDescent="0.3">
      <c r="B26" s="38" t="s">
        <v>198</v>
      </c>
      <c r="C26" s="53"/>
      <c r="D26" s="67">
        <f t="shared" ref="D26:H26" si="27">SUMIFS($O26:$BV26,$O$4:$BV$4,D$3)</f>
        <v>208550</v>
      </c>
      <c r="E26" s="67">
        <f t="shared" si="27"/>
        <v>180000</v>
      </c>
      <c r="F26" s="67">
        <f t="shared" si="27"/>
        <v>180000</v>
      </c>
      <c r="G26" s="67">
        <f t="shared" si="27"/>
        <v>180000</v>
      </c>
      <c r="H26" s="67">
        <f t="shared" si="27"/>
        <v>180000</v>
      </c>
      <c r="I26" s="67">
        <f t="shared" ref="I26:M26" si="28">SUMIFS($O26:$ED26,$O$4:$ED$4,I$3)</f>
        <v>0</v>
      </c>
      <c r="J26" s="67">
        <f t="shared" si="28"/>
        <v>0</v>
      </c>
      <c r="K26" s="67">
        <f t="shared" si="28"/>
        <v>0</v>
      </c>
      <c r="L26" s="67">
        <f t="shared" si="28"/>
        <v>0</v>
      </c>
      <c r="M26" s="67">
        <f t="shared" si="28"/>
        <v>0</v>
      </c>
      <c r="N26" s="53"/>
      <c r="O26" s="38">
        <f t="shared" ref="O26:ED26" si="29">IF(ABS(O24)&lt;O18,O18+O24,0)</f>
        <v>24086</v>
      </c>
      <c r="P26" s="38">
        <f t="shared" si="29"/>
        <v>34464</v>
      </c>
      <c r="Q26" s="38">
        <f t="shared" si="29"/>
        <v>15000</v>
      </c>
      <c r="R26" s="38">
        <f t="shared" si="29"/>
        <v>15000</v>
      </c>
      <c r="S26" s="38">
        <f t="shared" si="29"/>
        <v>15000</v>
      </c>
      <c r="T26" s="38">
        <f t="shared" si="29"/>
        <v>15000</v>
      </c>
      <c r="U26" s="38">
        <f t="shared" si="29"/>
        <v>15000</v>
      </c>
      <c r="V26" s="38">
        <f t="shared" si="29"/>
        <v>15000</v>
      </c>
      <c r="W26" s="38">
        <f t="shared" si="29"/>
        <v>15000</v>
      </c>
      <c r="X26" s="38">
        <f t="shared" si="29"/>
        <v>15000</v>
      </c>
      <c r="Y26" s="38">
        <f t="shared" si="29"/>
        <v>15000</v>
      </c>
      <c r="Z26" s="38">
        <f t="shared" si="29"/>
        <v>15000</v>
      </c>
      <c r="AA26" s="38">
        <f t="shared" si="29"/>
        <v>15000</v>
      </c>
      <c r="AB26" s="38">
        <f t="shared" si="29"/>
        <v>15000</v>
      </c>
      <c r="AC26" s="38">
        <f t="shared" si="29"/>
        <v>15000</v>
      </c>
      <c r="AD26" s="38">
        <f t="shared" si="29"/>
        <v>15000</v>
      </c>
      <c r="AE26" s="38">
        <f t="shared" si="29"/>
        <v>15000</v>
      </c>
      <c r="AF26" s="38">
        <f t="shared" si="29"/>
        <v>15000</v>
      </c>
      <c r="AG26" s="38">
        <f t="shared" si="29"/>
        <v>15000</v>
      </c>
      <c r="AH26" s="38">
        <f t="shared" si="29"/>
        <v>15000</v>
      </c>
      <c r="AI26" s="38">
        <f t="shared" si="29"/>
        <v>15000</v>
      </c>
      <c r="AJ26" s="38">
        <f t="shared" si="29"/>
        <v>15000</v>
      </c>
      <c r="AK26" s="38">
        <f t="shared" si="29"/>
        <v>15000</v>
      </c>
      <c r="AL26" s="38">
        <f t="shared" si="29"/>
        <v>15000</v>
      </c>
      <c r="AM26" s="38">
        <f t="shared" si="29"/>
        <v>15000</v>
      </c>
      <c r="AN26" s="38">
        <f t="shared" si="29"/>
        <v>15000</v>
      </c>
      <c r="AO26" s="38">
        <f t="shared" si="29"/>
        <v>15000</v>
      </c>
      <c r="AP26" s="38">
        <f t="shared" si="29"/>
        <v>15000</v>
      </c>
      <c r="AQ26" s="38">
        <f t="shared" si="29"/>
        <v>15000</v>
      </c>
      <c r="AR26" s="38">
        <f t="shared" si="29"/>
        <v>15000</v>
      </c>
      <c r="AS26" s="38">
        <f t="shared" si="29"/>
        <v>15000</v>
      </c>
      <c r="AT26" s="38">
        <f t="shared" si="29"/>
        <v>15000</v>
      </c>
      <c r="AU26" s="38">
        <f t="shared" si="29"/>
        <v>15000</v>
      </c>
      <c r="AV26" s="38">
        <f t="shared" si="29"/>
        <v>15000</v>
      </c>
      <c r="AW26" s="38">
        <f t="shared" si="29"/>
        <v>15000</v>
      </c>
      <c r="AX26" s="38">
        <f t="shared" si="29"/>
        <v>15000</v>
      </c>
      <c r="AY26" s="38">
        <f t="shared" si="29"/>
        <v>15000</v>
      </c>
      <c r="AZ26" s="38">
        <f t="shared" si="29"/>
        <v>15000</v>
      </c>
      <c r="BA26" s="38">
        <f t="shared" si="29"/>
        <v>15000</v>
      </c>
      <c r="BB26" s="38">
        <f t="shared" si="29"/>
        <v>15000</v>
      </c>
      <c r="BC26" s="38">
        <f t="shared" si="29"/>
        <v>15000</v>
      </c>
      <c r="BD26" s="38">
        <f t="shared" si="29"/>
        <v>15000</v>
      </c>
      <c r="BE26" s="38">
        <f t="shared" si="29"/>
        <v>15000</v>
      </c>
      <c r="BF26" s="38">
        <f t="shared" si="29"/>
        <v>15000</v>
      </c>
      <c r="BG26" s="38">
        <f t="shared" si="29"/>
        <v>15000</v>
      </c>
      <c r="BH26" s="38">
        <f t="shared" si="29"/>
        <v>15000</v>
      </c>
      <c r="BI26" s="38">
        <f t="shared" si="29"/>
        <v>15000</v>
      </c>
      <c r="BJ26" s="38">
        <f t="shared" si="29"/>
        <v>15000</v>
      </c>
      <c r="BK26" s="38">
        <f t="shared" si="29"/>
        <v>15000</v>
      </c>
      <c r="BL26" s="38">
        <f t="shared" si="29"/>
        <v>15000</v>
      </c>
      <c r="BM26" s="38">
        <f t="shared" si="29"/>
        <v>15000</v>
      </c>
      <c r="BN26" s="38">
        <f t="shared" si="29"/>
        <v>15000</v>
      </c>
      <c r="BO26" s="38">
        <f t="shared" si="29"/>
        <v>15000</v>
      </c>
      <c r="BP26" s="38">
        <f t="shared" si="29"/>
        <v>15000</v>
      </c>
      <c r="BQ26" s="38">
        <f t="shared" si="29"/>
        <v>15000</v>
      </c>
      <c r="BR26" s="38">
        <f t="shared" si="29"/>
        <v>15000</v>
      </c>
      <c r="BS26" s="38">
        <f t="shared" si="29"/>
        <v>15000</v>
      </c>
      <c r="BT26" s="38">
        <f t="shared" si="29"/>
        <v>15000</v>
      </c>
      <c r="BU26" s="38">
        <f t="shared" si="29"/>
        <v>15000</v>
      </c>
      <c r="BV26" s="38">
        <f t="shared" si="29"/>
        <v>15000</v>
      </c>
      <c r="BW26" s="38">
        <f t="shared" si="29"/>
        <v>0</v>
      </c>
      <c r="BX26" s="38">
        <f t="shared" si="29"/>
        <v>0</v>
      </c>
      <c r="BY26" s="38">
        <f t="shared" si="29"/>
        <v>0</v>
      </c>
      <c r="BZ26" s="38">
        <f t="shared" si="29"/>
        <v>0</v>
      </c>
      <c r="CA26" s="38">
        <f t="shared" si="29"/>
        <v>0</v>
      </c>
      <c r="CB26" s="38">
        <f t="shared" si="29"/>
        <v>0</v>
      </c>
      <c r="CC26" s="38">
        <f t="shared" si="29"/>
        <v>0</v>
      </c>
      <c r="CD26" s="38">
        <f t="shared" si="29"/>
        <v>0</v>
      </c>
      <c r="CE26" s="38">
        <f t="shared" si="29"/>
        <v>0</v>
      </c>
      <c r="CF26" s="38">
        <f t="shared" si="29"/>
        <v>0</v>
      </c>
      <c r="CG26" s="38">
        <f t="shared" si="29"/>
        <v>0</v>
      </c>
      <c r="CH26" s="38">
        <f t="shared" si="29"/>
        <v>0</v>
      </c>
      <c r="CI26" s="38">
        <f t="shared" si="29"/>
        <v>0</v>
      </c>
      <c r="CJ26" s="38">
        <f t="shared" si="29"/>
        <v>0</v>
      </c>
      <c r="CK26" s="38">
        <f t="shared" si="29"/>
        <v>0</v>
      </c>
      <c r="CL26" s="38">
        <f t="shared" si="29"/>
        <v>0</v>
      </c>
      <c r="CM26" s="38">
        <f t="shared" si="29"/>
        <v>0</v>
      </c>
      <c r="CN26" s="38">
        <f t="shared" si="29"/>
        <v>0</v>
      </c>
      <c r="CO26" s="38">
        <f t="shared" si="29"/>
        <v>0</v>
      </c>
      <c r="CP26" s="38">
        <f t="shared" si="29"/>
        <v>0</v>
      </c>
      <c r="CQ26" s="38">
        <f t="shared" si="29"/>
        <v>0</v>
      </c>
      <c r="CR26" s="38">
        <f t="shared" si="29"/>
        <v>0</v>
      </c>
      <c r="CS26" s="38">
        <f t="shared" si="29"/>
        <v>0</v>
      </c>
      <c r="CT26" s="38">
        <f t="shared" si="29"/>
        <v>0</v>
      </c>
      <c r="CU26" s="38">
        <f t="shared" si="29"/>
        <v>0</v>
      </c>
      <c r="CV26" s="38">
        <f t="shared" si="29"/>
        <v>0</v>
      </c>
      <c r="CW26" s="38">
        <f t="shared" si="29"/>
        <v>0</v>
      </c>
      <c r="CX26" s="38">
        <f t="shared" si="29"/>
        <v>0</v>
      </c>
      <c r="CY26" s="38">
        <f t="shared" si="29"/>
        <v>0</v>
      </c>
      <c r="CZ26" s="38">
        <f t="shared" si="29"/>
        <v>0</v>
      </c>
      <c r="DA26" s="38">
        <f t="shared" si="29"/>
        <v>0</v>
      </c>
      <c r="DB26" s="38">
        <f t="shared" si="29"/>
        <v>0</v>
      </c>
      <c r="DC26" s="38">
        <f t="shared" si="29"/>
        <v>0</v>
      </c>
      <c r="DD26" s="38">
        <f t="shared" si="29"/>
        <v>0</v>
      </c>
      <c r="DE26" s="38">
        <f t="shared" si="29"/>
        <v>0</v>
      </c>
      <c r="DF26" s="38">
        <f t="shared" si="29"/>
        <v>0</v>
      </c>
      <c r="DG26" s="38">
        <f t="shared" si="29"/>
        <v>0</v>
      </c>
      <c r="DH26" s="38">
        <f t="shared" si="29"/>
        <v>0</v>
      </c>
      <c r="DI26" s="38">
        <f t="shared" si="29"/>
        <v>0</v>
      </c>
      <c r="DJ26" s="38">
        <f t="shared" si="29"/>
        <v>0</v>
      </c>
      <c r="DK26" s="38">
        <f t="shared" si="29"/>
        <v>0</v>
      </c>
      <c r="DL26" s="38">
        <f t="shared" si="29"/>
        <v>0</v>
      </c>
      <c r="DM26" s="38">
        <f t="shared" si="29"/>
        <v>0</v>
      </c>
      <c r="DN26" s="38">
        <f t="shared" si="29"/>
        <v>0</v>
      </c>
      <c r="DO26" s="38">
        <f t="shared" si="29"/>
        <v>0</v>
      </c>
      <c r="DP26" s="38">
        <f t="shared" si="29"/>
        <v>0</v>
      </c>
      <c r="DQ26" s="38">
        <f t="shared" si="29"/>
        <v>0</v>
      </c>
      <c r="DR26" s="38">
        <f t="shared" si="29"/>
        <v>0</v>
      </c>
      <c r="DS26" s="38">
        <f t="shared" si="29"/>
        <v>0</v>
      </c>
      <c r="DT26" s="38">
        <f t="shared" si="29"/>
        <v>0</v>
      </c>
      <c r="DU26" s="38">
        <f t="shared" si="29"/>
        <v>0</v>
      </c>
      <c r="DV26" s="38">
        <f t="shared" si="29"/>
        <v>0</v>
      </c>
      <c r="DW26" s="38">
        <f t="shared" si="29"/>
        <v>0</v>
      </c>
      <c r="DX26" s="38">
        <f t="shared" si="29"/>
        <v>0</v>
      </c>
      <c r="DY26" s="38">
        <f t="shared" si="29"/>
        <v>0</v>
      </c>
      <c r="DZ26" s="38">
        <f t="shared" si="29"/>
        <v>0</v>
      </c>
      <c r="EA26" s="38">
        <f t="shared" si="29"/>
        <v>0</v>
      </c>
      <c r="EB26" s="38">
        <f t="shared" si="29"/>
        <v>0</v>
      </c>
      <c r="EC26" s="38">
        <f t="shared" si="29"/>
        <v>0</v>
      </c>
      <c r="ED26" s="38">
        <f t="shared" si="29"/>
        <v>0</v>
      </c>
    </row>
    <row r="27" spans="2:134" ht="13" x14ac:dyDescent="0.3">
      <c r="B27" s="38" t="s">
        <v>199</v>
      </c>
      <c r="C27" s="53"/>
      <c r="D27" s="67">
        <f t="shared" ref="D27:H27" si="30">SUMIFS($O27:$BV27,$O$4:$BV$4,D$3)</f>
        <v>-14221.875</v>
      </c>
      <c r="E27" s="67">
        <f t="shared" si="30"/>
        <v>-10170</v>
      </c>
      <c r="F27" s="67">
        <f t="shared" si="30"/>
        <v>-10170</v>
      </c>
      <c r="G27" s="67">
        <f t="shared" si="30"/>
        <v>-10170</v>
      </c>
      <c r="H27" s="67">
        <f t="shared" si="30"/>
        <v>-10170</v>
      </c>
      <c r="I27" s="67">
        <f t="shared" ref="I27:M27" si="31">SUMIFS($O27:$ED27,$O$4:$ED$4,I$3)</f>
        <v>0</v>
      </c>
      <c r="J27" s="67">
        <f t="shared" si="31"/>
        <v>0</v>
      </c>
      <c r="K27" s="67">
        <f t="shared" si="31"/>
        <v>0</v>
      </c>
      <c r="L27" s="67">
        <f t="shared" si="31"/>
        <v>0</v>
      </c>
      <c r="M27" s="67">
        <f t="shared" si="31"/>
        <v>0</v>
      </c>
      <c r="N27" s="53"/>
      <c r="O27" s="67">
        <f t="shared" ref="O27:ED27" si="32">(SUM(O19,O24)*-5.65%)+(SUM(O21,O22,O20,O23)*-11.25%)</f>
        <v>-2709.6750000000002</v>
      </c>
      <c r="P27" s="67">
        <f t="shared" si="32"/>
        <v>-3037.2000000000003</v>
      </c>
      <c r="Q27" s="67">
        <f t="shared" si="32"/>
        <v>-847.5</v>
      </c>
      <c r="R27" s="67">
        <f t="shared" si="32"/>
        <v>-847.5</v>
      </c>
      <c r="S27" s="67">
        <f t="shared" si="32"/>
        <v>-847.5</v>
      </c>
      <c r="T27" s="67">
        <f t="shared" si="32"/>
        <v>-847.5</v>
      </c>
      <c r="U27" s="67">
        <f t="shared" si="32"/>
        <v>-847.5</v>
      </c>
      <c r="V27" s="67">
        <f t="shared" si="32"/>
        <v>-847.5</v>
      </c>
      <c r="W27" s="67">
        <f t="shared" si="32"/>
        <v>-847.5</v>
      </c>
      <c r="X27" s="67">
        <f t="shared" si="32"/>
        <v>-847.5</v>
      </c>
      <c r="Y27" s="67">
        <f t="shared" si="32"/>
        <v>-847.5</v>
      </c>
      <c r="Z27" s="67">
        <f t="shared" si="32"/>
        <v>-847.5</v>
      </c>
      <c r="AA27" s="67">
        <f t="shared" si="32"/>
        <v>-847.5</v>
      </c>
      <c r="AB27" s="67">
        <f t="shared" si="32"/>
        <v>-847.5</v>
      </c>
      <c r="AC27" s="67">
        <f t="shared" si="32"/>
        <v>-847.5</v>
      </c>
      <c r="AD27" s="67">
        <f t="shared" si="32"/>
        <v>-847.5</v>
      </c>
      <c r="AE27" s="67">
        <f t="shared" si="32"/>
        <v>-847.5</v>
      </c>
      <c r="AF27" s="67">
        <f t="shared" si="32"/>
        <v>-847.5</v>
      </c>
      <c r="AG27" s="67">
        <f t="shared" si="32"/>
        <v>-847.5</v>
      </c>
      <c r="AH27" s="67">
        <f t="shared" si="32"/>
        <v>-847.5</v>
      </c>
      <c r="AI27" s="67">
        <f t="shared" si="32"/>
        <v>-847.5</v>
      </c>
      <c r="AJ27" s="67">
        <f t="shared" si="32"/>
        <v>-847.5</v>
      </c>
      <c r="AK27" s="67">
        <f t="shared" si="32"/>
        <v>-847.5</v>
      </c>
      <c r="AL27" s="67">
        <f t="shared" si="32"/>
        <v>-847.5</v>
      </c>
      <c r="AM27" s="67">
        <f t="shared" si="32"/>
        <v>-847.5</v>
      </c>
      <c r="AN27" s="67">
        <f t="shared" si="32"/>
        <v>-847.5</v>
      </c>
      <c r="AO27" s="67">
        <f t="shared" si="32"/>
        <v>-847.5</v>
      </c>
      <c r="AP27" s="67">
        <f t="shared" si="32"/>
        <v>-847.5</v>
      </c>
      <c r="AQ27" s="67">
        <f t="shared" si="32"/>
        <v>-847.5</v>
      </c>
      <c r="AR27" s="67">
        <f t="shared" si="32"/>
        <v>-847.5</v>
      </c>
      <c r="AS27" s="67">
        <f t="shared" si="32"/>
        <v>-847.5</v>
      </c>
      <c r="AT27" s="67">
        <f t="shared" si="32"/>
        <v>-847.5</v>
      </c>
      <c r="AU27" s="67">
        <f t="shared" si="32"/>
        <v>-847.5</v>
      </c>
      <c r="AV27" s="67">
        <f t="shared" si="32"/>
        <v>-847.5</v>
      </c>
      <c r="AW27" s="67">
        <f t="shared" si="32"/>
        <v>-847.5</v>
      </c>
      <c r="AX27" s="67">
        <f t="shared" si="32"/>
        <v>-847.5</v>
      </c>
      <c r="AY27" s="67">
        <f t="shared" si="32"/>
        <v>-847.5</v>
      </c>
      <c r="AZ27" s="67">
        <f t="shared" si="32"/>
        <v>-847.5</v>
      </c>
      <c r="BA27" s="67">
        <f t="shared" si="32"/>
        <v>-847.5</v>
      </c>
      <c r="BB27" s="67">
        <f t="shared" si="32"/>
        <v>-847.5</v>
      </c>
      <c r="BC27" s="67">
        <f t="shared" si="32"/>
        <v>-847.5</v>
      </c>
      <c r="BD27" s="67">
        <f t="shared" si="32"/>
        <v>-847.5</v>
      </c>
      <c r="BE27" s="67">
        <f t="shared" si="32"/>
        <v>-847.5</v>
      </c>
      <c r="BF27" s="67">
        <f t="shared" si="32"/>
        <v>-847.5</v>
      </c>
      <c r="BG27" s="67">
        <f t="shared" si="32"/>
        <v>-847.5</v>
      </c>
      <c r="BH27" s="67">
        <f t="shared" si="32"/>
        <v>-847.5</v>
      </c>
      <c r="BI27" s="67">
        <f t="shared" si="32"/>
        <v>-847.5</v>
      </c>
      <c r="BJ27" s="67">
        <f t="shared" si="32"/>
        <v>-847.5</v>
      </c>
      <c r="BK27" s="67">
        <f t="shared" si="32"/>
        <v>-847.5</v>
      </c>
      <c r="BL27" s="67">
        <f t="shared" si="32"/>
        <v>-847.5</v>
      </c>
      <c r="BM27" s="67">
        <f t="shared" si="32"/>
        <v>-847.5</v>
      </c>
      <c r="BN27" s="67">
        <f t="shared" si="32"/>
        <v>-847.5</v>
      </c>
      <c r="BO27" s="67">
        <f t="shared" si="32"/>
        <v>-847.5</v>
      </c>
      <c r="BP27" s="67">
        <f t="shared" si="32"/>
        <v>-847.5</v>
      </c>
      <c r="BQ27" s="67">
        <f t="shared" si="32"/>
        <v>-847.5</v>
      </c>
      <c r="BR27" s="67">
        <f t="shared" si="32"/>
        <v>-847.5</v>
      </c>
      <c r="BS27" s="67">
        <f t="shared" si="32"/>
        <v>-847.5</v>
      </c>
      <c r="BT27" s="67">
        <f t="shared" si="32"/>
        <v>-847.5</v>
      </c>
      <c r="BU27" s="67">
        <f t="shared" si="32"/>
        <v>-847.5</v>
      </c>
      <c r="BV27" s="67">
        <f t="shared" si="32"/>
        <v>-847.5</v>
      </c>
      <c r="BW27" s="67">
        <f t="shared" si="32"/>
        <v>0</v>
      </c>
      <c r="BX27" s="67">
        <f t="shared" si="32"/>
        <v>0</v>
      </c>
      <c r="BY27" s="67">
        <f t="shared" si="32"/>
        <v>0</v>
      </c>
      <c r="BZ27" s="67">
        <f t="shared" si="32"/>
        <v>0</v>
      </c>
      <c r="CA27" s="67">
        <f t="shared" si="32"/>
        <v>0</v>
      </c>
      <c r="CB27" s="67">
        <f t="shared" si="32"/>
        <v>0</v>
      </c>
      <c r="CC27" s="67">
        <f t="shared" si="32"/>
        <v>0</v>
      </c>
      <c r="CD27" s="67">
        <f t="shared" si="32"/>
        <v>0</v>
      </c>
      <c r="CE27" s="67">
        <f t="shared" si="32"/>
        <v>0</v>
      </c>
      <c r="CF27" s="67">
        <f t="shared" si="32"/>
        <v>0</v>
      </c>
      <c r="CG27" s="67">
        <f t="shared" si="32"/>
        <v>0</v>
      </c>
      <c r="CH27" s="67">
        <f t="shared" si="32"/>
        <v>0</v>
      </c>
      <c r="CI27" s="67">
        <f t="shared" si="32"/>
        <v>0</v>
      </c>
      <c r="CJ27" s="67">
        <f t="shared" si="32"/>
        <v>0</v>
      </c>
      <c r="CK27" s="67">
        <f t="shared" si="32"/>
        <v>0</v>
      </c>
      <c r="CL27" s="67">
        <f t="shared" si="32"/>
        <v>0</v>
      </c>
      <c r="CM27" s="67">
        <f t="shared" si="32"/>
        <v>0</v>
      </c>
      <c r="CN27" s="67">
        <f t="shared" si="32"/>
        <v>0</v>
      </c>
      <c r="CO27" s="67">
        <f t="shared" si="32"/>
        <v>0</v>
      </c>
      <c r="CP27" s="67">
        <f t="shared" si="32"/>
        <v>0</v>
      </c>
      <c r="CQ27" s="67">
        <f t="shared" si="32"/>
        <v>0</v>
      </c>
      <c r="CR27" s="67">
        <f t="shared" si="32"/>
        <v>0</v>
      </c>
      <c r="CS27" s="67">
        <f t="shared" si="32"/>
        <v>0</v>
      </c>
      <c r="CT27" s="67">
        <f t="shared" si="32"/>
        <v>0</v>
      </c>
      <c r="CU27" s="67">
        <f t="shared" si="32"/>
        <v>0</v>
      </c>
      <c r="CV27" s="67">
        <f t="shared" si="32"/>
        <v>0</v>
      </c>
      <c r="CW27" s="67">
        <f t="shared" si="32"/>
        <v>0</v>
      </c>
      <c r="CX27" s="67">
        <f t="shared" si="32"/>
        <v>0</v>
      </c>
      <c r="CY27" s="67">
        <f t="shared" si="32"/>
        <v>0</v>
      </c>
      <c r="CZ27" s="67">
        <f t="shared" si="32"/>
        <v>0</v>
      </c>
      <c r="DA27" s="67">
        <f t="shared" si="32"/>
        <v>0</v>
      </c>
      <c r="DB27" s="67">
        <f t="shared" si="32"/>
        <v>0</v>
      </c>
      <c r="DC27" s="67">
        <f t="shared" si="32"/>
        <v>0</v>
      </c>
      <c r="DD27" s="67">
        <f t="shared" si="32"/>
        <v>0</v>
      </c>
      <c r="DE27" s="67">
        <f t="shared" si="32"/>
        <v>0</v>
      </c>
      <c r="DF27" s="67">
        <f t="shared" si="32"/>
        <v>0</v>
      </c>
      <c r="DG27" s="67">
        <f t="shared" si="32"/>
        <v>0</v>
      </c>
      <c r="DH27" s="67">
        <f t="shared" si="32"/>
        <v>0</v>
      </c>
      <c r="DI27" s="67">
        <f t="shared" si="32"/>
        <v>0</v>
      </c>
      <c r="DJ27" s="67">
        <f t="shared" si="32"/>
        <v>0</v>
      </c>
      <c r="DK27" s="67">
        <f t="shared" si="32"/>
        <v>0</v>
      </c>
      <c r="DL27" s="67">
        <f t="shared" si="32"/>
        <v>0</v>
      </c>
      <c r="DM27" s="67">
        <f t="shared" si="32"/>
        <v>0</v>
      </c>
      <c r="DN27" s="67">
        <f t="shared" si="32"/>
        <v>0</v>
      </c>
      <c r="DO27" s="67">
        <f t="shared" si="32"/>
        <v>0</v>
      </c>
      <c r="DP27" s="67">
        <f t="shared" si="32"/>
        <v>0</v>
      </c>
      <c r="DQ27" s="67">
        <f t="shared" si="32"/>
        <v>0</v>
      </c>
      <c r="DR27" s="67">
        <f t="shared" si="32"/>
        <v>0</v>
      </c>
      <c r="DS27" s="67">
        <f t="shared" si="32"/>
        <v>0</v>
      </c>
      <c r="DT27" s="67">
        <f t="shared" si="32"/>
        <v>0</v>
      </c>
      <c r="DU27" s="67">
        <f t="shared" si="32"/>
        <v>0</v>
      </c>
      <c r="DV27" s="67">
        <f t="shared" si="32"/>
        <v>0</v>
      </c>
      <c r="DW27" s="67">
        <f t="shared" si="32"/>
        <v>0</v>
      </c>
      <c r="DX27" s="67">
        <f t="shared" si="32"/>
        <v>0</v>
      </c>
      <c r="DY27" s="67">
        <f t="shared" si="32"/>
        <v>0</v>
      </c>
      <c r="DZ27" s="67">
        <f t="shared" si="32"/>
        <v>0</v>
      </c>
      <c r="EA27" s="67">
        <f t="shared" si="32"/>
        <v>0</v>
      </c>
      <c r="EB27" s="67">
        <f t="shared" si="32"/>
        <v>0</v>
      </c>
      <c r="EC27" s="67">
        <f t="shared" si="32"/>
        <v>0</v>
      </c>
      <c r="ED27" s="67">
        <f t="shared" si="32"/>
        <v>0</v>
      </c>
    </row>
    <row r="28" spans="2:134" ht="12.5" x14ac:dyDescent="0.25">
      <c r="C28" s="53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53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</row>
    <row r="29" spans="2:134" ht="13" x14ac:dyDescent="0.3">
      <c r="B29" s="38" t="s">
        <v>200</v>
      </c>
      <c r="C29" s="53"/>
      <c r="D29" s="67">
        <f t="shared" ref="D29:H29" si="33">SUMIFS($O29:$BV29,$O$4:$BV$4,D$3)</f>
        <v>194328.125</v>
      </c>
      <c r="E29" s="67">
        <f t="shared" si="33"/>
        <v>169830</v>
      </c>
      <c r="F29" s="67">
        <f t="shared" si="33"/>
        <v>169830</v>
      </c>
      <c r="G29" s="67">
        <f t="shared" si="33"/>
        <v>169830</v>
      </c>
      <c r="H29" s="67">
        <f t="shared" si="33"/>
        <v>169830</v>
      </c>
      <c r="I29" s="67">
        <f t="shared" ref="I29:M29" si="34">SUMIFS($O29:$ED29,$O$4:$ED$4,I$3)</f>
        <v>0</v>
      </c>
      <c r="J29" s="67">
        <f t="shared" si="34"/>
        <v>0</v>
      </c>
      <c r="K29" s="67">
        <f t="shared" si="34"/>
        <v>0</v>
      </c>
      <c r="L29" s="67">
        <f t="shared" si="34"/>
        <v>0</v>
      </c>
      <c r="M29" s="67">
        <f t="shared" si="34"/>
        <v>0</v>
      </c>
      <c r="N29" s="53"/>
      <c r="O29" s="67">
        <f t="shared" ref="O29:ED29" si="35">O26+O27</f>
        <v>21376.325000000001</v>
      </c>
      <c r="P29" s="67">
        <f t="shared" si="35"/>
        <v>31426.799999999999</v>
      </c>
      <c r="Q29" s="67">
        <f t="shared" si="35"/>
        <v>14152.5</v>
      </c>
      <c r="R29" s="67">
        <f t="shared" si="35"/>
        <v>14152.5</v>
      </c>
      <c r="S29" s="67">
        <f t="shared" si="35"/>
        <v>14152.5</v>
      </c>
      <c r="T29" s="67">
        <f t="shared" si="35"/>
        <v>14152.5</v>
      </c>
      <c r="U29" s="67">
        <f t="shared" si="35"/>
        <v>14152.5</v>
      </c>
      <c r="V29" s="67">
        <f t="shared" si="35"/>
        <v>14152.5</v>
      </c>
      <c r="W29" s="67">
        <f t="shared" si="35"/>
        <v>14152.5</v>
      </c>
      <c r="X29" s="67">
        <f t="shared" si="35"/>
        <v>14152.5</v>
      </c>
      <c r="Y29" s="67">
        <f t="shared" si="35"/>
        <v>14152.5</v>
      </c>
      <c r="Z29" s="67">
        <f t="shared" si="35"/>
        <v>14152.5</v>
      </c>
      <c r="AA29" s="67">
        <f t="shared" si="35"/>
        <v>14152.5</v>
      </c>
      <c r="AB29" s="67">
        <f t="shared" si="35"/>
        <v>14152.5</v>
      </c>
      <c r="AC29" s="67">
        <f t="shared" si="35"/>
        <v>14152.5</v>
      </c>
      <c r="AD29" s="67">
        <f t="shared" si="35"/>
        <v>14152.5</v>
      </c>
      <c r="AE29" s="67">
        <f t="shared" si="35"/>
        <v>14152.5</v>
      </c>
      <c r="AF29" s="67">
        <f t="shared" si="35"/>
        <v>14152.5</v>
      </c>
      <c r="AG29" s="67">
        <f t="shared" si="35"/>
        <v>14152.5</v>
      </c>
      <c r="AH29" s="67">
        <f t="shared" si="35"/>
        <v>14152.5</v>
      </c>
      <c r="AI29" s="67">
        <f t="shared" si="35"/>
        <v>14152.5</v>
      </c>
      <c r="AJ29" s="67">
        <f t="shared" si="35"/>
        <v>14152.5</v>
      </c>
      <c r="AK29" s="67">
        <f t="shared" si="35"/>
        <v>14152.5</v>
      </c>
      <c r="AL29" s="67">
        <f t="shared" si="35"/>
        <v>14152.5</v>
      </c>
      <c r="AM29" s="67">
        <f t="shared" si="35"/>
        <v>14152.5</v>
      </c>
      <c r="AN29" s="67">
        <f t="shared" si="35"/>
        <v>14152.5</v>
      </c>
      <c r="AO29" s="67">
        <f t="shared" si="35"/>
        <v>14152.5</v>
      </c>
      <c r="AP29" s="67">
        <f t="shared" si="35"/>
        <v>14152.5</v>
      </c>
      <c r="AQ29" s="67">
        <f t="shared" si="35"/>
        <v>14152.5</v>
      </c>
      <c r="AR29" s="67">
        <f t="shared" si="35"/>
        <v>14152.5</v>
      </c>
      <c r="AS29" s="67">
        <f t="shared" si="35"/>
        <v>14152.5</v>
      </c>
      <c r="AT29" s="67">
        <f t="shared" si="35"/>
        <v>14152.5</v>
      </c>
      <c r="AU29" s="67">
        <f t="shared" si="35"/>
        <v>14152.5</v>
      </c>
      <c r="AV29" s="67">
        <f t="shared" si="35"/>
        <v>14152.5</v>
      </c>
      <c r="AW29" s="67">
        <f t="shared" si="35"/>
        <v>14152.5</v>
      </c>
      <c r="AX29" s="67">
        <f t="shared" si="35"/>
        <v>14152.5</v>
      </c>
      <c r="AY29" s="67">
        <f t="shared" si="35"/>
        <v>14152.5</v>
      </c>
      <c r="AZ29" s="67">
        <f t="shared" si="35"/>
        <v>14152.5</v>
      </c>
      <c r="BA29" s="67">
        <f t="shared" si="35"/>
        <v>14152.5</v>
      </c>
      <c r="BB29" s="67">
        <f t="shared" si="35"/>
        <v>14152.5</v>
      </c>
      <c r="BC29" s="67">
        <f t="shared" si="35"/>
        <v>14152.5</v>
      </c>
      <c r="BD29" s="67">
        <f t="shared" si="35"/>
        <v>14152.5</v>
      </c>
      <c r="BE29" s="67">
        <f t="shared" si="35"/>
        <v>14152.5</v>
      </c>
      <c r="BF29" s="67">
        <f t="shared" si="35"/>
        <v>14152.5</v>
      </c>
      <c r="BG29" s="67">
        <f t="shared" si="35"/>
        <v>14152.5</v>
      </c>
      <c r="BH29" s="67">
        <f t="shared" si="35"/>
        <v>14152.5</v>
      </c>
      <c r="BI29" s="67">
        <f t="shared" si="35"/>
        <v>14152.5</v>
      </c>
      <c r="BJ29" s="67">
        <f t="shared" si="35"/>
        <v>14152.5</v>
      </c>
      <c r="BK29" s="67">
        <f t="shared" si="35"/>
        <v>14152.5</v>
      </c>
      <c r="BL29" s="67">
        <f t="shared" si="35"/>
        <v>14152.5</v>
      </c>
      <c r="BM29" s="67">
        <f t="shared" si="35"/>
        <v>14152.5</v>
      </c>
      <c r="BN29" s="67">
        <f t="shared" si="35"/>
        <v>14152.5</v>
      </c>
      <c r="BO29" s="67">
        <f t="shared" si="35"/>
        <v>14152.5</v>
      </c>
      <c r="BP29" s="67">
        <f t="shared" si="35"/>
        <v>14152.5</v>
      </c>
      <c r="BQ29" s="67">
        <f t="shared" si="35"/>
        <v>14152.5</v>
      </c>
      <c r="BR29" s="67">
        <f t="shared" si="35"/>
        <v>14152.5</v>
      </c>
      <c r="BS29" s="67">
        <f t="shared" si="35"/>
        <v>14152.5</v>
      </c>
      <c r="BT29" s="67">
        <f t="shared" si="35"/>
        <v>14152.5</v>
      </c>
      <c r="BU29" s="67">
        <f t="shared" si="35"/>
        <v>14152.5</v>
      </c>
      <c r="BV29" s="67">
        <f t="shared" si="35"/>
        <v>14152.5</v>
      </c>
      <c r="BW29" s="67">
        <f t="shared" si="35"/>
        <v>0</v>
      </c>
      <c r="BX29" s="67">
        <f t="shared" si="35"/>
        <v>0</v>
      </c>
      <c r="BY29" s="67">
        <f t="shared" si="35"/>
        <v>0</v>
      </c>
      <c r="BZ29" s="67">
        <f t="shared" si="35"/>
        <v>0</v>
      </c>
      <c r="CA29" s="67">
        <f t="shared" si="35"/>
        <v>0</v>
      </c>
      <c r="CB29" s="67">
        <f t="shared" si="35"/>
        <v>0</v>
      </c>
      <c r="CC29" s="67">
        <f t="shared" si="35"/>
        <v>0</v>
      </c>
      <c r="CD29" s="67">
        <f t="shared" si="35"/>
        <v>0</v>
      </c>
      <c r="CE29" s="67">
        <f t="shared" si="35"/>
        <v>0</v>
      </c>
      <c r="CF29" s="67">
        <f t="shared" si="35"/>
        <v>0</v>
      </c>
      <c r="CG29" s="67">
        <f t="shared" si="35"/>
        <v>0</v>
      </c>
      <c r="CH29" s="67">
        <f t="shared" si="35"/>
        <v>0</v>
      </c>
      <c r="CI29" s="67">
        <f t="shared" si="35"/>
        <v>0</v>
      </c>
      <c r="CJ29" s="67">
        <f t="shared" si="35"/>
        <v>0</v>
      </c>
      <c r="CK29" s="67">
        <f t="shared" si="35"/>
        <v>0</v>
      </c>
      <c r="CL29" s="67">
        <f t="shared" si="35"/>
        <v>0</v>
      </c>
      <c r="CM29" s="67">
        <f t="shared" si="35"/>
        <v>0</v>
      </c>
      <c r="CN29" s="67">
        <f t="shared" si="35"/>
        <v>0</v>
      </c>
      <c r="CO29" s="67">
        <f t="shared" si="35"/>
        <v>0</v>
      </c>
      <c r="CP29" s="67">
        <f t="shared" si="35"/>
        <v>0</v>
      </c>
      <c r="CQ29" s="67">
        <f t="shared" si="35"/>
        <v>0</v>
      </c>
      <c r="CR29" s="67">
        <f t="shared" si="35"/>
        <v>0</v>
      </c>
      <c r="CS29" s="67">
        <f t="shared" si="35"/>
        <v>0</v>
      </c>
      <c r="CT29" s="67">
        <f t="shared" si="35"/>
        <v>0</v>
      </c>
      <c r="CU29" s="67">
        <f t="shared" si="35"/>
        <v>0</v>
      </c>
      <c r="CV29" s="67">
        <f t="shared" si="35"/>
        <v>0</v>
      </c>
      <c r="CW29" s="67">
        <f t="shared" si="35"/>
        <v>0</v>
      </c>
      <c r="CX29" s="67">
        <f t="shared" si="35"/>
        <v>0</v>
      </c>
      <c r="CY29" s="67">
        <f t="shared" si="35"/>
        <v>0</v>
      </c>
      <c r="CZ29" s="67">
        <f t="shared" si="35"/>
        <v>0</v>
      </c>
      <c r="DA29" s="67">
        <f t="shared" si="35"/>
        <v>0</v>
      </c>
      <c r="DB29" s="67">
        <f t="shared" si="35"/>
        <v>0</v>
      </c>
      <c r="DC29" s="67">
        <f t="shared" si="35"/>
        <v>0</v>
      </c>
      <c r="DD29" s="67">
        <f t="shared" si="35"/>
        <v>0</v>
      </c>
      <c r="DE29" s="67">
        <f t="shared" si="35"/>
        <v>0</v>
      </c>
      <c r="DF29" s="67">
        <f t="shared" si="35"/>
        <v>0</v>
      </c>
      <c r="DG29" s="67">
        <f t="shared" si="35"/>
        <v>0</v>
      </c>
      <c r="DH29" s="67">
        <f t="shared" si="35"/>
        <v>0</v>
      </c>
      <c r="DI29" s="67">
        <f t="shared" si="35"/>
        <v>0</v>
      </c>
      <c r="DJ29" s="67">
        <f t="shared" si="35"/>
        <v>0</v>
      </c>
      <c r="DK29" s="67">
        <f t="shared" si="35"/>
        <v>0</v>
      </c>
      <c r="DL29" s="67">
        <f t="shared" si="35"/>
        <v>0</v>
      </c>
      <c r="DM29" s="67">
        <f t="shared" si="35"/>
        <v>0</v>
      </c>
      <c r="DN29" s="67">
        <f t="shared" si="35"/>
        <v>0</v>
      </c>
      <c r="DO29" s="67">
        <f t="shared" si="35"/>
        <v>0</v>
      </c>
      <c r="DP29" s="67">
        <f t="shared" si="35"/>
        <v>0</v>
      </c>
      <c r="DQ29" s="67">
        <f t="shared" si="35"/>
        <v>0</v>
      </c>
      <c r="DR29" s="67">
        <f t="shared" si="35"/>
        <v>0</v>
      </c>
      <c r="DS29" s="67">
        <f t="shared" si="35"/>
        <v>0</v>
      </c>
      <c r="DT29" s="67">
        <f t="shared" si="35"/>
        <v>0</v>
      </c>
      <c r="DU29" s="67">
        <f t="shared" si="35"/>
        <v>0</v>
      </c>
      <c r="DV29" s="67">
        <f t="shared" si="35"/>
        <v>0</v>
      </c>
      <c r="DW29" s="67">
        <f t="shared" si="35"/>
        <v>0</v>
      </c>
      <c r="DX29" s="67">
        <f t="shared" si="35"/>
        <v>0</v>
      </c>
      <c r="DY29" s="67">
        <f t="shared" si="35"/>
        <v>0</v>
      </c>
      <c r="DZ29" s="67">
        <f t="shared" si="35"/>
        <v>0</v>
      </c>
      <c r="EA29" s="67">
        <f t="shared" si="35"/>
        <v>0</v>
      </c>
      <c r="EB29" s="67">
        <f t="shared" si="35"/>
        <v>0</v>
      </c>
      <c r="EC29" s="67">
        <f t="shared" si="35"/>
        <v>0</v>
      </c>
      <c r="ED29" s="67">
        <f t="shared" si="35"/>
        <v>0</v>
      </c>
    </row>
    <row r="30" spans="2:134" ht="12.5" x14ac:dyDescent="0.25">
      <c r="C30" s="53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53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</row>
    <row r="31" spans="2:134" ht="13" x14ac:dyDescent="0.3">
      <c r="B31" s="38" t="s">
        <v>201</v>
      </c>
      <c r="C31" s="53"/>
      <c r="D31" s="67">
        <f t="shared" ref="D31:M31" si="36">SUM(D32:D36)</f>
        <v>-94682.75</v>
      </c>
      <c r="E31" s="67">
        <f t="shared" si="36"/>
        <v>-39650</v>
      </c>
      <c r="F31" s="67">
        <f t="shared" si="36"/>
        <v>-39650</v>
      </c>
      <c r="G31" s="67">
        <f t="shared" si="36"/>
        <v>-39650</v>
      </c>
      <c r="H31" s="67">
        <f t="shared" si="36"/>
        <v>-39650</v>
      </c>
      <c r="I31" s="67">
        <f t="shared" si="36"/>
        <v>0</v>
      </c>
      <c r="J31" s="67">
        <f t="shared" si="36"/>
        <v>0</v>
      </c>
      <c r="K31" s="67">
        <f t="shared" si="36"/>
        <v>0</v>
      </c>
      <c r="L31" s="67">
        <f t="shared" si="36"/>
        <v>0</v>
      </c>
      <c r="M31" s="67">
        <f t="shared" si="36"/>
        <v>0</v>
      </c>
      <c r="N31" s="53"/>
      <c r="O31" s="67">
        <f t="shared" ref="O31:ED31" si="37">SUM(O32:O36)</f>
        <v>-31159.916666666668</v>
      </c>
      <c r="P31" s="67">
        <f t="shared" si="37"/>
        <v>-30481.166666666668</v>
      </c>
      <c r="Q31" s="67">
        <f t="shared" si="37"/>
        <v>-3304.166666666667</v>
      </c>
      <c r="R31" s="67">
        <f t="shared" si="37"/>
        <v>-3304.166666666667</v>
      </c>
      <c r="S31" s="67">
        <f t="shared" si="37"/>
        <v>-3304.166666666667</v>
      </c>
      <c r="T31" s="67">
        <f t="shared" si="37"/>
        <v>-3304.166666666667</v>
      </c>
      <c r="U31" s="67">
        <f t="shared" si="37"/>
        <v>-3304.166666666667</v>
      </c>
      <c r="V31" s="67">
        <f t="shared" si="37"/>
        <v>-3304.166666666667</v>
      </c>
      <c r="W31" s="67">
        <f t="shared" si="37"/>
        <v>-3304.166666666667</v>
      </c>
      <c r="X31" s="67">
        <f t="shared" si="37"/>
        <v>-3304.166666666667</v>
      </c>
      <c r="Y31" s="67">
        <f t="shared" si="37"/>
        <v>-3304.166666666667</v>
      </c>
      <c r="Z31" s="67">
        <f t="shared" si="37"/>
        <v>-3304.166666666667</v>
      </c>
      <c r="AA31" s="67">
        <f t="shared" si="37"/>
        <v>-3304.166666666667</v>
      </c>
      <c r="AB31" s="67">
        <f t="shared" si="37"/>
        <v>-3304.166666666667</v>
      </c>
      <c r="AC31" s="67">
        <f t="shared" si="37"/>
        <v>-3304.166666666667</v>
      </c>
      <c r="AD31" s="67">
        <f t="shared" si="37"/>
        <v>-3304.166666666667</v>
      </c>
      <c r="AE31" s="67">
        <f t="shared" si="37"/>
        <v>-3304.166666666667</v>
      </c>
      <c r="AF31" s="67">
        <f t="shared" si="37"/>
        <v>-3304.166666666667</v>
      </c>
      <c r="AG31" s="67">
        <f t="shared" si="37"/>
        <v>-3304.166666666667</v>
      </c>
      <c r="AH31" s="67">
        <f t="shared" si="37"/>
        <v>-3304.166666666667</v>
      </c>
      <c r="AI31" s="67">
        <f t="shared" si="37"/>
        <v>-3304.166666666667</v>
      </c>
      <c r="AJ31" s="67">
        <f t="shared" si="37"/>
        <v>-3304.166666666667</v>
      </c>
      <c r="AK31" s="67">
        <f t="shared" si="37"/>
        <v>-3304.166666666667</v>
      </c>
      <c r="AL31" s="67">
        <f t="shared" si="37"/>
        <v>-3304.166666666667</v>
      </c>
      <c r="AM31" s="67">
        <f t="shared" si="37"/>
        <v>-3304.166666666667</v>
      </c>
      <c r="AN31" s="67">
        <f t="shared" si="37"/>
        <v>-3304.166666666667</v>
      </c>
      <c r="AO31" s="67">
        <f t="shared" si="37"/>
        <v>-3304.166666666667</v>
      </c>
      <c r="AP31" s="67">
        <f t="shared" si="37"/>
        <v>-3304.166666666667</v>
      </c>
      <c r="AQ31" s="67">
        <f t="shared" si="37"/>
        <v>-3304.166666666667</v>
      </c>
      <c r="AR31" s="67">
        <f t="shared" si="37"/>
        <v>-3304.166666666667</v>
      </c>
      <c r="AS31" s="67">
        <f t="shared" si="37"/>
        <v>-3304.166666666667</v>
      </c>
      <c r="AT31" s="67">
        <f t="shared" si="37"/>
        <v>-3304.166666666667</v>
      </c>
      <c r="AU31" s="67">
        <f t="shared" si="37"/>
        <v>-3304.166666666667</v>
      </c>
      <c r="AV31" s="67">
        <f t="shared" si="37"/>
        <v>-3304.166666666667</v>
      </c>
      <c r="AW31" s="67">
        <f t="shared" si="37"/>
        <v>-3304.166666666667</v>
      </c>
      <c r="AX31" s="67">
        <f t="shared" si="37"/>
        <v>-3304.166666666667</v>
      </c>
      <c r="AY31" s="67">
        <f t="shared" si="37"/>
        <v>-3304.166666666667</v>
      </c>
      <c r="AZ31" s="67">
        <f t="shared" si="37"/>
        <v>-3304.166666666667</v>
      </c>
      <c r="BA31" s="67">
        <f t="shared" si="37"/>
        <v>-3304.166666666667</v>
      </c>
      <c r="BB31" s="67">
        <f t="shared" si="37"/>
        <v>-3304.166666666667</v>
      </c>
      <c r="BC31" s="67">
        <f t="shared" si="37"/>
        <v>-3304.166666666667</v>
      </c>
      <c r="BD31" s="67">
        <f t="shared" si="37"/>
        <v>-3304.166666666667</v>
      </c>
      <c r="BE31" s="67">
        <f t="shared" si="37"/>
        <v>-3304.166666666667</v>
      </c>
      <c r="BF31" s="67">
        <f t="shared" si="37"/>
        <v>-3304.166666666667</v>
      </c>
      <c r="BG31" s="67">
        <f t="shared" si="37"/>
        <v>-3304.166666666667</v>
      </c>
      <c r="BH31" s="67">
        <f t="shared" si="37"/>
        <v>-3304.166666666667</v>
      </c>
      <c r="BI31" s="67">
        <f t="shared" si="37"/>
        <v>-3304.166666666667</v>
      </c>
      <c r="BJ31" s="67">
        <f t="shared" si="37"/>
        <v>-3304.166666666667</v>
      </c>
      <c r="BK31" s="67">
        <f t="shared" si="37"/>
        <v>-3304.166666666667</v>
      </c>
      <c r="BL31" s="67">
        <f t="shared" si="37"/>
        <v>-3304.166666666667</v>
      </c>
      <c r="BM31" s="67">
        <f t="shared" si="37"/>
        <v>-3304.166666666667</v>
      </c>
      <c r="BN31" s="67">
        <f t="shared" si="37"/>
        <v>-3304.166666666667</v>
      </c>
      <c r="BO31" s="67">
        <f t="shared" si="37"/>
        <v>-3304.166666666667</v>
      </c>
      <c r="BP31" s="67">
        <f t="shared" si="37"/>
        <v>-3304.166666666667</v>
      </c>
      <c r="BQ31" s="67">
        <f t="shared" si="37"/>
        <v>-3304.166666666667</v>
      </c>
      <c r="BR31" s="67">
        <f t="shared" si="37"/>
        <v>-3304.166666666667</v>
      </c>
      <c r="BS31" s="67">
        <f t="shared" si="37"/>
        <v>-3304.166666666667</v>
      </c>
      <c r="BT31" s="67">
        <f t="shared" si="37"/>
        <v>-3304.166666666667</v>
      </c>
      <c r="BU31" s="67">
        <f t="shared" si="37"/>
        <v>-3304.166666666667</v>
      </c>
      <c r="BV31" s="67">
        <f t="shared" si="37"/>
        <v>-3304.166666666667</v>
      </c>
      <c r="BW31" s="67">
        <f t="shared" si="37"/>
        <v>0</v>
      </c>
      <c r="BX31" s="67">
        <f t="shared" si="37"/>
        <v>0</v>
      </c>
      <c r="BY31" s="67">
        <f t="shared" si="37"/>
        <v>0</v>
      </c>
      <c r="BZ31" s="67">
        <f t="shared" si="37"/>
        <v>0</v>
      </c>
      <c r="CA31" s="67">
        <f t="shared" si="37"/>
        <v>0</v>
      </c>
      <c r="CB31" s="67">
        <f t="shared" si="37"/>
        <v>0</v>
      </c>
      <c r="CC31" s="67">
        <f t="shared" si="37"/>
        <v>0</v>
      </c>
      <c r="CD31" s="67">
        <f t="shared" si="37"/>
        <v>0</v>
      </c>
      <c r="CE31" s="67">
        <f t="shared" si="37"/>
        <v>0</v>
      </c>
      <c r="CF31" s="67">
        <f t="shared" si="37"/>
        <v>0</v>
      </c>
      <c r="CG31" s="67">
        <f t="shared" si="37"/>
        <v>0</v>
      </c>
      <c r="CH31" s="67">
        <f t="shared" si="37"/>
        <v>0</v>
      </c>
      <c r="CI31" s="67">
        <f t="shared" si="37"/>
        <v>0</v>
      </c>
      <c r="CJ31" s="67">
        <f t="shared" si="37"/>
        <v>0</v>
      </c>
      <c r="CK31" s="67">
        <f t="shared" si="37"/>
        <v>0</v>
      </c>
      <c r="CL31" s="67">
        <f t="shared" si="37"/>
        <v>0</v>
      </c>
      <c r="CM31" s="67">
        <f t="shared" si="37"/>
        <v>0</v>
      </c>
      <c r="CN31" s="67">
        <f t="shared" si="37"/>
        <v>0</v>
      </c>
      <c r="CO31" s="67">
        <f t="shared" si="37"/>
        <v>0</v>
      </c>
      <c r="CP31" s="67">
        <f t="shared" si="37"/>
        <v>0</v>
      </c>
      <c r="CQ31" s="67">
        <f t="shared" si="37"/>
        <v>0</v>
      </c>
      <c r="CR31" s="67">
        <f t="shared" si="37"/>
        <v>0</v>
      </c>
      <c r="CS31" s="67">
        <f t="shared" si="37"/>
        <v>0</v>
      </c>
      <c r="CT31" s="67">
        <f t="shared" si="37"/>
        <v>0</v>
      </c>
      <c r="CU31" s="67">
        <f t="shared" si="37"/>
        <v>0</v>
      </c>
      <c r="CV31" s="67">
        <f t="shared" si="37"/>
        <v>0</v>
      </c>
      <c r="CW31" s="67">
        <f t="shared" si="37"/>
        <v>0</v>
      </c>
      <c r="CX31" s="67">
        <f t="shared" si="37"/>
        <v>0</v>
      </c>
      <c r="CY31" s="67">
        <f t="shared" si="37"/>
        <v>0</v>
      </c>
      <c r="CZ31" s="67">
        <f t="shared" si="37"/>
        <v>0</v>
      </c>
      <c r="DA31" s="67">
        <f t="shared" si="37"/>
        <v>0</v>
      </c>
      <c r="DB31" s="67">
        <f t="shared" si="37"/>
        <v>0</v>
      </c>
      <c r="DC31" s="67">
        <f t="shared" si="37"/>
        <v>0</v>
      </c>
      <c r="DD31" s="67">
        <f t="shared" si="37"/>
        <v>0</v>
      </c>
      <c r="DE31" s="67">
        <f t="shared" si="37"/>
        <v>0</v>
      </c>
      <c r="DF31" s="67">
        <f t="shared" si="37"/>
        <v>0</v>
      </c>
      <c r="DG31" s="67">
        <f t="shared" si="37"/>
        <v>0</v>
      </c>
      <c r="DH31" s="67">
        <f t="shared" si="37"/>
        <v>0</v>
      </c>
      <c r="DI31" s="67">
        <f t="shared" si="37"/>
        <v>0</v>
      </c>
      <c r="DJ31" s="67">
        <f t="shared" si="37"/>
        <v>0</v>
      </c>
      <c r="DK31" s="67">
        <f t="shared" si="37"/>
        <v>0</v>
      </c>
      <c r="DL31" s="67">
        <f t="shared" si="37"/>
        <v>0</v>
      </c>
      <c r="DM31" s="67">
        <f t="shared" si="37"/>
        <v>0</v>
      </c>
      <c r="DN31" s="67">
        <f t="shared" si="37"/>
        <v>0</v>
      </c>
      <c r="DO31" s="67">
        <f t="shared" si="37"/>
        <v>0</v>
      </c>
      <c r="DP31" s="67">
        <f t="shared" si="37"/>
        <v>0</v>
      </c>
      <c r="DQ31" s="67">
        <f t="shared" si="37"/>
        <v>0</v>
      </c>
      <c r="DR31" s="67">
        <f t="shared" si="37"/>
        <v>0</v>
      </c>
      <c r="DS31" s="67">
        <f t="shared" si="37"/>
        <v>0</v>
      </c>
      <c r="DT31" s="67">
        <f t="shared" si="37"/>
        <v>0</v>
      </c>
      <c r="DU31" s="67">
        <f t="shared" si="37"/>
        <v>0</v>
      </c>
      <c r="DV31" s="67">
        <f t="shared" si="37"/>
        <v>0</v>
      </c>
      <c r="DW31" s="67">
        <f t="shared" si="37"/>
        <v>0</v>
      </c>
      <c r="DX31" s="67">
        <f t="shared" si="37"/>
        <v>0</v>
      </c>
      <c r="DY31" s="67">
        <f t="shared" si="37"/>
        <v>0</v>
      </c>
      <c r="DZ31" s="67">
        <f t="shared" si="37"/>
        <v>0</v>
      </c>
      <c r="EA31" s="67">
        <f t="shared" si="37"/>
        <v>0</v>
      </c>
      <c r="EB31" s="67">
        <f t="shared" si="37"/>
        <v>0</v>
      </c>
      <c r="EC31" s="67">
        <f t="shared" si="37"/>
        <v>0</v>
      </c>
      <c r="ED31" s="67">
        <f t="shared" si="37"/>
        <v>0</v>
      </c>
    </row>
    <row r="32" spans="2:134" ht="12.5" x14ac:dyDescent="0.25">
      <c r="B32" s="46" t="s">
        <v>202</v>
      </c>
      <c r="C32" s="53"/>
      <c r="D32" s="62">
        <f t="shared" ref="D32:H32" si="38">SUMIFS($O32:$BV32,$O$4:$BV$4,D$3)</f>
        <v>-17280</v>
      </c>
      <c r="E32" s="62">
        <f t="shared" si="38"/>
        <v>-18000</v>
      </c>
      <c r="F32" s="62">
        <f t="shared" si="38"/>
        <v>-18000</v>
      </c>
      <c r="G32" s="62">
        <f t="shared" si="38"/>
        <v>-18000</v>
      </c>
      <c r="H32" s="62">
        <f t="shared" si="38"/>
        <v>-18000</v>
      </c>
      <c r="I32" s="62">
        <f t="shared" ref="I32:M32" si="39">SUMIFS($O32:$ED32,$O$4:$ED$4,I$3)</f>
        <v>0</v>
      </c>
      <c r="J32" s="62">
        <f t="shared" si="39"/>
        <v>0</v>
      </c>
      <c r="K32" s="62">
        <f t="shared" si="39"/>
        <v>0</v>
      </c>
      <c r="L32" s="62">
        <f t="shared" si="39"/>
        <v>0</v>
      </c>
      <c r="M32" s="62">
        <f t="shared" si="39"/>
        <v>0</v>
      </c>
      <c r="N32" s="53"/>
      <c r="O32" s="62">
        <f>O9*Premissas!$C$5</f>
        <v>-780</v>
      </c>
      <c r="P32" s="62">
        <f>P9*Premissas!$C$5</f>
        <v>-1500</v>
      </c>
      <c r="Q32" s="62">
        <f>Q9*Premissas!$C$5</f>
        <v>-1500</v>
      </c>
      <c r="R32" s="62">
        <f>R9*Premissas!$C$5</f>
        <v>-1500</v>
      </c>
      <c r="S32" s="62">
        <f>S9*Premissas!$C$5</f>
        <v>-1500</v>
      </c>
      <c r="T32" s="62">
        <f>T9*Premissas!$C$5</f>
        <v>-1500</v>
      </c>
      <c r="U32" s="62">
        <f>U9*Premissas!$C$5</f>
        <v>-1500</v>
      </c>
      <c r="V32" s="62">
        <f>V9*Premissas!$C$5</f>
        <v>-1500</v>
      </c>
      <c r="W32" s="62">
        <f>W9*Premissas!$C$5</f>
        <v>-1500</v>
      </c>
      <c r="X32" s="62">
        <f>X9*Premissas!$C$5</f>
        <v>-1500</v>
      </c>
      <c r="Y32" s="62">
        <f>Y9*Premissas!$C$5</f>
        <v>-1500</v>
      </c>
      <c r="Z32" s="62">
        <f>Z9*Premissas!$C$5</f>
        <v>-1500</v>
      </c>
      <c r="AA32" s="62">
        <f>AA9*Premissas!$C$5</f>
        <v>-1500</v>
      </c>
      <c r="AB32" s="62">
        <f>AB9*Premissas!$C$5</f>
        <v>-1500</v>
      </c>
      <c r="AC32" s="62">
        <f>AC9*Premissas!$C$5</f>
        <v>-1500</v>
      </c>
      <c r="AD32" s="62">
        <f>AD9*Premissas!$C$5</f>
        <v>-1500</v>
      </c>
      <c r="AE32" s="62">
        <f>AE9*Premissas!$C$5</f>
        <v>-1500</v>
      </c>
      <c r="AF32" s="62">
        <f>AF9*Premissas!$C$5</f>
        <v>-1500</v>
      </c>
      <c r="AG32" s="62">
        <f>AG9*Premissas!$C$5</f>
        <v>-1500</v>
      </c>
      <c r="AH32" s="62">
        <f>AH9*Premissas!$C$5</f>
        <v>-1500</v>
      </c>
      <c r="AI32" s="62">
        <f>AI9*Premissas!$C$5</f>
        <v>-1500</v>
      </c>
      <c r="AJ32" s="62">
        <f>AJ9*Premissas!$C$5</f>
        <v>-1500</v>
      </c>
      <c r="AK32" s="62">
        <f>AK9*Premissas!$C$5</f>
        <v>-1500</v>
      </c>
      <c r="AL32" s="62">
        <f>AL9*Premissas!$C$5</f>
        <v>-1500</v>
      </c>
      <c r="AM32" s="62">
        <f>AM9*Premissas!$C$5</f>
        <v>-1500</v>
      </c>
      <c r="AN32" s="62">
        <f>AN9*Premissas!$C$5</f>
        <v>-1500</v>
      </c>
      <c r="AO32" s="62">
        <f>AO9*Premissas!$C$5</f>
        <v>-1500</v>
      </c>
      <c r="AP32" s="62">
        <f>AP9*Premissas!$C$5</f>
        <v>-1500</v>
      </c>
      <c r="AQ32" s="62">
        <f>AQ9*Premissas!$C$5</f>
        <v>-1500</v>
      </c>
      <c r="AR32" s="62">
        <f>AR9*Premissas!$C$5</f>
        <v>-1500</v>
      </c>
      <c r="AS32" s="62">
        <f>AS9*Premissas!$C$5</f>
        <v>-1500</v>
      </c>
      <c r="AT32" s="62">
        <f>AT9*Premissas!$C$5</f>
        <v>-1500</v>
      </c>
      <c r="AU32" s="62">
        <f>AU9*Premissas!$C$5</f>
        <v>-1500</v>
      </c>
      <c r="AV32" s="62">
        <f>AV9*Premissas!$C$5</f>
        <v>-1500</v>
      </c>
      <c r="AW32" s="62">
        <f>AW9*Premissas!$C$5</f>
        <v>-1500</v>
      </c>
      <c r="AX32" s="62">
        <f>AX9*Premissas!$C$5</f>
        <v>-1500</v>
      </c>
      <c r="AY32" s="62">
        <f>AY9*Premissas!$C$5</f>
        <v>-1500</v>
      </c>
      <c r="AZ32" s="62">
        <f>AZ9*Premissas!$C$5</f>
        <v>-1500</v>
      </c>
      <c r="BA32" s="62">
        <f>BA9*Premissas!$C$5</f>
        <v>-1500</v>
      </c>
      <c r="BB32" s="62">
        <f>BB9*Premissas!$C$5</f>
        <v>-1500</v>
      </c>
      <c r="BC32" s="62">
        <f>BC9*Premissas!$C$5</f>
        <v>-1500</v>
      </c>
      <c r="BD32" s="62">
        <f>BD9*Premissas!$C$5</f>
        <v>-1500</v>
      </c>
      <c r="BE32" s="62">
        <f>BE9*Premissas!$C$5</f>
        <v>-1500</v>
      </c>
      <c r="BF32" s="62">
        <f>BF9*Premissas!$C$5</f>
        <v>-1500</v>
      </c>
      <c r="BG32" s="62">
        <f>BG9*Premissas!$C$5</f>
        <v>-1500</v>
      </c>
      <c r="BH32" s="62">
        <f>BH9*Premissas!$C$5</f>
        <v>-1500</v>
      </c>
      <c r="BI32" s="62">
        <f>BI9*Premissas!$C$5</f>
        <v>-1500</v>
      </c>
      <c r="BJ32" s="62">
        <f>BJ9*Premissas!$C$5</f>
        <v>-1500</v>
      </c>
      <c r="BK32" s="62">
        <f>BK9*Premissas!$C$5</f>
        <v>-1500</v>
      </c>
      <c r="BL32" s="62">
        <f>BL9*Premissas!$C$5</f>
        <v>-1500</v>
      </c>
      <c r="BM32" s="62">
        <f>BM9*Premissas!$C$5</f>
        <v>-1500</v>
      </c>
      <c r="BN32" s="62">
        <f>BN9*Premissas!$C$5</f>
        <v>-1500</v>
      </c>
      <c r="BO32" s="62">
        <f>BO9*Premissas!$C$5</f>
        <v>-1500</v>
      </c>
      <c r="BP32" s="62">
        <f>BP9*Premissas!$C$5</f>
        <v>-1500</v>
      </c>
      <c r="BQ32" s="62">
        <f>BQ9*Premissas!$C$5</f>
        <v>-1500</v>
      </c>
      <c r="BR32" s="62">
        <f>BR9*Premissas!$C$5</f>
        <v>-1500</v>
      </c>
      <c r="BS32" s="62">
        <f>BS9*Premissas!$C$5</f>
        <v>-1500</v>
      </c>
      <c r="BT32" s="62">
        <f>BT9*Premissas!$C$5</f>
        <v>-1500</v>
      </c>
      <c r="BU32" s="62">
        <f>BU9*Premissas!$C$5</f>
        <v>-1500</v>
      </c>
      <c r="BV32" s="62">
        <f>BV9*Premissas!$C$5</f>
        <v>-1500</v>
      </c>
      <c r="BW32" s="62">
        <f>BW9*Premissas!$C$5</f>
        <v>0</v>
      </c>
      <c r="BX32" s="62">
        <f>BX9*Premissas!$C$5</f>
        <v>0</v>
      </c>
      <c r="BY32" s="62">
        <f>BY9*Premissas!$C$5</f>
        <v>0</v>
      </c>
      <c r="BZ32" s="62">
        <f>BZ9*Premissas!$C$5</f>
        <v>0</v>
      </c>
      <c r="CA32" s="62">
        <f>CA9*Premissas!$C$5</f>
        <v>0</v>
      </c>
      <c r="CB32" s="62">
        <f>CB9*Premissas!$C$5</f>
        <v>0</v>
      </c>
      <c r="CC32" s="62">
        <f>CC9*Premissas!$C$5</f>
        <v>0</v>
      </c>
      <c r="CD32" s="62">
        <f>CD9*Premissas!$C$5</f>
        <v>0</v>
      </c>
      <c r="CE32" s="62">
        <f>CE9*Premissas!$C$5</f>
        <v>0</v>
      </c>
      <c r="CF32" s="62">
        <f>CF9*Premissas!$C$5</f>
        <v>0</v>
      </c>
      <c r="CG32" s="62">
        <f>CG9*Premissas!$C$5</f>
        <v>0</v>
      </c>
      <c r="CH32" s="62">
        <f>CH9*Premissas!$C$5</f>
        <v>0</v>
      </c>
      <c r="CI32" s="62">
        <f>CI9*Premissas!$C$5</f>
        <v>0</v>
      </c>
      <c r="CJ32" s="62">
        <f>CJ9*Premissas!$C$5</f>
        <v>0</v>
      </c>
      <c r="CK32" s="62">
        <f>CK9*Premissas!$C$5</f>
        <v>0</v>
      </c>
      <c r="CL32" s="62">
        <f>CL9*Premissas!$C$5</f>
        <v>0</v>
      </c>
      <c r="CM32" s="62">
        <f>CM9*Premissas!$C$5</f>
        <v>0</v>
      </c>
      <c r="CN32" s="62">
        <f>CN9*Premissas!$C$5</f>
        <v>0</v>
      </c>
      <c r="CO32" s="62">
        <f>CO9*Premissas!$C$5</f>
        <v>0</v>
      </c>
      <c r="CP32" s="62">
        <f>CP9*Premissas!$C$5</f>
        <v>0</v>
      </c>
      <c r="CQ32" s="62">
        <f>CQ9*Premissas!$C$5</f>
        <v>0</v>
      </c>
      <c r="CR32" s="62">
        <f>CR9*Premissas!$C$5</f>
        <v>0</v>
      </c>
      <c r="CS32" s="62">
        <f>CS9*Premissas!$C$5</f>
        <v>0</v>
      </c>
      <c r="CT32" s="62">
        <f>CT9*Premissas!$C$5</f>
        <v>0</v>
      </c>
      <c r="CU32" s="62">
        <f>CU9*Premissas!$C$5</f>
        <v>0</v>
      </c>
      <c r="CV32" s="62">
        <f>CV9*Premissas!$C$5</f>
        <v>0</v>
      </c>
      <c r="CW32" s="62">
        <f>CW9*Premissas!$C$5</f>
        <v>0</v>
      </c>
      <c r="CX32" s="62">
        <f>CX9*Premissas!$C$5</f>
        <v>0</v>
      </c>
      <c r="CY32" s="62">
        <f>CY9*Premissas!$C$5</f>
        <v>0</v>
      </c>
      <c r="CZ32" s="62">
        <f>CZ9*Premissas!$C$5</f>
        <v>0</v>
      </c>
      <c r="DA32" s="62">
        <f>DA9*Premissas!$C$5</f>
        <v>0</v>
      </c>
      <c r="DB32" s="62">
        <f>DB9*Premissas!$C$5</f>
        <v>0</v>
      </c>
      <c r="DC32" s="62">
        <f>DC9*Premissas!$C$5</f>
        <v>0</v>
      </c>
      <c r="DD32" s="62">
        <f>DD9*Premissas!$C$5</f>
        <v>0</v>
      </c>
      <c r="DE32" s="62">
        <f>DE9*Premissas!$C$5</f>
        <v>0</v>
      </c>
      <c r="DF32" s="62">
        <f>DF9*Premissas!$C$5</f>
        <v>0</v>
      </c>
      <c r="DG32" s="62">
        <f>DG9*Premissas!$C$5</f>
        <v>0</v>
      </c>
      <c r="DH32" s="62">
        <f>DH9*Premissas!$C$5</f>
        <v>0</v>
      </c>
      <c r="DI32" s="62">
        <f>DI9*Premissas!$C$5</f>
        <v>0</v>
      </c>
      <c r="DJ32" s="62">
        <f>DJ9*Premissas!$C$5</f>
        <v>0</v>
      </c>
      <c r="DK32" s="62">
        <f>DK9*Premissas!$C$5</f>
        <v>0</v>
      </c>
      <c r="DL32" s="62">
        <f>DL9*Premissas!$C$5</f>
        <v>0</v>
      </c>
      <c r="DM32" s="62">
        <f>DM9*Premissas!$C$5</f>
        <v>0</v>
      </c>
      <c r="DN32" s="62">
        <f>DN9*Premissas!$C$5</f>
        <v>0</v>
      </c>
      <c r="DO32" s="62">
        <f>DO9*Premissas!$C$5</f>
        <v>0</v>
      </c>
      <c r="DP32" s="62">
        <f>DP9*Premissas!$C$5</f>
        <v>0</v>
      </c>
      <c r="DQ32" s="62">
        <f>DQ9*Premissas!$C$5</f>
        <v>0</v>
      </c>
      <c r="DR32" s="62">
        <f>DR9*Premissas!$C$5</f>
        <v>0</v>
      </c>
      <c r="DS32" s="62">
        <f>DS9*Premissas!$C$5</f>
        <v>0</v>
      </c>
      <c r="DT32" s="62">
        <f>DT9*Premissas!$C$5</f>
        <v>0</v>
      </c>
      <c r="DU32" s="62">
        <f>DU9*Premissas!$C$5</f>
        <v>0</v>
      </c>
      <c r="DV32" s="62">
        <f>DV9*Premissas!$C$5</f>
        <v>0</v>
      </c>
      <c r="DW32" s="62">
        <f>DW9*Premissas!$C$5</f>
        <v>0</v>
      </c>
      <c r="DX32" s="62">
        <f>DX9*Premissas!$C$5</f>
        <v>0</v>
      </c>
      <c r="DY32" s="62">
        <f>DY9*Premissas!$C$5</f>
        <v>0</v>
      </c>
      <c r="DZ32" s="62">
        <f>DZ9*Premissas!$C$5</f>
        <v>0</v>
      </c>
      <c r="EA32" s="62">
        <f>EA9*Premissas!$C$5</f>
        <v>0</v>
      </c>
      <c r="EB32" s="62">
        <f>EB9*Premissas!$C$5</f>
        <v>0</v>
      </c>
      <c r="EC32" s="62">
        <f>EC9*Premissas!$C$5</f>
        <v>0</v>
      </c>
      <c r="ED32" s="62">
        <f>ED9*Premissas!$C$5</f>
        <v>0</v>
      </c>
    </row>
    <row r="33" spans="1:135" ht="12.5" x14ac:dyDescent="0.25">
      <c r="B33" s="46" t="s">
        <v>203</v>
      </c>
      <c r="C33" s="53"/>
      <c r="D33" s="62">
        <f t="shared" ref="D33:H33" si="40">SUMIFS($O33:$BV33,$O$4:$BV$4,D$3)</f>
        <v>-20784</v>
      </c>
      <c r="E33" s="62">
        <f t="shared" si="40"/>
        <v>-21650</v>
      </c>
      <c r="F33" s="62">
        <f t="shared" si="40"/>
        <v>-21650</v>
      </c>
      <c r="G33" s="62">
        <f t="shared" si="40"/>
        <v>-21650</v>
      </c>
      <c r="H33" s="62">
        <f t="shared" si="40"/>
        <v>-21650</v>
      </c>
      <c r="I33" s="62">
        <f t="shared" ref="I33:M33" si="41">SUMIFS($O33:$ED33,$O$4:$ED$4,I$3)</f>
        <v>0</v>
      </c>
      <c r="J33" s="62">
        <f t="shared" si="41"/>
        <v>0</v>
      </c>
      <c r="K33" s="62">
        <f t="shared" si="41"/>
        <v>0</v>
      </c>
      <c r="L33" s="62">
        <f t="shared" si="41"/>
        <v>0</v>
      </c>
      <c r="M33" s="62">
        <f t="shared" si="41"/>
        <v>0</v>
      </c>
      <c r="N33" s="53"/>
      <c r="O33" s="62">
        <f>O9*Premissas!$C$7</f>
        <v>-938.16666666666674</v>
      </c>
      <c r="P33" s="62">
        <f>P9*Premissas!$C$7</f>
        <v>-1804.1666666666667</v>
      </c>
      <c r="Q33" s="62">
        <f>Q9*Premissas!$C$7</f>
        <v>-1804.1666666666667</v>
      </c>
      <c r="R33" s="62">
        <f>R9*Premissas!$C$7</f>
        <v>-1804.1666666666667</v>
      </c>
      <c r="S33" s="62">
        <f>S9*Premissas!$C$7</f>
        <v>-1804.1666666666667</v>
      </c>
      <c r="T33" s="62">
        <f>T9*Premissas!$C$7</f>
        <v>-1804.1666666666667</v>
      </c>
      <c r="U33" s="62">
        <f>U9*Premissas!$C$7</f>
        <v>-1804.1666666666667</v>
      </c>
      <c r="V33" s="62">
        <f>V9*Premissas!$C$7</f>
        <v>-1804.1666666666667</v>
      </c>
      <c r="W33" s="62">
        <f>W9*Premissas!$C$7</f>
        <v>-1804.1666666666667</v>
      </c>
      <c r="X33" s="62">
        <f>X9*Premissas!$C$7</f>
        <v>-1804.1666666666667</v>
      </c>
      <c r="Y33" s="62">
        <f>Y9*Premissas!$C$7</f>
        <v>-1804.1666666666667</v>
      </c>
      <c r="Z33" s="62">
        <f>Z9*Premissas!$C$7</f>
        <v>-1804.1666666666667</v>
      </c>
      <c r="AA33" s="62">
        <f>AA9*Premissas!$C$7</f>
        <v>-1804.1666666666667</v>
      </c>
      <c r="AB33" s="62">
        <f>AB9*Premissas!$C$7</f>
        <v>-1804.1666666666667</v>
      </c>
      <c r="AC33" s="62">
        <f>AC9*Premissas!$C$7</f>
        <v>-1804.1666666666667</v>
      </c>
      <c r="AD33" s="62">
        <f>AD9*Premissas!$C$7</f>
        <v>-1804.1666666666667</v>
      </c>
      <c r="AE33" s="62">
        <f>AE9*Premissas!$C$7</f>
        <v>-1804.1666666666667</v>
      </c>
      <c r="AF33" s="62">
        <f>AF9*Premissas!$C$7</f>
        <v>-1804.1666666666667</v>
      </c>
      <c r="AG33" s="62">
        <f>AG9*Premissas!$C$7</f>
        <v>-1804.1666666666667</v>
      </c>
      <c r="AH33" s="62">
        <f>AH9*Premissas!$C$7</f>
        <v>-1804.1666666666667</v>
      </c>
      <c r="AI33" s="62">
        <f>AI9*Premissas!$C$7</f>
        <v>-1804.1666666666667</v>
      </c>
      <c r="AJ33" s="62">
        <f>AJ9*Premissas!$C$7</f>
        <v>-1804.1666666666667</v>
      </c>
      <c r="AK33" s="62">
        <f>AK9*Premissas!$C$7</f>
        <v>-1804.1666666666667</v>
      </c>
      <c r="AL33" s="62">
        <f>AL9*Premissas!$C$7</f>
        <v>-1804.1666666666667</v>
      </c>
      <c r="AM33" s="62">
        <f>AM9*Premissas!$C$7</f>
        <v>-1804.1666666666667</v>
      </c>
      <c r="AN33" s="62">
        <f>AN9*Premissas!$C$7</f>
        <v>-1804.1666666666667</v>
      </c>
      <c r="AO33" s="62">
        <f>AO9*Premissas!$C$7</f>
        <v>-1804.1666666666667</v>
      </c>
      <c r="AP33" s="62">
        <f>AP9*Premissas!$C$7</f>
        <v>-1804.1666666666667</v>
      </c>
      <c r="AQ33" s="62">
        <f>AQ9*Premissas!$C$7</f>
        <v>-1804.1666666666667</v>
      </c>
      <c r="AR33" s="62">
        <f>AR9*Premissas!$C$7</f>
        <v>-1804.1666666666667</v>
      </c>
      <c r="AS33" s="62">
        <f>AS9*Premissas!$C$7</f>
        <v>-1804.1666666666667</v>
      </c>
      <c r="AT33" s="62">
        <f>AT9*Premissas!$C$7</f>
        <v>-1804.1666666666667</v>
      </c>
      <c r="AU33" s="62">
        <f>AU9*Premissas!$C$7</f>
        <v>-1804.1666666666667</v>
      </c>
      <c r="AV33" s="62">
        <f>AV9*Premissas!$C$7</f>
        <v>-1804.1666666666667</v>
      </c>
      <c r="AW33" s="62">
        <f>AW9*Premissas!$C$7</f>
        <v>-1804.1666666666667</v>
      </c>
      <c r="AX33" s="62">
        <f>AX9*Premissas!$C$7</f>
        <v>-1804.1666666666667</v>
      </c>
      <c r="AY33" s="62">
        <f>AY9*Premissas!$C$7</f>
        <v>-1804.1666666666667</v>
      </c>
      <c r="AZ33" s="62">
        <f>AZ9*Premissas!$C$7</f>
        <v>-1804.1666666666667</v>
      </c>
      <c r="BA33" s="62">
        <f>BA9*Premissas!$C$7</f>
        <v>-1804.1666666666667</v>
      </c>
      <c r="BB33" s="62">
        <f>BB9*Premissas!$C$7</f>
        <v>-1804.1666666666667</v>
      </c>
      <c r="BC33" s="62">
        <f>BC9*Premissas!$C$7</f>
        <v>-1804.1666666666667</v>
      </c>
      <c r="BD33" s="62">
        <f>BD9*Premissas!$C$7</f>
        <v>-1804.1666666666667</v>
      </c>
      <c r="BE33" s="62">
        <f>BE9*Premissas!$C$7</f>
        <v>-1804.1666666666667</v>
      </c>
      <c r="BF33" s="62">
        <f>BF9*Premissas!$C$7</f>
        <v>-1804.1666666666667</v>
      </c>
      <c r="BG33" s="62">
        <f>BG9*Premissas!$C$7</f>
        <v>-1804.1666666666667</v>
      </c>
      <c r="BH33" s="62">
        <f>BH9*Premissas!$C$7</f>
        <v>-1804.1666666666667</v>
      </c>
      <c r="BI33" s="62">
        <f>BI9*Premissas!$C$7</f>
        <v>-1804.1666666666667</v>
      </c>
      <c r="BJ33" s="62">
        <f>BJ9*Premissas!$C$7</f>
        <v>-1804.1666666666667</v>
      </c>
      <c r="BK33" s="62">
        <f>BK9*Premissas!$C$7</f>
        <v>-1804.1666666666667</v>
      </c>
      <c r="BL33" s="62">
        <f>BL9*Premissas!$C$7</f>
        <v>-1804.1666666666667</v>
      </c>
      <c r="BM33" s="62">
        <f>BM9*Premissas!$C$7</f>
        <v>-1804.1666666666667</v>
      </c>
      <c r="BN33" s="62">
        <f>BN9*Premissas!$C$7</f>
        <v>-1804.1666666666667</v>
      </c>
      <c r="BO33" s="62">
        <f>BO9*Premissas!$C$7</f>
        <v>-1804.1666666666667</v>
      </c>
      <c r="BP33" s="62">
        <f>BP9*Premissas!$C$7</f>
        <v>-1804.1666666666667</v>
      </c>
      <c r="BQ33" s="62">
        <f>BQ9*Premissas!$C$7</f>
        <v>-1804.1666666666667</v>
      </c>
      <c r="BR33" s="62">
        <f>BR9*Premissas!$C$7</f>
        <v>-1804.1666666666667</v>
      </c>
      <c r="BS33" s="62">
        <f>BS9*Premissas!$C$7</f>
        <v>-1804.1666666666667</v>
      </c>
      <c r="BT33" s="62">
        <f>BT9*Premissas!$C$7</f>
        <v>-1804.1666666666667</v>
      </c>
      <c r="BU33" s="62">
        <f>BU9*Premissas!$C$7</f>
        <v>-1804.1666666666667</v>
      </c>
      <c r="BV33" s="62">
        <f>BV9*Premissas!$C$7</f>
        <v>-1804.1666666666667</v>
      </c>
      <c r="BW33" s="62">
        <f>BW9*Premissas!$C$7</f>
        <v>0</v>
      </c>
      <c r="BX33" s="62">
        <f>BX9*Premissas!$C$7</f>
        <v>0</v>
      </c>
      <c r="BY33" s="62">
        <f>BY9*Premissas!$C$7</f>
        <v>0</v>
      </c>
      <c r="BZ33" s="62">
        <f>BZ9*Premissas!$C$7</f>
        <v>0</v>
      </c>
      <c r="CA33" s="62">
        <f>CA9*Premissas!$C$7</f>
        <v>0</v>
      </c>
      <c r="CB33" s="62">
        <f>CB9*Premissas!$C$7</f>
        <v>0</v>
      </c>
      <c r="CC33" s="62">
        <f>CC9*Premissas!$C$7</f>
        <v>0</v>
      </c>
      <c r="CD33" s="62">
        <f>CD9*Premissas!$C$7</f>
        <v>0</v>
      </c>
      <c r="CE33" s="62">
        <f>CE9*Premissas!$C$7</f>
        <v>0</v>
      </c>
      <c r="CF33" s="62">
        <f>CF9*Premissas!$C$7</f>
        <v>0</v>
      </c>
      <c r="CG33" s="62">
        <f>CG9*Premissas!$C$7</f>
        <v>0</v>
      </c>
      <c r="CH33" s="62">
        <f>CH9*Premissas!$C$7</f>
        <v>0</v>
      </c>
      <c r="CI33" s="62">
        <f>CI9*Premissas!$C$7</f>
        <v>0</v>
      </c>
      <c r="CJ33" s="62">
        <f>CJ9*Premissas!$C$7</f>
        <v>0</v>
      </c>
      <c r="CK33" s="62">
        <f>CK9*Premissas!$C$7</f>
        <v>0</v>
      </c>
      <c r="CL33" s="62">
        <f>CL9*Premissas!$C$7</f>
        <v>0</v>
      </c>
      <c r="CM33" s="62">
        <f>CM9*Premissas!$C$7</f>
        <v>0</v>
      </c>
      <c r="CN33" s="62">
        <f>CN9*Premissas!$C$7</f>
        <v>0</v>
      </c>
      <c r="CO33" s="62">
        <f>CO9*Premissas!$C$7</f>
        <v>0</v>
      </c>
      <c r="CP33" s="62">
        <f>CP9*Premissas!$C$7</f>
        <v>0</v>
      </c>
      <c r="CQ33" s="62">
        <f>CQ9*Premissas!$C$7</f>
        <v>0</v>
      </c>
      <c r="CR33" s="62">
        <f>CR9*Premissas!$C$7</f>
        <v>0</v>
      </c>
      <c r="CS33" s="62">
        <f>CS9*Premissas!$C$7</f>
        <v>0</v>
      </c>
      <c r="CT33" s="62">
        <f>CT9*Premissas!$C$7</f>
        <v>0</v>
      </c>
      <c r="CU33" s="62">
        <f>CU9*Premissas!$C$7</f>
        <v>0</v>
      </c>
      <c r="CV33" s="62">
        <f>CV9*Premissas!$C$7</f>
        <v>0</v>
      </c>
      <c r="CW33" s="62">
        <f>CW9*Premissas!$C$7</f>
        <v>0</v>
      </c>
      <c r="CX33" s="62">
        <f>CX9*Premissas!$C$7</f>
        <v>0</v>
      </c>
      <c r="CY33" s="62">
        <f>CY9*Premissas!$C$7</f>
        <v>0</v>
      </c>
      <c r="CZ33" s="62">
        <f>CZ9*Premissas!$C$7</f>
        <v>0</v>
      </c>
      <c r="DA33" s="62">
        <f>DA9*Premissas!$C$7</f>
        <v>0</v>
      </c>
      <c r="DB33" s="62">
        <f>DB9*Premissas!$C$7</f>
        <v>0</v>
      </c>
      <c r="DC33" s="62">
        <f>DC9*Premissas!$C$7</f>
        <v>0</v>
      </c>
      <c r="DD33" s="62">
        <f>DD9*Premissas!$C$7</f>
        <v>0</v>
      </c>
      <c r="DE33" s="62">
        <f>DE9*Premissas!$C$7</f>
        <v>0</v>
      </c>
      <c r="DF33" s="62">
        <f>DF9*Premissas!$C$7</f>
        <v>0</v>
      </c>
      <c r="DG33" s="62">
        <f>DG9*Premissas!$C$7</f>
        <v>0</v>
      </c>
      <c r="DH33" s="62">
        <f>DH9*Premissas!$C$7</f>
        <v>0</v>
      </c>
      <c r="DI33" s="62">
        <f>DI9*Premissas!$C$7</f>
        <v>0</v>
      </c>
      <c r="DJ33" s="62">
        <f>DJ9*Premissas!$C$7</f>
        <v>0</v>
      </c>
      <c r="DK33" s="62">
        <f>DK9*Premissas!$C$7</f>
        <v>0</v>
      </c>
      <c r="DL33" s="62">
        <f>DL9*Premissas!$C$7</f>
        <v>0</v>
      </c>
      <c r="DM33" s="62">
        <f>DM9*Premissas!$C$7</f>
        <v>0</v>
      </c>
      <c r="DN33" s="62">
        <f>DN9*Premissas!$C$7</f>
        <v>0</v>
      </c>
      <c r="DO33" s="62">
        <f>DO9*Premissas!$C$7</f>
        <v>0</v>
      </c>
      <c r="DP33" s="62">
        <f>DP9*Premissas!$C$7</f>
        <v>0</v>
      </c>
      <c r="DQ33" s="62">
        <f>DQ9*Premissas!$C$7</f>
        <v>0</v>
      </c>
      <c r="DR33" s="62">
        <f>DR9*Premissas!$C$7</f>
        <v>0</v>
      </c>
      <c r="DS33" s="62">
        <f>DS9*Premissas!$C$7</f>
        <v>0</v>
      </c>
      <c r="DT33" s="62">
        <f>DT9*Premissas!$C$7</f>
        <v>0</v>
      </c>
      <c r="DU33" s="62">
        <f>DU9*Premissas!$C$7</f>
        <v>0</v>
      </c>
      <c r="DV33" s="62">
        <f>DV9*Premissas!$C$7</f>
        <v>0</v>
      </c>
      <c r="DW33" s="62">
        <f>DW9*Premissas!$C$7</f>
        <v>0</v>
      </c>
      <c r="DX33" s="62">
        <f>DX9*Premissas!$C$7</f>
        <v>0</v>
      </c>
      <c r="DY33" s="62">
        <f>DY9*Premissas!$C$7</f>
        <v>0</v>
      </c>
      <c r="DZ33" s="62">
        <f>DZ9*Premissas!$C$7</f>
        <v>0</v>
      </c>
      <c r="EA33" s="62">
        <f>EA9*Premissas!$C$7</f>
        <v>0</v>
      </c>
      <c r="EB33" s="62">
        <f>EB9*Premissas!$C$7</f>
        <v>0</v>
      </c>
      <c r="EC33" s="62">
        <f>EC9*Premissas!$C$7</f>
        <v>0</v>
      </c>
      <c r="ED33" s="62">
        <f>ED9*Premissas!$C$7</f>
        <v>0</v>
      </c>
    </row>
    <row r="34" spans="1:135" ht="12.5" x14ac:dyDescent="0.25">
      <c r="B34" s="46" t="s">
        <v>204</v>
      </c>
      <c r="D34" s="62">
        <f t="shared" ref="D34:H34" si="42">SUMIFS($O34:$BV34,$O$4:$BV$4,D$3)</f>
        <v>0</v>
      </c>
      <c r="E34" s="62">
        <f t="shared" si="42"/>
        <v>0</v>
      </c>
      <c r="F34" s="62">
        <f t="shared" si="42"/>
        <v>0</v>
      </c>
      <c r="G34" s="62">
        <f t="shared" si="42"/>
        <v>0</v>
      </c>
      <c r="H34" s="62">
        <f t="shared" si="42"/>
        <v>0</v>
      </c>
      <c r="I34" s="62">
        <f t="shared" ref="I34:M34" si="43">SUMIFS($O34:$ED34,$O$4:$ED$4,I$3)</f>
        <v>0</v>
      </c>
      <c r="J34" s="62">
        <f t="shared" si="43"/>
        <v>0</v>
      </c>
      <c r="K34" s="62">
        <f t="shared" si="43"/>
        <v>0</v>
      </c>
      <c r="L34" s="62">
        <f t="shared" si="43"/>
        <v>0</v>
      </c>
      <c r="M34" s="62">
        <f t="shared" si="43"/>
        <v>0</v>
      </c>
      <c r="O34" s="62">
        <f>IF(O7&gt;0,Simulador!$E$60*Premissas!$C$17,0)</f>
        <v>0</v>
      </c>
      <c r="P34" s="62">
        <f>IF(P7&gt;0,Simulador!$E$60*Premissas!$C$17,0)</f>
        <v>0</v>
      </c>
      <c r="Q34" s="62">
        <f>IF(Q7&gt;0,Simulador!$E$60*Premissas!$C$17,0)</f>
        <v>0</v>
      </c>
      <c r="R34" s="62">
        <f>IF(R7&gt;0,Simulador!$E$60*Premissas!$C$17,0)</f>
        <v>0</v>
      </c>
      <c r="S34" s="62">
        <f>IF(S7&gt;0,Simulador!$E$60*Premissas!$C$17,0)</f>
        <v>0</v>
      </c>
      <c r="T34" s="62">
        <f>IF(T7&gt;0,Simulador!$E$60*Premissas!$C$17,0)</f>
        <v>0</v>
      </c>
      <c r="U34" s="62">
        <f>IF(U7&gt;0,Simulador!$E$60*Premissas!$C$17,0)</f>
        <v>0</v>
      </c>
      <c r="V34" s="62">
        <f>IF(V7&gt;0,Simulador!$E$60*Premissas!$C$17,0)</f>
        <v>0</v>
      </c>
      <c r="W34" s="62">
        <f>IF(W7&gt;0,Simulador!$E$60*Premissas!$C$17,0)</f>
        <v>0</v>
      </c>
      <c r="X34" s="62">
        <f>IF(X7&gt;0,Simulador!$E$60*Premissas!$C$17,0)</f>
        <v>0</v>
      </c>
      <c r="Y34" s="62">
        <f>IF(Y7&gt;0,Simulador!$E$60*Premissas!$C$17,0)</f>
        <v>0</v>
      </c>
      <c r="Z34" s="62">
        <f>IF(Z7&gt;0,Simulador!$E$60*Premissas!$C$17,0)</f>
        <v>0</v>
      </c>
      <c r="AA34" s="62">
        <f>IF(AA7&gt;0,Simulador!$E$60*Premissas!$C$17,0)</f>
        <v>0</v>
      </c>
      <c r="AB34" s="62">
        <f>IF(AB7&gt;0,Simulador!$E$60*Premissas!$C$17,0)</f>
        <v>0</v>
      </c>
      <c r="AC34" s="62">
        <f>IF(AC7&gt;0,Simulador!$E$60*Premissas!$C$17,0)</f>
        <v>0</v>
      </c>
      <c r="AD34" s="62">
        <f>IF(AD7&gt;0,Simulador!$E$60*Premissas!$C$17,0)</f>
        <v>0</v>
      </c>
      <c r="AE34" s="62">
        <f>IF(AE7&gt;0,Simulador!$E$60*Premissas!$C$17,0)</f>
        <v>0</v>
      </c>
      <c r="AF34" s="62">
        <f>IF(AF7&gt;0,Simulador!$E$60*Premissas!$C$17,0)</f>
        <v>0</v>
      </c>
      <c r="AG34" s="62">
        <f>IF(AG7&gt;0,Simulador!$E$60*Premissas!$C$17,0)</f>
        <v>0</v>
      </c>
      <c r="AH34" s="62">
        <f>IF(AH7&gt;0,Simulador!$E$60*Premissas!$C$17,0)</f>
        <v>0</v>
      </c>
      <c r="AI34" s="62">
        <f>IF(AI7&gt;0,Simulador!$E$60*Premissas!$C$17,0)</f>
        <v>0</v>
      </c>
      <c r="AJ34" s="62">
        <f>IF(AJ7&gt;0,Simulador!$E$60*Premissas!$C$17,0)</f>
        <v>0</v>
      </c>
      <c r="AK34" s="62">
        <f>IF(AK7&gt;0,Simulador!$E$60*Premissas!$C$17,0)</f>
        <v>0</v>
      </c>
      <c r="AL34" s="62">
        <f>IF(AL7&gt;0,Simulador!$E$60*Premissas!$C$17,0)</f>
        <v>0</v>
      </c>
      <c r="AM34" s="62">
        <f>IF(AM7&gt;0,Simulador!$E$60*Premissas!$C$17,0)</f>
        <v>0</v>
      </c>
      <c r="AN34" s="62">
        <f>IF(AN7&gt;0,Simulador!$E$60*Premissas!$C$17,0)</f>
        <v>0</v>
      </c>
      <c r="AO34" s="62">
        <f>IF(AO7&gt;0,Simulador!$E$60*Premissas!$C$17,0)</f>
        <v>0</v>
      </c>
      <c r="AP34" s="62">
        <f>IF(AP7&gt;0,Simulador!$E$60*Premissas!$C$17,0)</f>
        <v>0</v>
      </c>
      <c r="AQ34" s="62">
        <f>IF(AQ7&gt;0,Simulador!$E$60*Premissas!$C$17,0)</f>
        <v>0</v>
      </c>
      <c r="AR34" s="62">
        <f>IF(AR7&gt;0,Simulador!$E$60*Premissas!$C$17,0)</f>
        <v>0</v>
      </c>
      <c r="AS34" s="62">
        <f>IF(AS7&gt;0,Simulador!$E$60*Premissas!$C$17,0)</f>
        <v>0</v>
      </c>
      <c r="AT34" s="62">
        <f>IF(AT7&gt;0,Simulador!$E$60*Premissas!$C$17,0)</f>
        <v>0</v>
      </c>
      <c r="AU34" s="62">
        <f>IF(AU7&gt;0,Simulador!$E$60*Premissas!$C$17,0)</f>
        <v>0</v>
      </c>
      <c r="AV34" s="62">
        <f>IF(AV7&gt;0,Simulador!$E$60*Premissas!$C$17,0)</f>
        <v>0</v>
      </c>
      <c r="AW34" s="62">
        <f>IF(AW7&gt;0,Simulador!$E$60*Premissas!$C$17,0)</f>
        <v>0</v>
      </c>
      <c r="AX34" s="62">
        <f>IF(AX7&gt;0,Simulador!$E$60*Premissas!$C$17,0)</f>
        <v>0</v>
      </c>
      <c r="AY34" s="62">
        <f>IF(AY7&gt;0,Simulador!$E$60*Premissas!$C$17,0)</f>
        <v>0</v>
      </c>
      <c r="AZ34" s="62">
        <f>IF(AZ7&gt;0,Simulador!$E$60*Premissas!$C$17,0)</f>
        <v>0</v>
      </c>
      <c r="BA34" s="62">
        <f>IF(BA7&gt;0,Simulador!$E$60*Premissas!$C$17,0)</f>
        <v>0</v>
      </c>
      <c r="BB34" s="62">
        <f>IF(BB7&gt;0,Simulador!$E$60*Premissas!$C$17,0)</f>
        <v>0</v>
      </c>
      <c r="BC34" s="62">
        <f>IF(BC7&gt;0,Simulador!$E$60*Premissas!$C$17,0)</f>
        <v>0</v>
      </c>
      <c r="BD34" s="62">
        <f>IF(BD7&gt;0,Simulador!$E$60*Premissas!$C$17,0)</f>
        <v>0</v>
      </c>
      <c r="BE34" s="62">
        <f>IF(BE7&gt;0,Simulador!$E$60*Premissas!$C$17,0)</f>
        <v>0</v>
      </c>
      <c r="BF34" s="62">
        <f>IF(BF7&gt;0,Simulador!$E$60*Premissas!$C$17,0)</f>
        <v>0</v>
      </c>
      <c r="BG34" s="62">
        <f>IF(BG7&gt;0,Simulador!$E$60*Premissas!$C$17,0)</f>
        <v>0</v>
      </c>
      <c r="BH34" s="62">
        <f>IF(BH7&gt;0,Simulador!$E$60*Premissas!$C$17,0)</f>
        <v>0</v>
      </c>
      <c r="BI34" s="62">
        <f>IF(BI7&gt;0,Simulador!$E$60*Premissas!$C$17,0)</f>
        <v>0</v>
      </c>
      <c r="BJ34" s="62">
        <f>IF(BJ7&gt;0,Simulador!$E$60*Premissas!$C$17,0)</f>
        <v>0</v>
      </c>
      <c r="BK34" s="62">
        <f>IF(BK7&gt;0,Simulador!$E$60*Premissas!$C$17,0)</f>
        <v>0</v>
      </c>
      <c r="BL34" s="62">
        <f>IF(BL7&gt;0,Simulador!$E$60*Premissas!$C$17,0)</f>
        <v>0</v>
      </c>
      <c r="BM34" s="62">
        <f>IF(BM7&gt;0,Simulador!$E$60*Premissas!$C$17,0)</f>
        <v>0</v>
      </c>
      <c r="BN34" s="62">
        <f>IF(BN7&gt;0,Simulador!$E$60*Premissas!$C$17,0)</f>
        <v>0</v>
      </c>
      <c r="BO34" s="62">
        <f>IF(BO7&gt;0,Simulador!$E$60*Premissas!$C$17,0)</f>
        <v>0</v>
      </c>
      <c r="BP34" s="62">
        <f>IF(BP7&gt;0,Simulador!$E$60*Premissas!$C$17,0)</f>
        <v>0</v>
      </c>
      <c r="BQ34" s="62">
        <f>IF(BQ7&gt;0,Simulador!$E$60*Premissas!$C$17,0)</f>
        <v>0</v>
      </c>
      <c r="BR34" s="62">
        <f>IF(BR7&gt;0,Simulador!$E$60*Premissas!$C$17,0)</f>
        <v>0</v>
      </c>
      <c r="BS34" s="62">
        <f>IF(BS7&gt;0,Simulador!$E$60*Premissas!$C$17,0)</f>
        <v>0</v>
      </c>
      <c r="BT34" s="62">
        <f>IF(BT7&gt;0,Simulador!$E$60*Premissas!$C$17,0)</f>
        <v>0</v>
      </c>
      <c r="BU34" s="62">
        <f>IF(BU7&gt;0,Simulador!$E$60*Premissas!$C$17,0)</f>
        <v>0</v>
      </c>
      <c r="BV34" s="62">
        <f>IF(BV7&gt;0,Simulador!$E$60*Premissas!$C$17,0)</f>
        <v>0</v>
      </c>
      <c r="BW34" s="62">
        <f>IF(BW7&gt;0,Simulador!$E$60*Premissas!$C$17,0)</f>
        <v>0</v>
      </c>
      <c r="BX34" s="62">
        <f>IF(BX7&gt;0,Simulador!$E$60*Premissas!$C$17,0)</f>
        <v>0</v>
      </c>
      <c r="BY34" s="62">
        <f>IF(BY7&gt;0,Simulador!$E$60*Premissas!$C$17,0)</f>
        <v>0</v>
      </c>
      <c r="BZ34" s="62">
        <f>IF(BZ7&gt;0,Simulador!$E$60*Premissas!$C$17,0)</f>
        <v>0</v>
      </c>
      <c r="CA34" s="62">
        <f>IF(CA7&gt;0,Simulador!$E$60*Premissas!$C$17,0)</f>
        <v>0</v>
      </c>
      <c r="CB34" s="62">
        <f>IF(CB7&gt;0,Simulador!$E$60*Premissas!$C$17,0)</f>
        <v>0</v>
      </c>
      <c r="CC34" s="62">
        <f>IF(CC7&gt;0,Simulador!$E$60*Premissas!$C$17,0)</f>
        <v>0</v>
      </c>
      <c r="CD34" s="62">
        <f>IF(CD7&gt;0,Simulador!$E$60*Premissas!$C$17,0)</f>
        <v>0</v>
      </c>
      <c r="CE34" s="62">
        <f>IF(CE7&gt;0,Simulador!$E$60*Premissas!$C$17,0)</f>
        <v>0</v>
      </c>
      <c r="CF34" s="62">
        <f>IF(CF7&gt;0,Simulador!$E$60*Premissas!$C$17,0)</f>
        <v>0</v>
      </c>
      <c r="CG34" s="62">
        <f>IF(CG7&gt;0,Simulador!$E$60*Premissas!$C$17,0)</f>
        <v>0</v>
      </c>
      <c r="CH34" s="62">
        <f>IF(CH7&gt;0,Simulador!$E$60*Premissas!$C$17,0)</f>
        <v>0</v>
      </c>
      <c r="CI34" s="62">
        <f>IF(CI7&gt;0,Simulador!$E$60*Premissas!$C$17,0)</f>
        <v>0</v>
      </c>
      <c r="CJ34" s="62">
        <f>IF(CJ7&gt;0,Simulador!$E$60*Premissas!$C$17,0)</f>
        <v>0</v>
      </c>
      <c r="CK34" s="62">
        <f>IF(CK7&gt;0,Simulador!$E$60*Premissas!$C$17,0)</f>
        <v>0</v>
      </c>
      <c r="CL34" s="62">
        <f>IF(CL7&gt;0,Simulador!$E$60*Premissas!$C$17,0)</f>
        <v>0</v>
      </c>
      <c r="CM34" s="62">
        <f>IF(CM7&gt;0,Simulador!$E$60*Premissas!$C$17,0)</f>
        <v>0</v>
      </c>
      <c r="CN34" s="62">
        <f>IF(CN7&gt;0,Simulador!$E$60*Premissas!$C$17,0)</f>
        <v>0</v>
      </c>
      <c r="CO34" s="62">
        <f>IF(CO7&gt;0,Simulador!$E$60*Premissas!$C$17,0)</f>
        <v>0</v>
      </c>
      <c r="CP34" s="62">
        <f>IF(CP7&gt;0,Simulador!$E$60*Premissas!$C$17,0)</f>
        <v>0</v>
      </c>
      <c r="CQ34" s="62">
        <f>IF(CQ7&gt;0,Simulador!$E$60*Premissas!$C$17,0)</f>
        <v>0</v>
      </c>
      <c r="CR34" s="62">
        <f>IF(CR7&gt;0,Simulador!$E$60*Premissas!$C$17,0)</f>
        <v>0</v>
      </c>
      <c r="CS34" s="62">
        <f>IF(CS7&gt;0,Simulador!$E$60*Premissas!$C$17,0)</f>
        <v>0</v>
      </c>
      <c r="CT34" s="62">
        <f>IF(CT7&gt;0,Simulador!$E$60*Premissas!$C$17,0)</f>
        <v>0</v>
      </c>
      <c r="CU34" s="62">
        <f>IF(CU7&gt;0,Simulador!$E$60*Premissas!$C$17,0)</f>
        <v>0</v>
      </c>
      <c r="CV34" s="62">
        <f>IF(CV7&gt;0,Simulador!$E$60*Premissas!$C$17,0)</f>
        <v>0</v>
      </c>
      <c r="CW34" s="62">
        <f>IF(CW7&gt;0,Simulador!$E$60*Premissas!$C$17,0)</f>
        <v>0</v>
      </c>
      <c r="CX34" s="62">
        <f>IF(CX7&gt;0,Simulador!$E$60*Premissas!$C$17,0)</f>
        <v>0</v>
      </c>
      <c r="CY34" s="62">
        <f>IF(CY7&gt;0,Simulador!$E$60*Premissas!$C$17,0)</f>
        <v>0</v>
      </c>
      <c r="CZ34" s="62">
        <f>IF(CZ7&gt;0,Simulador!$E$60*Premissas!$C$17,0)</f>
        <v>0</v>
      </c>
      <c r="DA34" s="62">
        <f>IF(DA7&gt;0,Simulador!$E$60*Premissas!$C$17,0)</f>
        <v>0</v>
      </c>
      <c r="DB34" s="62">
        <f>IF(DB7&gt;0,Simulador!$E$60*Premissas!$C$17,0)</f>
        <v>0</v>
      </c>
      <c r="DC34" s="62">
        <f>IF(DC7&gt;0,Simulador!$E$60*Premissas!$C$17,0)</f>
        <v>0</v>
      </c>
      <c r="DD34" s="62">
        <f>IF(DD7&gt;0,Simulador!$E$60*Premissas!$C$17,0)</f>
        <v>0</v>
      </c>
      <c r="DE34" s="62">
        <f>IF(DE7&gt;0,Simulador!$E$60*Premissas!$C$17,0)</f>
        <v>0</v>
      </c>
      <c r="DF34" s="62">
        <f>IF(DF7&gt;0,Simulador!$E$60*Premissas!$C$17,0)</f>
        <v>0</v>
      </c>
      <c r="DG34" s="62">
        <f>IF(DG7&gt;0,Simulador!$E$60*Premissas!$C$17,0)</f>
        <v>0</v>
      </c>
      <c r="DH34" s="62">
        <f>IF(DH7&gt;0,Simulador!$E$60*Premissas!$C$17,0)</f>
        <v>0</v>
      </c>
      <c r="DI34" s="62">
        <f>IF(DI7&gt;0,Simulador!$E$60*Premissas!$C$17,0)</f>
        <v>0</v>
      </c>
      <c r="DJ34" s="62">
        <f>IF(DJ7&gt;0,Simulador!$E$60*Premissas!$C$17,0)</f>
        <v>0</v>
      </c>
      <c r="DK34" s="62">
        <f>IF(DK7&gt;0,Simulador!$E$60*Premissas!$C$17,0)</f>
        <v>0</v>
      </c>
      <c r="DL34" s="62">
        <f>IF(DL7&gt;0,Simulador!$E$60*Premissas!$C$17,0)</f>
        <v>0</v>
      </c>
      <c r="DM34" s="62">
        <f>IF(DM7&gt;0,Simulador!$E$60*Premissas!$C$17,0)</f>
        <v>0</v>
      </c>
      <c r="DN34" s="62">
        <f>IF(DN7&gt;0,Simulador!$E$60*Premissas!$C$17,0)</f>
        <v>0</v>
      </c>
      <c r="DO34" s="62">
        <f>IF(DO7&gt;0,Simulador!$E$60*Premissas!$C$17,0)</f>
        <v>0</v>
      </c>
      <c r="DP34" s="62">
        <f>IF(DP7&gt;0,Simulador!$E$60*Premissas!$C$17,0)</f>
        <v>0</v>
      </c>
      <c r="DQ34" s="62">
        <f>IF(DQ7&gt;0,Simulador!$E$60*Premissas!$C$17,0)</f>
        <v>0</v>
      </c>
      <c r="DR34" s="62">
        <f>IF(DR7&gt;0,Simulador!$E$60*Premissas!$C$17,0)</f>
        <v>0</v>
      </c>
      <c r="DS34" s="62">
        <f>IF(DS7&gt;0,Simulador!$E$60*Premissas!$C$17,0)</f>
        <v>0</v>
      </c>
      <c r="DT34" s="62">
        <f>IF(DT7&gt;0,Simulador!$E$60*Premissas!$C$17,0)</f>
        <v>0</v>
      </c>
      <c r="DU34" s="62">
        <f>IF(DU7&gt;0,Simulador!$E$60*Premissas!$C$17,0)</f>
        <v>0</v>
      </c>
      <c r="DV34" s="62">
        <f>IF(DV7&gt;0,Simulador!$E$60*Premissas!$C$17,0)</f>
        <v>0</v>
      </c>
      <c r="DW34" s="62">
        <f>IF(DW7&gt;0,Simulador!$E$60*Premissas!$C$17,0)</f>
        <v>0</v>
      </c>
      <c r="DX34" s="62">
        <f>IF(DX7&gt;0,Simulador!$E$60*Premissas!$C$17,0)</f>
        <v>0</v>
      </c>
      <c r="DY34" s="62">
        <f>IF(DY7&gt;0,Simulador!$E$60*Premissas!$C$17,0)</f>
        <v>0</v>
      </c>
      <c r="DZ34" s="62">
        <f>IF(DZ7&gt;0,Simulador!$E$60*Premissas!$C$17,0)</f>
        <v>0</v>
      </c>
      <c r="EA34" s="62">
        <f>IF(EA7&gt;0,Simulador!$E$60*Premissas!$C$17,0)</f>
        <v>0</v>
      </c>
      <c r="EB34" s="62">
        <f>IF(EB7&gt;0,Simulador!$E$60*Premissas!$C$17,0)</f>
        <v>0</v>
      </c>
      <c r="EC34" s="62">
        <f>IF(EC7&gt;0,Simulador!$E$60*Premissas!$C$17,0)</f>
        <v>0</v>
      </c>
      <c r="ED34" s="62">
        <f>IF(ED7&gt;0,Simulador!$E$60*Premissas!$C$17,0)</f>
        <v>0</v>
      </c>
    </row>
    <row r="35" spans="1:135" ht="12.5" x14ac:dyDescent="0.25">
      <c r="B35" s="46" t="s">
        <v>205</v>
      </c>
      <c r="D35" s="62">
        <f t="shared" ref="D35:H35" si="44">SUMIFS($O35:$BV35,$O$4:$BV$4,D$3)</f>
        <v>-56618.75</v>
      </c>
      <c r="E35" s="62">
        <f t="shared" si="44"/>
        <v>0</v>
      </c>
      <c r="F35" s="62">
        <f t="shared" si="44"/>
        <v>0</v>
      </c>
      <c r="G35" s="62">
        <f t="shared" si="44"/>
        <v>0</v>
      </c>
      <c r="H35" s="62">
        <f t="shared" si="44"/>
        <v>0</v>
      </c>
      <c r="I35" s="62">
        <f t="shared" ref="I35:M35" si="45">SUMIFS($O35:$ED35,$O$4:$ED$4,I$3)</f>
        <v>0</v>
      </c>
      <c r="J35" s="62">
        <f t="shared" si="45"/>
        <v>0</v>
      </c>
      <c r="K35" s="62">
        <f t="shared" si="45"/>
        <v>0</v>
      </c>
      <c r="L35" s="62">
        <f t="shared" si="45"/>
        <v>0</v>
      </c>
      <c r="M35" s="62">
        <f t="shared" si="45"/>
        <v>0</v>
      </c>
      <c r="O35" s="62">
        <f>Premissas!$C$9*MAX((O9-N9),0)</f>
        <v>-29441.75</v>
      </c>
      <c r="P35" s="62">
        <f>Premissas!$C$9*MAX((P9-O9),0)</f>
        <v>-27177</v>
      </c>
      <c r="Q35" s="62">
        <f>Premissas!$C$9*MAX((Q9-P9),0)</f>
        <v>0</v>
      </c>
      <c r="R35" s="62">
        <f>Premissas!$C$9*MAX((R9-Q9),0)</f>
        <v>0</v>
      </c>
      <c r="S35" s="62">
        <f>Premissas!$C$9*MAX((S9-R9),0)</f>
        <v>0</v>
      </c>
      <c r="T35" s="62">
        <f>Premissas!$C$9*MAX((T9-S9),0)</f>
        <v>0</v>
      </c>
      <c r="U35" s="62">
        <f>Premissas!$C$9*MAX((U9-T9),0)</f>
        <v>0</v>
      </c>
      <c r="V35" s="62">
        <f>Premissas!$C$9*MAX((V9-U9),0)</f>
        <v>0</v>
      </c>
      <c r="W35" s="62">
        <f>Premissas!$C$9*MAX((W9-V9),0)</f>
        <v>0</v>
      </c>
      <c r="X35" s="62">
        <f>Premissas!$C$9*MAX((X9-W9),0)</f>
        <v>0</v>
      </c>
      <c r="Y35" s="62">
        <f>Premissas!$C$9*MAX((Y9-X9),0)</f>
        <v>0</v>
      </c>
      <c r="Z35" s="62">
        <f>Premissas!$C$9*MAX((Z9-Y9),0)</f>
        <v>0</v>
      </c>
      <c r="AA35" s="62">
        <f>Premissas!$C$9*MAX((AA9-Z9),0)</f>
        <v>0</v>
      </c>
      <c r="AB35" s="62">
        <f>Premissas!$C$9*MAX((AB9-AA9),0)</f>
        <v>0</v>
      </c>
      <c r="AC35" s="62">
        <f>Premissas!$C$9*MAX((AC9-AB9),0)</f>
        <v>0</v>
      </c>
      <c r="AD35" s="62">
        <f>Premissas!$C$9*MAX((AD9-AC9),0)</f>
        <v>0</v>
      </c>
      <c r="AE35" s="62">
        <f>Premissas!$C$9*MAX((AE9-AD9),0)</f>
        <v>0</v>
      </c>
      <c r="AF35" s="62">
        <f>Premissas!$C$9*MAX((AF9-AE9),0)</f>
        <v>0</v>
      </c>
      <c r="AG35" s="62">
        <f>Premissas!$C$9*MAX((AG9-AF9),0)</f>
        <v>0</v>
      </c>
      <c r="AH35" s="62">
        <f>Premissas!$C$9*MAX((AH9-AG9),0)</f>
        <v>0</v>
      </c>
      <c r="AI35" s="62">
        <f>Premissas!$C$9*MAX((AI9-AH9),0)</f>
        <v>0</v>
      </c>
      <c r="AJ35" s="62">
        <f>Premissas!$C$9*MAX((AJ9-AI9),0)</f>
        <v>0</v>
      </c>
      <c r="AK35" s="62">
        <f>Premissas!$C$9*MAX((AK9-AJ9),0)</f>
        <v>0</v>
      </c>
      <c r="AL35" s="62">
        <f>Premissas!$C$9*MAX((AL9-AK9),0)</f>
        <v>0</v>
      </c>
      <c r="AM35" s="62">
        <f>Premissas!$C$9*MAX((AM9-AL9),0)</f>
        <v>0</v>
      </c>
      <c r="AN35" s="62">
        <f>Premissas!$C$9*MAX((AN9-AM9),0)</f>
        <v>0</v>
      </c>
      <c r="AO35" s="62">
        <f>Premissas!$C$9*MAX((AO9-AN9),0)</f>
        <v>0</v>
      </c>
      <c r="AP35" s="62">
        <f>Premissas!$C$9*MAX((AP9-AO9),0)</f>
        <v>0</v>
      </c>
      <c r="AQ35" s="62">
        <f>Premissas!$C$9*MAX((AQ9-AP9),0)</f>
        <v>0</v>
      </c>
      <c r="AR35" s="62">
        <f>Premissas!$C$9*MAX((AR9-AQ9),0)</f>
        <v>0</v>
      </c>
      <c r="AS35" s="62">
        <f>Premissas!$C$9*MAX((AS9-AR9),0)</f>
        <v>0</v>
      </c>
      <c r="AT35" s="62">
        <f>Premissas!$C$9*MAX((AT9-AS9),0)</f>
        <v>0</v>
      </c>
      <c r="AU35" s="62">
        <f>Premissas!$C$9*MAX((AU9-AT9),0)</f>
        <v>0</v>
      </c>
      <c r="AV35" s="62">
        <f>Premissas!$C$9*MAX((AV9-AU9),0)</f>
        <v>0</v>
      </c>
      <c r="AW35" s="62">
        <f>Premissas!$C$9*MAX((AW9-AV9),0)</f>
        <v>0</v>
      </c>
      <c r="AX35" s="62">
        <f>Premissas!$C$9*MAX((AX9-AW9),0)</f>
        <v>0</v>
      </c>
      <c r="AY35" s="62">
        <f>Premissas!$C$9*MAX((AY9-AX9),0)</f>
        <v>0</v>
      </c>
      <c r="AZ35" s="62">
        <f>Premissas!$C$9*MAX((AZ9-AY9),0)</f>
        <v>0</v>
      </c>
      <c r="BA35" s="62">
        <f>Premissas!$C$9*MAX((BA9-AZ9),0)</f>
        <v>0</v>
      </c>
      <c r="BB35" s="62">
        <f>Premissas!$C$9*MAX((BB9-BA9),0)</f>
        <v>0</v>
      </c>
      <c r="BC35" s="62">
        <f>Premissas!$C$9*MAX((BC9-BB9),0)</f>
        <v>0</v>
      </c>
      <c r="BD35" s="62">
        <f>Premissas!$C$9*MAX((BD9-BC9),0)</f>
        <v>0</v>
      </c>
      <c r="BE35" s="62">
        <f>Premissas!$C$9*MAX((BE9-BD9),0)</f>
        <v>0</v>
      </c>
      <c r="BF35" s="62">
        <f>Premissas!$C$9*MAX((BF9-BE9),0)</f>
        <v>0</v>
      </c>
      <c r="BG35" s="62">
        <f>Premissas!$C$9*MAX((BG9-BF9),0)</f>
        <v>0</v>
      </c>
      <c r="BH35" s="62">
        <f>Premissas!$C$9*MAX((BH9-BG9),0)</f>
        <v>0</v>
      </c>
      <c r="BI35" s="62">
        <f>Premissas!$C$9*MAX((BI9-BH9),0)</f>
        <v>0</v>
      </c>
      <c r="BJ35" s="62">
        <f>Premissas!$C$9*MAX((BJ9-BI9),0)</f>
        <v>0</v>
      </c>
      <c r="BK35" s="62">
        <f>Premissas!$C$9*MAX((BK9-BJ9),0)</f>
        <v>0</v>
      </c>
      <c r="BL35" s="62">
        <f>Premissas!$C$9*MAX((BL9-BK9),0)</f>
        <v>0</v>
      </c>
      <c r="BM35" s="62">
        <f>Premissas!$C$9*MAX((BM9-BL9),0)</f>
        <v>0</v>
      </c>
      <c r="BN35" s="62">
        <f>Premissas!$C$9*MAX((BN9-BM9),0)</f>
        <v>0</v>
      </c>
      <c r="BO35" s="62">
        <f>Premissas!$C$9*MAX((BO9-BN9),0)</f>
        <v>0</v>
      </c>
      <c r="BP35" s="62">
        <f>Premissas!$C$9*MAX((BP9-BO9),0)</f>
        <v>0</v>
      </c>
      <c r="BQ35" s="62">
        <f>Premissas!$C$9*MAX((BQ9-BP9),0)</f>
        <v>0</v>
      </c>
      <c r="BR35" s="62">
        <f>Premissas!$C$9*MAX((BR9-BQ9),0)</f>
        <v>0</v>
      </c>
      <c r="BS35" s="62">
        <f>Premissas!$C$9*MAX((BS9-BR9),0)</f>
        <v>0</v>
      </c>
      <c r="BT35" s="62">
        <f>Premissas!$C$9*MAX((BT9-BS9),0)</f>
        <v>0</v>
      </c>
      <c r="BU35" s="62">
        <f>Premissas!$C$9*MAX((BU9-BT9),0)</f>
        <v>0</v>
      </c>
      <c r="BV35" s="62">
        <f>Premissas!$C$9*MAX((BV9-BU9),0)</f>
        <v>0</v>
      </c>
      <c r="BW35" s="62">
        <f>Premissas!$C$9*MAX((BW9-BV9),0)</f>
        <v>0</v>
      </c>
      <c r="BX35" s="62">
        <f>Premissas!$C$9*MAX((BX9-BW9),0)</f>
        <v>0</v>
      </c>
      <c r="BY35" s="62">
        <f>Premissas!$C$9*MAX((BY9-BX9),0)</f>
        <v>0</v>
      </c>
      <c r="BZ35" s="62">
        <f>Premissas!$C$9*MAX((BZ9-BY9),0)</f>
        <v>0</v>
      </c>
      <c r="CA35" s="62">
        <f>Premissas!$C$9*MAX((CA9-BZ9),0)</f>
        <v>0</v>
      </c>
      <c r="CB35" s="62">
        <f>Premissas!$C$9*MAX((CB9-CA9),0)</f>
        <v>0</v>
      </c>
      <c r="CC35" s="62">
        <f>Premissas!$C$9*MAX((CC9-CB9),0)</f>
        <v>0</v>
      </c>
      <c r="CD35" s="62">
        <f>Premissas!$C$9*MAX((CD9-CC9),0)</f>
        <v>0</v>
      </c>
      <c r="CE35" s="62">
        <f>Premissas!$C$9*MAX((CE9-CD9),0)</f>
        <v>0</v>
      </c>
      <c r="CF35" s="62">
        <f>Premissas!$C$9*MAX((CF9-CE9),0)</f>
        <v>0</v>
      </c>
      <c r="CG35" s="62">
        <f>Premissas!$C$9*MAX((CG9-CF9),0)</f>
        <v>0</v>
      </c>
      <c r="CH35" s="62">
        <f>Premissas!$C$9*MAX((CH9-CG9),0)</f>
        <v>0</v>
      </c>
      <c r="CI35" s="62">
        <f>Premissas!$C$9*MAX((CI9-CH9),0)</f>
        <v>0</v>
      </c>
      <c r="CJ35" s="62">
        <f>Premissas!$C$9*MAX((CJ9-CI9),0)</f>
        <v>0</v>
      </c>
      <c r="CK35" s="62">
        <f>Premissas!$C$9*MAX((CK9-CJ9),0)</f>
        <v>0</v>
      </c>
      <c r="CL35" s="62">
        <f>Premissas!$C$9*MAX((CL9-CK9),0)</f>
        <v>0</v>
      </c>
      <c r="CM35" s="62">
        <f>Premissas!$C$9*MAX((CM9-CL9),0)</f>
        <v>0</v>
      </c>
      <c r="CN35" s="62">
        <f>Premissas!$C$9*MAX((CN9-CM9),0)</f>
        <v>0</v>
      </c>
      <c r="CO35" s="62">
        <f>Premissas!$C$9*MAX((CO9-CN9),0)</f>
        <v>0</v>
      </c>
      <c r="CP35" s="62">
        <f>Premissas!$C$9*MAX((CP9-CO9),0)</f>
        <v>0</v>
      </c>
      <c r="CQ35" s="62">
        <f>Premissas!$C$9*MAX((CQ9-CP9),0)</f>
        <v>0</v>
      </c>
      <c r="CR35" s="62">
        <f>Premissas!$C$9*MAX((CR9-CQ9),0)</f>
        <v>0</v>
      </c>
      <c r="CS35" s="62">
        <f>Premissas!$C$9*MAX((CS9-CR9),0)</f>
        <v>0</v>
      </c>
      <c r="CT35" s="62">
        <f>Premissas!$C$9*MAX((CT9-CS9),0)</f>
        <v>0</v>
      </c>
      <c r="CU35" s="62">
        <f>Premissas!$C$9*MAX((CU9-CT9),0)</f>
        <v>0</v>
      </c>
      <c r="CV35" s="62">
        <f>Premissas!$C$9*MAX((CV9-CU9),0)</f>
        <v>0</v>
      </c>
      <c r="CW35" s="62">
        <f>Premissas!$C$9*MAX((CW9-CV9),0)</f>
        <v>0</v>
      </c>
      <c r="CX35" s="62">
        <f>Premissas!$C$9*MAX((CX9-CW9),0)</f>
        <v>0</v>
      </c>
      <c r="CY35" s="62">
        <f>Premissas!$C$9*MAX((CY9-CX9),0)</f>
        <v>0</v>
      </c>
      <c r="CZ35" s="62">
        <f>Premissas!$C$9*MAX((CZ9-CY9),0)</f>
        <v>0</v>
      </c>
      <c r="DA35" s="62">
        <f>Premissas!$C$9*MAX((DA9-CZ9),0)</f>
        <v>0</v>
      </c>
      <c r="DB35" s="62">
        <f>Premissas!$C$9*MAX((DB9-DA9),0)</f>
        <v>0</v>
      </c>
      <c r="DC35" s="62">
        <f>Premissas!$C$9*MAX((DC9-DB9),0)</f>
        <v>0</v>
      </c>
      <c r="DD35" s="62">
        <f>Premissas!$C$9*MAX((DD9-DC9),0)</f>
        <v>0</v>
      </c>
      <c r="DE35" s="62">
        <f>Premissas!$C$9*MAX((DE9-DD9),0)</f>
        <v>0</v>
      </c>
      <c r="DF35" s="62">
        <f>Premissas!$C$9*MAX((DF9-DE9),0)</f>
        <v>0</v>
      </c>
      <c r="DG35" s="62">
        <f>Premissas!$C$9*MAX((DG9-DF9),0)</f>
        <v>0</v>
      </c>
      <c r="DH35" s="62">
        <f>Premissas!$C$9*MAX((DH9-DG9),0)</f>
        <v>0</v>
      </c>
      <c r="DI35" s="62">
        <f>Premissas!$C$9*MAX((DI9-DH9),0)</f>
        <v>0</v>
      </c>
      <c r="DJ35" s="62">
        <f>Premissas!$C$9*MAX((DJ9-DI9),0)</f>
        <v>0</v>
      </c>
      <c r="DK35" s="62">
        <f>Premissas!$C$9*MAX((DK9-DJ9),0)</f>
        <v>0</v>
      </c>
      <c r="DL35" s="62">
        <f>Premissas!$C$9*MAX((DL9-DK9),0)</f>
        <v>0</v>
      </c>
      <c r="DM35" s="62">
        <f>Premissas!$C$9*MAX((DM9-DL9),0)</f>
        <v>0</v>
      </c>
      <c r="DN35" s="62">
        <f>Premissas!$C$9*MAX((DN9-DM9),0)</f>
        <v>0</v>
      </c>
      <c r="DO35" s="62">
        <f>Premissas!$C$9*MAX((DO9-DN9),0)</f>
        <v>0</v>
      </c>
      <c r="DP35" s="62">
        <f>Premissas!$C$9*MAX((DP9-DO9),0)</f>
        <v>0</v>
      </c>
      <c r="DQ35" s="62">
        <f>Premissas!$C$9*MAX((DQ9-DP9),0)</f>
        <v>0</v>
      </c>
      <c r="DR35" s="62">
        <f>Premissas!$C$9*MAX((DR9-DQ9),0)</f>
        <v>0</v>
      </c>
      <c r="DS35" s="62">
        <f>Premissas!$C$9*MAX((DS9-DR9),0)</f>
        <v>0</v>
      </c>
      <c r="DT35" s="62">
        <f>Premissas!$C$9*MAX((DT9-DS9),0)</f>
        <v>0</v>
      </c>
      <c r="DU35" s="62">
        <f>Premissas!$C$9*MAX((DU9-DT9),0)</f>
        <v>0</v>
      </c>
      <c r="DV35" s="62">
        <f>Premissas!$C$9*MAX((DV9-DU9),0)</f>
        <v>0</v>
      </c>
      <c r="DW35" s="62">
        <f>Premissas!$C$9*MAX((DW9-DV9),0)</f>
        <v>0</v>
      </c>
      <c r="DX35" s="62">
        <f>Premissas!$C$9*MAX((DX9-DW9),0)</f>
        <v>0</v>
      </c>
      <c r="DY35" s="62">
        <f>Premissas!$C$9*MAX((DY9-DX9),0)</f>
        <v>0</v>
      </c>
      <c r="DZ35" s="62">
        <f>Premissas!$C$9*MAX((DZ9-DY9),0)</f>
        <v>0</v>
      </c>
      <c r="EA35" s="62">
        <f>Premissas!$C$9*MAX((EA9-DZ9),0)</f>
        <v>0</v>
      </c>
      <c r="EB35" s="62">
        <f>Premissas!$C$9*MAX((EB9-EA9),0)</f>
        <v>0</v>
      </c>
      <c r="EC35" s="62">
        <f>Premissas!$C$9*MAX((EC9-EB9),0)</f>
        <v>0</v>
      </c>
      <c r="ED35" s="62">
        <f>Premissas!$C$9*MAX((ED9-EC9),0)</f>
        <v>0</v>
      </c>
    </row>
    <row r="36" spans="1:135" ht="12.5" x14ac:dyDescent="0.25">
      <c r="B36" s="46" t="s">
        <v>59</v>
      </c>
      <c r="D36" s="62">
        <f t="shared" ref="D36:H36" si="46">SUMIFS($O36:$BV36,$O$4:$BV$4,D$3)</f>
        <v>0</v>
      </c>
      <c r="E36" s="62">
        <f t="shared" si="46"/>
        <v>0</v>
      </c>
      <c r="F36" s="62">
        <f t="shared" si="46"/>
        <v>0</v>
      </c>
      <c r="G36" s="62">
        <f t="shared" si="46"/>
        <v>0</v>
      </c>
      <c r="H36" s="62">
        <f t="shared" si="46"/>
        <v>0</v>
      </c>
      <c r="I36" s="62">
        <f t="shared" ref="I36:M36" si="47">SUMIFS($O36:$ED36,$O$4:$ED$4,I$3)</f>
        <v>0</v>
      </c>
      <c r="J36" s="62">
        <f t="shared" si="47"/>
        <v>0</v>
      </c>
      <c r="K36" s="62">
        <f t="shared" si="47"/>
        <v>0</v>
      </c>
      <c r="L36" s="62">
        <f t="shared" si="47"/>
        <v>0</v>
      </c>
      <c r="M36" s="62">
        <f t="shared" si="47"/>
        <v>0</v>
      </c>
      <c r="O36" s="62">
        <f>IF(O7=0,0,-Simulador!$E$64*SUM(O19:O21,O23))</f>
        <v>0</v>
      </c>
      <c r="P36" s="62">
        <f>IF(P7=0,0,-Simulador!$E$64*SUM(P19:P21,P23))</f>
        <v>0</v>
      </c>
      <c r="Q36" s="62">
        <f>IF(Q7=0,0,-Simulador!$E$64*SUM(Q19:Q21,Q23))</f>
        <v>0</v>
      </c>
      <c r="R36" s="62">
        <f>IF(R7=0,0,-Simulador!$E$64*SUM(R19:R21,R23))</f>
        <v>0</v>
      </c>
      <c r="S36" s="62">
        <f>IF(S7=0,0,-Simulador!$E$64*SUM(S19:S21,S23))</f>
        <v>0</v>
      </c>
      <c r="T36" s="62">
        <f>IF(T7=0,0,-Simulador!$E$64*SUM(T19:T21,T23))</f>
        <v>0</v>
      </c>
      <c r="U36" s="62">
        <f>IF(U7=0,0,-Simulador!$E$64*SUM(U19:U21,U23))</f>
        <v>0</v>
      </c>
      <c r="V36" s="62">
        <f>IF(V7=0,0,-Simulador!$E$64*SUM(V19:V21,V23))</f>
        <v>0</v>
      </c>
      <c r="W36" s="62">
        <f>IF(W7=0,0,-Simulador!$E$64*SUM(W19:W21,W23))</f>
        <v>0</v>
      </c>
      <c r="X36" s="62">
        <f>IF(X7=0,0,-Simulador!$E$64*SUM(X19:X21,X23))</f>
        <v>0</v>
      </c>
      <c r="Y36" s="62">
        <f>IF(Y7=0,0,-Simulador!$E$64*SUM(Y19:Y21,Y23))</f>
        <v>0</v>
      </c>
      <c r="Z36" s="62">
        <f>IF(Z7=0,0,-Simulador!$E$64*SUM(Z19:Z21,Z23))</f>
        <v>0</v>
      </c>
      <c r="AA36" s="62">
        <f>IF(AA7=0,0,-Simulador!$E$64*SUM(AA19:AA21,AA23))</f>
        <v>0</v>
      </c>
      <c r="AB36" s="62">
        <f>IF(AB7=0,0,-Simulador!$E$64*SUM(AB19:AB21,AB23))</f>
        <v>0</v>
      </c>
      <c r="AC36" s="62">
        <f>IF(AC7=0,0,-Simulador!$E$64*SUM(AC19:AC21,AC23))</f>
        <v>0</v>
      </c>
      <c r="AD36" s="62">
        <f>IF(AD7=0,0,-Simulador!$E$64*SUM(AD19:AD21,AD23))</f>
        <v>0</v>
      </c>
      <c r="AE36" s="62">
        <f>IF(AE7=0,0,-Simulador!$E$64*SUM(AE19:AE21,AE23))</f>
        <v>0</v>
      </c>
      <c r="AF36" s="62">
        <f>IF(AF7=0,0,-Simulador!$E$64*SUM(AF19:AF21,AF23))</f>
        <v>0</v>
      </c>
      <c r="AG36" s="62">
        <f>IF(AG7=0,0,-Simulador!$E$64*SUM(AG19:AG21,AG23))</f>
        <v>0</v>
      </c>
      <c r="AH36" s="62">
        <f>IF(AH7=0,0,-Simulador!$E$64*SUM(AH19:AH21,AH23))</f>
        <v>0</v>
      </c>
      <c r="AI36" s="62">
        <f>IF(AI7=0,0,-Simulador!$E$64*SUM(AI19:AI21,AI23))</f>
        <v>0</v>
      </c>
      <c r="AJ36" s="62">
        <f>IF(AJ7=0,0,-Simulador!$E$64*SUM(AJ19:AJ21,AJ23))</f>
        <v>0</v>
      </c>
      <c r="AK36" s="62">
        <f>IF(AK7=0,0,-Simulador!$E$64*SUM(AK19:AK21,AK23))</f>
        <v>0</v>
      </c>
      <c r="AL36" s="62">
        <f>IF(AL7=0,0,-Simulador!$E$64*SUM(AL19:AL21,AL23))</f>
        <v>0</v>
      </c>
      <c r="AM36" s="62">
        <f>IF(AM7=0,0,-Simulador!$E$64*SUM(AM19:AM21,AM23))</f>
        <v>0</v>
      </c>
      <c r="AN36" s="62">
        <f>IF(AN7=0,0,-Simulador!$E$64*SUM(AN19:AN21,AN23))</f>
        <v>0</v>
      </c>
      <c r="AO36" s="62">
        <f>IF(AO7=0,0,-Simulador!$E$64*SUM(AO19:AO21,AO23))</f>
        <v>0</v>
      </c>
      <c r="AP36" s="62">
        <f>IF(AP7=0,0,-Simulador!$E$64*SUM(AP19:AP21,AP23))</f>
        <v>0</v>
      </c>
      <c r="AQ36" s="62">
        <f>IF(AQ7=0,0,-Simulador!$E$64*SUM(AQ19:AQ21,AQ23))</f>
        <v>0</v>
      </c>
      <c r="AR36" s="62">
        <f>IF(AR7=0,0,-Simulador!$E$64*SUM(AR19:AR21,AR23))</f>
        <v>0</v>
      </c>
      <c r="AS36" s="62">
        <f>IF(AS7=0,0,-Simulador!$E$64*SUM(AS19:AS21,AS23))</f>
        <v>0</v>
      </c>
      <c r="AT36" s="62">
        <f>IF(AT7=0,0,-Simulador!$E$64*SUM(AT19:AT21,AT23))</f>
        <v>0</v>
      </c>
      <c r="AU36" s="62">
        <f>IF(AU7=0,0,-Simulador!$E$64*SUM(AU19:AU21,AU23))</f>
        <v>0</v>
      </c>
      <c r="AV36" s="62">
        <f>IF(AV7=0,0,-Simulador!$E$64*SUM(AV19:AV21,AV23))</f>
        <v>0</v>
      </c>
      <c r="AW36" s="62">
        <f>IF(AW7=0,0,-Simulador!$E$64*SUM(AW19:AW21,AW23))</f>
        <v>0</v>
      </c>
      <c r="AX36" s="62">
        <f>IF(AX7=0,0,-Simulador!$E$64*SUM(AX19:AX21,AX23))</f>
        <v>0</v>
      </c>
      <c r="AY36" s="62">
        <f>IF(AY7=0,0,-Simulador!$E$64*SUM(AY19:AY21,AY23))</f>
        <v>0</v>
      </c>
      <c r="AZ36" s="62">
        <f>IF(AZ7=0,0,-Simulador!$E$64*SUM(AZ19:AZ21,AZ23))</f>
        <v>0</v>
      </c>
      <c r="BA36" s="62">
        <f>IF(BA7=0,0,-Simulador!$E$64*SUM(BA19:BA21,BA23))</f>
        <v>0</v>
      </c>
      <c r="BB36" s="62">
        <f>IF(BB7=0,0,-Simulador!$E$64*SUM(BB19:BB21,BB23))</f>
        <v>0</v>
      </c>
      <c r="BC36" s="62">
        <f>IF(BC7=0,0,-Simulador!$E$64*SUM(BC19:BC21,BC23))</f>
        <v>0</v>
      </c>
      <c r="BD36" s="62">
        <f>IF(BD7=0,0,-Simulador!$E$64*SUM(BD19:BD21,BD23))</f>
        <v>0</v>
      </c>
      <c r="BE36" s="62">
        <f>IF(BE7=0,0,-Simulador!$E$64*SUM(BE19:BE21,BE23))</f>
        <v>0</v>
      </c>
      <c r="BF36" s="62">
        <f>IF(BF7=0,0,-Simulador!$E$64*SUM(BF19:BF21,BF23))</f>
        <v>0</v>
      </c>
      <c r="BG36" s="62">
        <f>IF(BG7=0,0,-Simulador!$E$64*SUM(BG19:BG21,BG23))</f>
        <v>0</v>
      </c>
      <c r="BH36" s="62">
        <f>IF(BH7=0,0,-Simulador!$E$64*SUM(BH19:BH21,BH23))</f>
        <v>0</v>
      </c>
      <c r="BI36" s="62">
        <f>IF(BI7=0,0,-Simulador!$E$64*SUM(BI19:BI21,BI23))</f>
        <v>0</v>
      </c>
      <c r="BJ36" s="62">
        <f>IF(BJ7=0,0,-Simulador!$E$64*SUM(BJ19:BJ21,BJ23))</f>
        <v>0</v>
      </c>
      <c r="BK36" s="62">
        <f>IF(BK7=0,0,-Simulador!$E$64*SUM(BK19:BK21,BK23))</f>
        <v>0</v>
      </c>
      <c r="BL36" s="62">
        <f>IF(BL7=0,0,-Simulador!$E$64*SUM(BL19:BL21,BL23))</f>
        <v>0</v>
      </c>
      <c r="BM36" s="62">
        <f>IF(BM7=0,0,-Simulador!$E$64*SUM(BM19:BM21,BM23))</f>
        <v>0</v>
      </c>
      <c r="BN36" s="62">
        <f>IF(BN7=0,0,-Simulador!$E$64*SUM(BN19:BN21,BN23))</f>
        <v>0</v>
      </c>
      <c r="BO36" s="62">
        <f>IF(BO7=0,0,-Simulador!$E$64*SUM(BO19:BO21,BO23))</f>
        <v>0</v>
      </c>
      <c r="BP36" s="62">
        <f>IF(BP7=0,0,-Simulador!$E$64*SUM(BP19:BP21,BP23))</f>
        <v>0</v>
      </c>
      <c r="BQ36" s="62">
        <f>IF(BQ7=0,0,-Simulador!$E$64*SUM(BQ19:BQ21,BQ23))</f>
        <v>0</v>
      </c>
      <c r="BR36" s="62">
        <f>IF(BR7=0,0,-Simulador!$E$64*SUM(BR19:BR21,BR23))</f>
        <v>0</v>
      </c>
      <c r="BS36" s="62">
        <f>IF(BS7=0,0,-Simulador!$E$64*SUM(BS19:BS21,BS23))</f>
        <v>0</v>
      </c>
      <c r="BT36" s="62">
        <f>IF(BT7=0,0,-Simulador!$E$64*SUM(BT19:BT21,BT23))</f>
        <v>0</v>
      </c>
      <c r="BU36" s="62">
        <f>IF(BU7=0,0,-Simulador!$E$64*SUM(BU19:BU21,BU23))</f>
        <v>0</v>
      </c>
      <c r="BV36" s="62">
        <f>IF(BV7=0,0,-Simulador!$E$64*SUM(BV19:BV21,BV23))</f>
        <v>0</v>
      </c>
      <c r="BW36" s="62">
        <f>IF(BW7=0,0,-Simulador!$E$64*SUM(BW19:BW21,BW23))</f>
        <v>0</v>
      </c>
      <c r="BX36" s="62">
        <f>IF(BX7=0,0,-Simulador!$E$64*SUM(BX19:BX21,BX23))</f>
        <v>0</v>
      </c>
      <c r="BY36" s="62">
        <f>IF(BY7=0,0,-Simulador!$E$64*SUM(BY19:BY21,BY23))</f>
        <v>0</v>
      </c>
      <c r="BZ36" s="62">
        <f>IF(BZ7=0,0,-Simulador!$E$64*SUM(BZ19:BZ21,BZ23))</f>
        <v>0</v>
      </c>
      <c r="CA36" s="62">
        <f>IF(CA7=0,0,-Simulador!$E$64*SUM(CA19:CA21,CA23))</f>
        <v>0</v>
      </c>
      <c r="CB36" s="62">
        <f>IF(CB7=0,0,-Simulador!$E$64*SUM(CB19:CB21,CB23))</f>
        <v>0</v>
      </c>
      <c r="CC36" s="62">
        <f>IF(CC7=0,0,-Simulador!$E$64*SUM(CC19:CC21,CC23))</f>
        <v>0</v>
      </c>
      <c r="CD36" s="62">
        <f>IF(CD7=0,0,-Simulador!$E$64*SUM(CD19:CD21,CD23))</f>
        <v>0</v>
      </c>
      <c r="CE36" s="62">
        <f>IF(CE7=0,0,-Simulador!$E$64*SUM(CE19:CE21,CE23))</f>
        <v>0</v>
      </c>
      <c r="CF36" s="62">
        <f>IF(CF7=0,0,-Simulador!$E$64*SUM(CF19:CF21,CF23))</f>
        <v>0</v>
      </c>
      <c r="CG36" s="62">
        <f>IF(CG7=0,0,-Simulador!$E$64*SUM(CG19:CG21,CG23))</f>
        <v>0</v>
      </c>
      <c r="CH36" s="62">
        <f>IF(CH7=0,0,-Simulador!$E$64*SUM(CH19:CH21,CH23))</f>
        <v>0</v>
      </c>
      <c r="CI36" s="62">
        <f>IF(CI7=0,0,-Simulador!$E$64*SUM(CI19:CI21,CI23))</f>
        <v>0</v>
      </c>
      <c r="CJ36" s="62">
        <f>IF(CJ7=0,0,-Simulador!$E$64*SUM(CJ19:CJ21,CJ23))</f>
        <v>0</v>
      </c>
      <c r="CK36" s="62">
        <f>IF(CK7=0,0,-Simulador!$E$64*SUM(CK19:CK21,CK23))</f>
        <v>0</v>
      </c>
      <c r="CL36" s="62">
        <f>IF(CL7=0,0,-Simulador!$E$64*SUM(CL19:CL21,CL23))</f>
        <v>0</v>
      </c>
      <c r="CM36" s="62">
        <f>IF(CM7=0,0,-Simulador!$E$64*SUM(CM19:CM21,CM23))</f>
        <v>0</v>
      </c>
      <c r="CN36" s="62">
        <f>IF(CN7=0,0,-Simulador!$E$64*SUM(CN19:CN21,CN23))</f>
        <v>0</v>
      </c>
      <c r="CO36" s="62">
        <f>IF(CO7=0,0,-Simulador!$E$64*SUM(CO19:CO21,CO23))</f>
        <v>0</v>
      </c>
      <c r="CP36" s="62">
        <f>IF(CP7=0,0,-Simulador!$E$64*SUM(CP19:CP21,CP23))</f>
        <v>0</v>
      </c>
      <c r="CQ36" s="62">
        <f>IF(CQ7=0,0,-Simulador!$E$64*SUM(CQ19:CQ21,CQ23))</f>
        <v>0</v>
      </c>
      <c r="CR36" s="62">
        <f>IF(CR7=0,0,-Simulador!$E$64*SUM(CR19:CR21,CR23))</f>
        <v>0</v>
      </c>
      <c r="CS36" s="62">
        <f>IF(CS7=0,0,-Simulador!$E$64*SUM(CS19:CS21,CS23))</f>
        <v>0</v>
      </c>
      <c r="CT36" s="62">
        <f>IF(CT7=0,0,-Simulador!$E$64*SUM(CT19:CT21,CT23))</f>
        <v>0</v>
      </c>
      <c r="CU36" s="62">
        <f>IF(CU7=0,0,-Simulador!$E$64*SUM(CU19:CU21,CU23))</f>
        <v>0</v>
      </c>
      <c r="CV36" s="62">
        <f>IF(CV7=0,0,-Simulador!$E$64*SUM(CV19:CV21,CV23))</f>
        <v>0</v>
      </c>
      <c r="CW36" s="62">
        <f>IF(CW7=0,0,-Simulador!$E$64*SUM(CW19:CW21,CW23))</f>
        <v>0</v>
      </c>
      <c r="CX36" s="62">
        <f>IF(CX7=0,0,-Simulador!$E$64*SUM(CX19:CX21,CX23))</f>
        <v>0</v>
      </c>
      <c r="CY36" s="62">
        <f>IF(CY7=0,0,-Simulador!$E$64*SUM(CY19:CY21,CY23))</f>
        <v>0</v>
      </c>
      <c r="CZ36" s="62">
        <f>IF(CZ7=0,0,-Simulador!$E$64*SUM(CZ19:CZ21,CZ23))</f>
        <v>0</v>
      </c>
      <c r="DA36" s="62">
        <f>IF(DA7=0,0,-Simulador!$E$64*SUM(DA19:DA21,DA23))</f>
        <v>0</v>
      </c>
      <c r="DB36" s="62">
        <f>IF(DB7=0,0,-Simulador!$E$64*SUM(DB19:DB21,DB23))</f>
        <v>0</v>
      </c>
      <c r="DC36" s="62">
        <f>IF(DC7=0,0,-Simulador!$E$64*SUM(DC19:DC21,DC23))</f>
        <v>0</v>
      </c>
      <c r="DD36" s="62">
        <f>IF(DD7=0,0,-Simulador!$E$64*SUM(DD19:DD21,DD23))</f>
        <v>0</v>
      </c>
      <c r="DE36" s="62">
        <f>IF(DE7=0,0,-Simulador!$E$64*SUM(DE19:DE21,DE23))</f>
        <v>0</v>
      </c>
      <c r="DF36" s="62">
        <f>IF(DF7=0,0,-Simulador!$E$64*SUM(DF19:DF21,DF23))</f>
        <v>0</v>
      </c>
      <c r="DG36" s="62">
        <f>IF(DG7=0,0,-Simulador!$E$64*SUM(DG19:DG21,DG23))</f>
        <v>0</v>
      </c>
      <c r="DH36" s="62">
        <f>IF(DH7=0,0,-Simulador!$E$64*SUM(DH19:DH21,DH23))</f>
        <v>0</v>
      </c>
      <c r="DI36" s="62">
        <f>IF(DI7=0,0,-Simulador!$E$64*SUM(DI19:DI21,DI23))</f>
        <v>0</v>
      </c>
      <c r="DJ36" s="62">
        <f>IF(DJ7=0,0,-Simulador!$E$64*SUM(DJ19:DJ21,DJ23))</f>
        <v>0</v>
      </c>
      <c r="DK36" s="62">
        <f>IF(DK7=0,0,-Simulador!$E$64*SUM(DK19:DK21,DK23))</f>
        <v>0</v>
      </c>
      <c r="DL36" s="62">
        <f>IF(DL7=0,0,-Simulador!$E$64*SUM(DL19:DL21,DL23))</f>
        <v>0</v>
      </c>
      <c r="DM36" s="62">
        <f>IF(DM7=0,0,-Simulador!$E$64*SUM(DM19:DM21,DM23))</f>
        <v>0</v>
      </c>
      <c r="DN36" s="62">
        <f>IF(DN7=0,0,-Simulador!$E$64*SUM(DN19:DN21,DN23))</f>
        <v>0</v>
      </c>
      <c r="DO36" s="62">
        <f>IF(DO7=0,0,-Simulador!$E$64*SUM(DO19:DO21,DO23))</f>
        <v>0</v>
      </c>
      <c r="DP36" s="62">
        <f>IF(DP7=0,0,-Simulador!$E$64*SUM(DP19:DP21,DP23))</f>
        <v>0</v>
      </c>
      <c r="DQ36" s="62">
        <f>IF(DQ7=0,0,-Simulador!$E$64*SUM(DQ19:DQ21,DQ23))</f>
        <v>0</v>
      </c>
      <c r="DR36" s="62">
        <f>IF(DR7=0,0,-Simulador!$E$64*SUM(DR19:DR21,DR23))</f>
        <v>0</v>
      </c>
      <c r="DS36" s="62">
        <f>IF(DS7=0,0,-Simulador!$E$64*SUM(DS19:DS21,DS23))</f>
        <v>0</v>
      </c>
      <c r="DT36" s="62">
        <f>IF(DT7=0,0,-Simulador!$E$64*SUM(DT19:DT21,DT23))</f>
        <v>0</v>
      </c>
      <c r="DU36" s="62">
        <f>IF(DU7=0,0,-Simulador!$E$64*SUM(DU19:DU21,DU23))</f>
        <v>0</v>
      </c>
      <c r="DV36" s="62">
        <f>IF(DV7=0,0,-Simulador!$E$64*SUM(DV19:DV21,DV23))</f>
        <v>0</v>
      </c>
      <c r="DW36" s="62">
        <f>IF(DW7=0,0,-Simulador!$E$64*SUM(DW19:DW21,DW23))</f>
        <v>0</v>
      </c>
      <c r="DX36" s="62">
        <f>IF(DX7=0,0,-Simulador!$E$64*SUM(DX19:DX21,DX23))</f>
        <v>0</v>
      </c>
      <c r="DY36" s="62">
        <f>IF(DY7=0,0,-Simulador!$E$64*SUM(DY19:DY21,DY23))</f>
        <v>0</v>
      </c>
      <c r="DZ36" s="62">
        <f>IF(DZ7=0,0,-Simulador!$E$64*SUM(DZ19:DZ21,DZ23))</f>
        <v>0</v>
      </c>
      <c r="EA36" s="62">
        <f>IF(EA7=0,0,-Simulador!$E$64*SUM(EA19:EA21,EA23))</f>
        <v>0</v>
      </c>
      <c r="EB36" s="62">
        <f>IF(EB7=0,0,-Simulador!$E$64*SUM(EB19:EB21,EB23))</f>
        <v>0</v>
      </c>
      <c r="EC36" s="62">
        <f>IF(EC7=0,0,-Simulador!$E$64*SUM(EC19:EC21,EC23))</f>
        <v>0</v>
      </c>
      <c r="ED36" s="62">
        <f>IF(ED7=0,0,-Simulador!$E$64*SUM(ED19:ED21,ED23))</f>
        <v>0</v>
      </c>
      <c r="EE36" s="62"/>
    </row>
    <row r="37" spans="1:135" ht="13" x14ac:dyDescent="0.3">
      <c r="B37" s="38"/>
      <c r="C37" s="53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3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46"/>
    </row>
    <row r="38" spans="1:135" ht="13" x14ac:dyDescent="0.3">
      <c r="B38" s="38" t="s">
        <v>206</v>
      </c>
      <c r="C38" s="53"/>
      <c r="D38" s="62">
        <f t="shared" ref="D38:H38" si="48">SUMIFS($O38:$BV38,$O$4:$BV$4,D$3)</f>
        <v>-6085.1063829787236</v>
      </c>
      <c r="E38" s="62">
        <f t="shared" si="48"/>
        <v>0</v>
      </c>
      <c r="F38" s="62">
        <f t="shared" si="48"/>
        <v>0</v>
      </c>
      <c r="G38" s="62">
        <f t="shared" si="48"/>
        <v>0</v>
      </c>
      <c r="H38" s="62">
        <f t="shared" si="48"/>
        <v>0</v>
      </c>
      <c r="I38" s="62">
        <f t="shared" ref="I38:M38" si="49">SUMIFS($O38:$ED38,$O$4:$ED$4,I$3)</f>
        <v>0</v>
      </c>
      <c r="J38" s="62">
        <f t="shared" si="49"/>
        <v>0</v>
      </c>
      <c r="K38" s="62">
        <f t="shared" si="49"/>
        <v>0</v>
      </c>
      <c r="L38" s="62">
        <f t="shared" si="49"/>
        <v>0</v>
      </c>
      <c r="M38" s="62">
        <f t="shared" si="49"/>
        <v>0</v>
      </c>
      <c r="N38" s="53"/>
      <c r="O38" s="67">
        <f t="shared" ref="O38:ED38" si="50">SUM(O39:O44)</f>
        <v>-6085.1063829787236</v>
      </c>
      <c r="P38" s="67">
        <f t="shared" si="50"/>
        <v>0</v>
      </c>
      <c r="Q38" s="67">
        <f t="shared" si="50"/>
        <v>0</v>
      </c>
      <c r="R38" s="67">
        <f t="shared" si="50"/>
        <v>0</v>
      </c>
      <c r="S38" s="67">
        <f t="shared" si="50"/>
        <v>0</v>
      </c>
      <c r="T38" s="67">
        <f t="shared" si="50"/>
        <v>0</v>
      </c>
      <c r="U38" s="67">
        <f t="shared" si="50"/>
        <v>0</v>
      </c>
      <c r="V38" s="67">
        <f t="shared" si="50"/>
        <v>0</v>
      </c>
      <c r="W38" s="67">
        <f t="shared" si="50"/>
        <v>0</v>
      </c>
      <c r="X38" s="67">
        <f t="shared" si="50"/>
        <v>0</v>
      </c>
      <c r="Y38" s="67">
        <f t="shared" si="50"/>
        <v>0</v>
      </c>
      <c r="Z38" s="67">
        <f t="shared" si="50"/>
        <v>0</v>
      </c>
      <c r="AA38" s="67">
        <f t="shared" si="50"/>
        <v>0</v>
      </c>
      <c r="AB38" s="67">
        <f t="shared" si="50"/>
        <v>0</v>
      </c>
      <c r="AC38" s="67">
        <f t="shared" si="50"/>
        <v>0</v>
      </c>
      <c r="AD38" s="67">
        <f t="shared" si="50"/>
        <v>0</v>
      </c>
      <c r="AE38" s="67">
        <f t="shared" si="50"/>
        <v>0</v>
      </c>
      <c r="AF38" s="67">
        <f t="shared" si="50"/>
        <v>0</v>
      </c>
      <c r="AG38" s="67">
        <f t="shared" si="50"/>
        <v>0</v>
      </c>
      <c r="AH38" s="67">
        <f t="shared" si="50"/>
        <v>0</v>
      </c>
      <c r="AI38" s="67">
        <f t="shared" si="50"/>
        <v>0</v>
      </c>
      <c r="AJ38" s="67">
        <f t="shared" si="50"/>
        <v>0</v>
      </c>
      <c r="AK38" s="67">
        <f t="shared" si="50"/>
        <v>0</v>
      </c>
      <c r="AL38" s="67">
        <f t="shared" si="50"/>
        <v>0</v>
      </c>
      <c r="AM38" s="67">
        <f t="shared" si="50"/>
        <v>0</v>
      </c>
      <c r="AN38" s="67">
        <f t="shared" si="50"/>
        <v>0</v>
      </c>
      <c r="AO38" s="67">
        <f t="shared" si="50"/>
        <v>0</v>
      </c>
      <c r="AP38" s="67">
        <f t="shared" si="50"/>
        <v>0</v>
      </c>
      <c r="AQ38" s="67">
        <f t="shared" si="50"/>
        <v>0</v>
      </c>
      <c r="AR38" s="67">
        <f t="shared" si="50"/>
        <v>0</v>
      </c>
      <c r="AS38" s="67">
        <f t="shared" si="50"/>
        <v>0</v>
      </c>
      <c r="AT38" s="67">
        <f t="shared" si="50"/>
        <v>0</v>
      </c>
      <c r="AU38" s="67">
        <f t="shared" si="50"/>
        <v>0</v>
      </c>
      <c r="AV38" s="67">
        <f t="shared" si="50"/>
        <v>0</v>
      </c>
      <c r="AW38" s="67">
        <f t="shared" si="50"/>
        <v>0</v>
      </c>
      <c r="AX38" s="67">
        <f t="shared" si="50"/>
        <v>0</v>
      </c>
      <c r="AY38" s="67">
        <f t="shared" si="50"/>
        <v>0</v>
      </c>
      <c r="AZ38" s="67">
        <f t="shared" si="50"/>
        <v>0</v>
      </c>
      <c r="BA38" s="67">
        <f t="shared" si="50"/>
        <v>0</v>
      </c>
      <c r="BB38" s="67">
        <f t="shared" si="50"/>
        <v>0</v>
      </c>
      <c r="BC38" s="67">
        <f t="shared" si="50"/>
        <v>0</v>
      </c>
      <c r="BD38" s="67">
        <f t="shared" si="50"/>
        <v>0</v>
      </c>
      <c r="BE38" s="67">
        <f t="shared" si="50"/>
        <v>0</v>
      </c>
      <c r="BF38" s="67">
        <f t="shared" si="50"/>
        <v>0</v>
      </c>
      <c r="BG38" s="67">
        <f t="shared" si="50"/>
        <v>0</v>
      </c>
      <c r="BH38" s="67">
        <f t="shared" si="50"/>
        <v>0</v>
      </c>
      <c r="BI38" s="67">
        <f t="shared" si="50"/>
        <v>0</v>
      </c>
      <c r="BJ38" s="67">
        <f t="shared" si="50"/>
        <v>0</v>
      </c>
      <c r="BK38" s="67">
        <f t="shared" si="50"/>
        <v>0</v>
      </c>
      <c r="BL38" s="67">
        <f t="shared" si="50"/>
        <v>0</v>
      </c>
      <c r="BM38" s="67">
        <f t="shared" si="50"/>
        <v>0</v>
      </c>
      <c r="BN38" s="67">
        <f t="shared" si="50"/>
        <v>0</v>
      </c>
      <c r="BO38" s="67">
        <f t="shared" si="50"/>
        <v>0</v>
      </c>
      <c r="BP38" s="67">
        <f t="shared" si="50"/>
        <v>0</v>
      </c>
      <c r="BQ38" s="67">
        <f t="shared" si="50"/>
        <v>0</v>
      </c>
      <c r="BR38" s="67">
        <f t="shared" si="50"/>
        <v>0</v>
      </c>
      <c r="BS38" s="67">
        <f t="shared" si="50"/>
        <v>0</v>
      </c>
      <c r="BT38" s="67">
        <f t="shared" si="50"/>
        <v>0</v>
      </c>
      <c r="BU38" s="67">
        <f t="shared" si="50"/>
        <v>0</v>
      </c>
      <c r="BV38" s="67">
        <f t="shared" si="50"/>
        <v>0</v>
      </c>
      <c r="BW38" s="67">
        <f t="shared" si="50"/>
        <v>0</v>
      </c>
      <c r="BX38" s="67">
        <f t="shared" si="50"/>
        <v>0</v>
      </c>
      <c r="BY38" s="67">
        <f t="shared" si="50"/>
        <v>0</v>
      </c>
      <c r="BZ38" s="67">
        <f t="shared" si="50"/>
        <v>0</v>
      </c>
      <c r="CA38" s="67">
        <f t="shared" si="50"/>
        <v>0</v>
      </c>
      <c r="CB38" s="67">
        <f t="shared" si="50"/>
        <v>0</v>
      </c>
      <c r="CC38" s="67">
        <f t="shared" si="50"/>
        <v>0</v>
      </c>
      <c r="CD38" s="67">
        <f t="shared" si="50"/>
        <v>0</v>
      </c>
      <c r="CE38" s="67">
        <f t="shared" si="50"/>
        <v>0</v>
      </c>
      <c r="CF38" s="67">
        <f t="shared" si="50"/>
        <v>0</v>
      </c>
      <c r="CG38" s="67">
        <f t="shared" si="50"/>
        <v>0</v>
      </c>
      <c r="CH38" s="67">
        <f t="shared" si="50"/>
        <v>0</v>
      </c>
      <c r="CI38" s="67">
        <f t="shared" si="50"/>
        <v>0</v>
      </c>
      <c r="CJ38" s="67">
        <f t="shared" si="50"/>
        <v>0</v>
      </c>
      <c r="CK38" s="67">
        <f t="shared" si="50"/>
        <v>0</v>
      </c>
      <c r="CL38" s="67">
        <f t="shared" si="50"/>
        <v>0</v>
      </c>
      <c r="CM38" s="67">
        <f t="shared" si="50"/>
        <v>0</v>
      </c>
      <c r="CN38" s="67">
        <f t="shared" si="50"/>
        <v>0</v>
      </c>
      <c r="CO38" s="67">
        <f t="shared" si="50"/>
        <v>0</v>
      </c>
      <c r="CP38" s="67">
        <f t="shared" si="50"/>
        <v>0</v>
      </c>
      <c r="CQ38" s="67">
        <f t="shared" si="50"/>
        <v>0</v>
      </c>
      <c r="CR38" s="67">
        <f t="shared" si="50"/>
        <v>0</v>
      </c>
      <c r="CS38" s="67">
        <f t="shared" si="50"/>
        <v>0</v>
      </c>
      <c r="CT38" s="67">
        <f t="shared" si="50"/>
        <v>0</v>
      </c>
      <c r="CU38" s="67">
        <f t="shared" si="50"/>
        <v>0</v>
      </c>
      <c r="CV38" s="67">
        <f t="shared" si="50"/>
        <v>0</v>
      </c>
      <c r="CW38" s="67">
        <f t="shared" si="50"/>
        <v>0</v>
      </c>
      <c r="CX38" s="67">
        <f t="shared" si="50"/>
        <v>0</v>
      </c>
      <c r="CY38" s="67">
        <f t="shared" si="50"/>
        <v>0</v>
      </c>
      <c r="CZ38" s="67">
        <f t="shared" si="50"/>
        <v>0</v>
      </c>
      <c r="DA38" s="67">
        <f t="shared" si="50"/>
        <v>0</v>
      </c>
      <c r="DB38" s="67">
        <f t="shared" si="50"/>
        <v>0</v>
      </c>
      <c r="DC38" s="67">
        <f t="shared" si="50"/>
        <v>0</v>
      </c>
      <c r="DD38" s="67">
        <f t="shared" si="50"/>
        <v>0</v>
      </c>
      <c r="DE38" s="67">
        <f t="shared" si="50"/>
        <v>0</v>
      </c>
      <c r="DF38" s="67">
        <f t="shared" si="50"/>
        <v>0</v>
      </c>
      <c r="DG38" s="67">
        <f t="shared" si="50"/>
        <v>0</v>
      </c>
      <c r="DH38" s="67">
        <f t="shared" si="50"/>
        <v>0</v>
      </c>
      <c r="DI38" s="67">
        <f t="shared" si="50"/>
        <v>0</v>
      </c>
      <c r="DJ38" s="67">
        <f t="shared" si="50"/>
        <v>0</v>
      </c>
      <c r="DK38" s="67">
        <f t="shared" si="50"/>
        <v>0</v>
      </c>
      <c r="DL38" s="67">
        <f t="shared" si="50"/>
        <v>0</v>
      </c>
      <c r="DM38" s="67">
        <f t="shared" si="50"/>
        <v>0</v>
      </c>
      <c r="DN38" s="67">
        <f t="shared" si="50"/>
        <v>0</v>
      </c>
      <c r="DO38" s="67">
        <f t="shared" si="50"/>
        <v>0</v>
      </c>
      <c r="DP38" s="67">
        <f t="shared" si="50"/>
        <v>0</v>
      </c>
      <c r="DQ38" s="67">
        <f t="shared" si="50"/>
        <v>0</v>
      </c>
      <c r="DR38" s="67">
        <f t="shared" si="50"/>
        <v>0</v>
      </c>
      <c r="DS38" s="67">
        <f t="shared" si="50"/>
        <v>0</v>
      </c>
      <c r="DT38" s="67">
        <f t="shared" si="50"/>
        <v>0</v>
      </c>
      <c r="DU38" s="67">
        <f t="shared" si="50"/>
        <v>0</v>
      </c>
      <c r="DV38" s="67">
        <f t="shared" si="50"/>
        <v>0</v>
      </c>
      <c r="DW38" s="67">
        <f t="shared" si="50"/>
        <v>0</v>
      </c>
      <c r="DX38" s="67">
        <f t="shared" si="50"/>
        <v>0</v>
      </c>
      <c r="DY38" s="67">
        <f t="shared" si="50"/>
        <v>0</v>
      </c>
      <c r="DZ38" s="67">
        <f t="shared" si="50"/>
        <v>0</v>
      </c>
      <c r="EA38" s="67">
        <f t="shared" si="50"/>
        <v>0</v>
      </c>
      <c r="EB38" s="67">
        <f t="shared" si="50"/>
        <v>0</v>
      </c>
      <c r="EC38" s="67">
        <f t="shared" si="50"/>
        <v>0</v>
      </c>
      <c r="ED38" s="67">
        <f t="shared" si="50"/>
        <v>0</v>
      </c>
      <c r="EE38" s="46"/>
    </row>
    <row r="39" spans="1:135" ht="12.5" x14ac:dyDescent="0.25">
      <c r="A39" s="46"/>
      <c r="B39" s="46" t="s">
        <v>207</v>
      </c>
      <c r="C39" s="53"/>
      <c r="D39" s="62">
        <f t="shared" ref="D39:H39" si="51">SUMIFS($O39:$BV39,$O$4:$BV$4,D$3)</f>
        <v>-6085.1063829787236</v>
      </c>
      <c r="E39" s="62">
        <f t="shared" si="51"/>
        <v>0</v>
      </c>
      <c r="F39" s="62">
        <f t="shared" si="51"/>
        <v>0</v>
      </c>
      <c r="G39" s="62">
        <f t="shared" si="51"/>
        <v>0</v>
      </c>
      <c r="H39" s="62">
        <f t="shared" si="51"/>
        <v>0</v>
      </c>
      <c r="I39" s="62">
        <f t="shared" ref="I39:M39" si="52">SUMIFS($O39:$ED39,$O$4:$ED$4,I$3)</f>
        <v>0</v>
      </c>
      <c r="J39" s="62">
        <f t="shared" si="52"/>
        <v>0</v>
      </c>
      <c r="K39" s="62">
        <f t="shared" si="52"/>
        <v>0</v>
      </c>
      <c r="L39" s="62">
        <f t="shared" si="52"/>
        <v>0</v>
      </c>
      <c r="M39" s="62">
        <f t="shared" si="52"/>
        <v>0</v>
      </c>
      <c r="N39" s="53"/>
      <c r="O39" s="62">
        <f>((1/47)*-143000)*2</f>
        <v>-6085.1063829787236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46"/>
    </row>
    <row r="40" spans="1:135" ht="12.5" x14ac:dyDescent="0.25">
      <c r="B40" s="46" t="s">
        <v>208</v>
      </c>
      <c r="C40" s="53"/>
      <c r="D40" s="62">
        <f t="shared" ref="D40:H40" si="53">SUMIFS($O40:$BV40,$O$4:$BV$4,D$3)</f>
        <v>0</v>
      </c>
      <c r="E40" s="62">
        <f t="shared" si="53"/>
        <v>0</v>
      </c>
      <c r="F40" s="62">
        <f t="shared" si="53"/>
        <v>0</v>
      </c>
      <c r="G40" s="62">
        <f t="shared" si="53"/>
        <v>0</v>
      </c>
      <c r="H40" s="62">
        <f t="shared" si="53"/>
        <v>0</v>
      </c>
      <c r="I40" s="62">
        <f t="shared" ref="I40:M40" si="54">SUMIFS($O40:$ED40,$O$4:$ED$4,I$3)</f>
        <v>0</v>
      </c>
      <c r="J40" s="62">
        <f t="shared" si="54"/>
        <v>0</v>
      </c>
      <c r="K40" s="62">
        <f t="shared" si="54"/>
        <v>0</v>
      </c>
      <c r="L40" s="62">
        <f t="shared" si="54"/>
        <v>0</v>
      </c>
      <c r="M40" s="62">
        <f t="shared" si="54"/>
        <v>0</v>
      </c>
      <c r="N40" s="53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46"/>
    </row>
    <row r="41" spans="1:135" ht="12.5" x14ac:dyDescent="0.25">
      <c r="B41" s="46" t="s">
        <v>45</v>
      </c>
      <c r="C41" s="53"/>
      <c r="D41" s="62">
        <f t="shared" ref="D41:H41" si="55">SUMIFS($O41:$BV41,$O$4:$BV$4,D$3)</f>
        <v>0</v>
      </c>
      <c r="E41" s="62">
        <f t="shared" si="55"/>
        <v>0</v>
      </c>
      <c r="F41" s="62">
        <f t="shared" si="55"/>
        <v>0</v>
      </c>
      <c r="G41" s="62">
        <f t="shared" si="55"/>
        <v>0</v>
      </c>
      <c r="H41" s="62">
        <f t="shared" si="55"/>
        <v>0</v>
      </c>
      <c r="I41" s="62">
        <f t="shared" ref="I41:M41" si="56">SUMIFS($O41:$ED41,$O$4:$ED$4,I$3)</f>
        <v>0</v>
      </c>
      <c r="J41" s="62">
        <f t="shared" si="56"/>
        <v>0</v>
      </c>
      <c r="K41" s="62">
        <f t="shared" si="56"/>
        <v>0</v>
      </c>
      <c r="L41" s="62">
        <f t="shared" si="56"/>
        <v>0</v>
      </c>
      <c r="M41" s="62">
        <f t="shared" si="56"/>
        <v>0</v>
      </c>
      <c r="N41" s="53"/>
      <c r="O41" s="62">
        <f>-O$7*Simulador!$E$52</f>
        <v>0</v>
      </c>
      <c r="P41" s="62">
        <f>-P$7*Simulador!$E$52</f>
        <v>0</v>
      </c>
      <c r="Q41" s="62">
        <f>-Q$7*Simulador!$E$52</f>
        <v>0</v>
      </c>
      <c r="R41" s="62">
        <f>-R$7*Simulador!$E$52</f>
        <v>0</v>
      </c>
      <c r="S41" s="62">
        <f>-S$7*Simulador!$E$52</f>
        <v>0</v>
      </c>
      <c r="T41" s="62">
        <f>-T$7*Simulador!$E$52</f>
        <v>0</v>
      </c>
      <c r="U41" s="62">
        <f>-U$7*Simulador!$E$52</f>
        <v>0</v>
      </c>
      <c r="V41" s="62">
        <f>-V$7*Simulador!$E$52</f>
        <v>0</v>
      </c>
      <c r="W41" s="62">
        <f>-W$7*Simulador!$E$52</f>
        <v>0</v>
      </c>
      <c r="X41" s="62">
        <f>-X$7*Simulador!$E$52</f>
        <v>0</v>
      </c>
      <c r="Y41" s="62">
        <f>-Y$7*Simulador!$E$52</f>
        <v>0</v>
      </c>
      <c r="Z41" s="62">
        <f>-Z$7*Simulador!$E$52</f>
        <v>0</v>
      </c>
      <c r="AA41" s="62">
        <f>-AA$7*Simulador!$E$52</f>
        <v>0</v>
      </c>
      <c r="AB41" s="62">
        <f>-AB$7*Simulador!$E$52</f>
        <v>0</v>
      </c>
      <c r="AC41" s="62">
        <f>-AC$7*Simulador!$E$52</f>
        <v>0</v>
      </c>
      <c r="AD41" s="62">
        <f>-AD$7*Simulador!$E$52</f>
        <v>0</v>
      </c>
      <c r="AE41" s="62">
        <f>-AE$7*Simulador!$E$52</f>
        <v>0</v>
      </c>
      <c r="AF41" s="62">
        <f>-AF$7*Simulador!$E$52</f>
        <v>0</v>
      </c>
      <c r="AG41" s="62">
        <f>-AG$7*Simulador!$E$52</f>
        <v>0</v>
      </c>
      <c r="AH41" s="62">
        <f>-AH$7*Simulador!$E$52</f>
        <v>0</v>
      </c>
      <c r="AI41" s="62">
        <f>-AI$7*Simulador!$E$52</f>
        <v>0</v>
      </c>
      <c r="AJ41" s="62">
        <f>-AJ$7*Simulador!$E$52</f>
        <v>0</v>
      </c>
      <c r="AK41" s="62">
        <f>-AK$7*Simulador!$E$52</f>
        <v>0</v>
      </c>
      <c r="AL41" s="62">
        <f>-AL$7*Simulador!$E$52</f>
        <v>0</v>
      </c>
      <c r="AM41" s="62">
        <f>-AM$7*Simulador!$E$52</f>
        <v>0</v>
      </c>
      <c r="AN41" s="62">
        <f>-AN$7*Simulador!$E$52</f>
        <v>0</v>
      </c>
      <c r="AO41" s="62">
        <f>-AO$7*Simulador!$E$52</f>
        <v>0</v>
      </c>
      <c r="AP41" s="62">
        <f>-AP$7*Simulador!$E$52</f>
        <v>0</v>
      </c>
      <c r="AQ41" s="62">
        <f>-AQ$7*Simulador!$E$52</f>
        <v>0</v>
      </c>
      <c r="AR41" s="62">
        <f>-AR$7*Simulador!$E$52</f>
        <v>0</v>
      </c>
      <c r="AS41" s="62">
        <f>-AS$7*Simulador!$E$52</f>
        <v>0</v>
      </c>
      <c r="AT41" s="62">
        <f>-AT$7*Simulador!$E$52</f>
        <v>0</v>
      </c>
      <c r="AU41" s="62">
        <f>-AU$7*Simulador!$E$52</f>
        <v>0</v>
      </c>
      <c r="AV41" s="62">
        <f>-AV$7*Simulador!$E$52</f>
        <v>0</v>
      </c>
      <c r="AW41" s="62">
        <f>-AW$7*Simulador!$E$52</f>
        <v>0</v>
      </c>
      <c r="AX41" s="62">
        <f>-AX$7*Simulador!$E$52</f>
        <v>0</v>
      </c>
      <c r="AY41" s="62">
        <f>-AY$7*Simulador!$E$52</f>
        <v>0</v>
      </c>
      <c r="AZ41" s="62">
        <f>-AZ$7*Simulador!$E$52</f>
        <v>0</v>
      </c>
      <c r="BA41" s="62">
        <f>-BA$7*Simulador!$E$52</f>
        <v>0</v>
      </c>
      <c r="BB41" s="62">
        <f>-BB$7*Simulador!$E$52</f>
        <v>0</v>
      </c>
      <c r="BC41" s="62">
        <f>-BC$7*Simulador!$E$52</f>
        <v>0</v>
      </c>
      <c r="BD41" s="62">
        <f>-BD$7*Simulador!$E$52</f>
        <v>0</v>
      </c>
      <c r="BE41" s="62">
        <f>-BE$7*Simulador!$E$52</f>
        <v>0</v>
      </c>
      <c r="BF41" s="62">
        <f>-BF$7*Simulador!$E$52</f>
        <v>0</v>
      </c>
      <c r="BG41" s="62">
        <f>-BG$7*Simulador!$E$52</f>
        <v>0</v>
      </c>
      <c r="BH41" s="62">
        <f>-BH$7*Simulador!$E$52</f>
        <v>0</v>
      </c>
      <c r="BI41" s="62">
        <f>-BI$7*Simulador!$E$52</f>
        <v>0</v>
      </c>
      <c r="BJ41" s="62">
        <f>-BJ$7*Simulador!$E$52</f>
        <v>0</v>
      </c>
      <c r="BK41" s="62">
        <f>-BK$7*Simulador!$E$52</f>
        <v>0</v>
      </c>
      <c r="BL41" s="62">
        <f>-BL$7*Simulador!$E$52</f>
        <v>0</v>
      </c>
      <c r="BM41" s="62">
        <f>-BM$7*Simulador!$E$52</f>
        <v>0</v>
      </c>
      <c r="BN41" s="62">
        <f>-BN$7*Simulador!$E$52</f>
        <v>0</v>
      </c>
      <c r="BO41" s="62">
        <f>-BO$7*Simulador!$E$52</f>
        <v>0</v>
      </c>
      <c r="BP41" s="62">
        <f>-BP$7*Simulador!$E$52</f>
        <v>0</v>
      </c>
      <c r="BQ41" s="62">
        <f>-BQ$7*Simulador!$E$52</f>
        <v>0</v>
      </c>
      <c r="BR41" s="62">
        <f>-BR$7*Simulador!$E$52</f>
        <v>0</v>
      </c>
      <c r="BS41" s="62">
        <f>-BS$7*Simulador!$E$52</f>
        <v>0</v>
      </c>
      <c r="BT41" s="62">
        <f>-BT$7*Simulador!$E$52</f>
        <v>0</v>
      </c>
      <c r="BU41" s="62">
        <f>-BU$7*Simulador!$E$52</f>
        <v>0</v>
      </c>
      <c r="BV41" s="62">
        <f>-BV$7*Simulador!$E$52</f>
        <v>0</v>
      </c>
      <c r="BW41" s="62">
        <f>-BW$7*Simulador!$E$52</f>
        <v>0</v>
      </c>
      <c r="BX41" s="62">
        <f>-BX$7*Simulador!$E$52</f>
        <v>0</v>
      </c>
      <c r="BY41" s="62">
        <f>-BY$7*Simulador!$E$52</f>
        <v>0</v>
      </c>
      <c r="BZ41" s="62">
        <f>-BZ$7*Simulador!$E$52</f>
        <v>0</v>
      </c>
      <c r="CA41" s="62">
        <f>-CA$7*Simulador!$E$52</f>
        <v>0</v>
      </c>
      <c r="CB41" s="62">
        <f>-CB$7*Simulador!$E$52</f>
        <v>0</v>
      </c>
      <c r="CC41" s="62">
        <f>-CC$7*Simulador!$E$52</f>
        <v>0</v>
      </c>
      <c r="CD41" s="62">
        <f>-CD$7*Simulador!$E$52</f>
        <v>0</v>
      </c>
      <c r="CE41" s="62">
        <f>-CE$7*Simulador!$E$52</f>
        <v>0</v>
      </c>
      <c r="CF41" s="62">
        <f>-CF$7*Simulador!$E$52</f>
        <v>0</v>
      </c>
      <c r="CG41" s="62">
        <f>-CG$7*Simulador!$E$52</f>
        <v>0</v>
      </c>
      <c r="CH41" s="62">
        <f>-CH$7*Simulador!$E$52</f>
        <v>0</v>
      </c>
      <c r="CI41" s="62">
        <f>-CI$7*Simulador!$E$52</f>
        <v>0</v>
      </c>
      <c r="CJ41" s="62">
        <f>-CJ$7*Simulador!$E$52</f>
        <v>0</v>
      </c>
      <c r="CK41" s="62">
        <f>-CK$7*Simulador!$E$52</f>
        <v>0</v>
      </c>
      <c r="CL41" s="62">
        <f>-CL$7*Simulador!$E$52</f>
        <v>0</v>
      </c>
      <c r="CM41" s="62">
        <f>-CM$7*Simulador!$E$52</f>
        <v>0</v>
      </c>
      <c r="CN41" s="62">
        <f>-CN$7*Simulador!$E$52</f>
        <v>0</v>
      </c>
      <c r="CO41" s="62">
        <f>-CO$7*Simulador!$E$52</f>
        <v>0</v>
      </c>
      <c r="CP41" s="62">
        <f>-CP$7*Simulador!$E$52</f>
        <v>0</v>
      </c>
      <c r="CQ41" s="62">
        <f>-CQ$7*Simulador!$E$52</f>
        <v>0</v>
      </c>
      <c r="CR41" s="62">
        <f>-CR$7*Simulador!$E$52</f>
        <v>0</v>
      </c>
      <c r="CS41" s="62">
        <f>-CS$7*Simulador!$E$52</f>
        <v>0</v>
      </c>
      <c r="CT41" s="62">
        <f>-CT$7*Simulador!$E$52</f>
        <v>0</v>
      </c>
      <c r="CU41" s="62">
        <f>-CU$7*Simulador!$E$52</f>
        <v>0</v>
      </c>
      <c r="CV41" s="62">
        <f>-CV$7*Simulador!$E$52</f>
        <v>0</v>
      </c>
      <c r="CW41" s="62">
        <f>-CW$7*Simulador!$E$52</f>
        <v>0</v>
      </c>
      <c r="CX41" s="62">
        <f>-CX$7*Simulador!$E$52</f>
        <v>0</v>
      </c>
      <c r="CY41" s="62">
        <f>-CY$7*Simulador!$E$52</f>
        <v>0</v>
      </c>
      <c r="CZ41" s="62">
        <f>-CZ$7*Simulador!$E$52</f>
        <v>0</v>
      </c>
      <c r="DA41" s="62">
        <f>-DA$7*Simulador!$E$52</f>
        <v>0</v>
      </c>
      <c r="DB41" s="62">
        <f>-DB$7*Simulador!$E$52</f>
        <v>0</v>
      </c>
      <c r="DC41" s="62">
        <f>-DC$7*Simulador!$E$52</f>
        <v>0</v>
      </c>
      <c r="DD41" s="62">
        <f>-DD$7*Simulador!$E$52</f>
        <v>0</v>
      </c>
      <c r="DE41" s="62">
        <f>-DE$7*Simulador!$E$52</f>
        <v>0</v>
      </c>
      <c r="DF41" s="62">
        <f>-DF$7*Simulador!$E$52</f>
        <v>0</v>
      </c>
      <c r="DG41" s="62">
        <f>-DG$7*Simulador!$E$52</f>
        <v>0</v>
      </c>
      <c r="DH41" s="62">
        <f>-DH$7*Simulador!$E$52</f>
        <v>0</v>
      </c>
      <c r="DI41" s="62">
        <f>-DI$7*Simulador!$E$52</f>
        <v>0</v>
      </c>
      <c r="DJ41" s="62">
        <f>-DJ$7*Simulador!$E$52</f>
        <v>0</v>
      </c>
      <c r="DK41" s="62">
        <f>-DK$7*Simulador!$E$52</f>
        <v>0</v>
      </c>
      <c r="DL41" s="62">
        <f>-DL$7*Simulador!$E$52</f>
        <v>0</v>
      </c>
      <c r="DM41" s="62">
        <f>-DM$7*Simulador!$E$52</f>
        <v>0</v>
      </c>
      <c r="DN41" s="62">
        <f>-DN$7*Simulador!$E$52</f>
        <v>0</v>
      </c>
      <c r="DO41" s="62">
        <f>-DO$7*Simulador!$E$52</f>
        <v>0</v>
      </c>
      <c r="DP41" s="62">
        <f>-DP$7*Simulador!$E$52</f>
        <v>0</v>
      </c>
      <c r="DQ41" s="62">
        <f>-DQ$7*Simulador!$E$52</f>
        <v>0</v>
      </c>
      <c r="DR41" s="62">
        <f>-DR$7*Simulador!$E$52</f>
        <v>0</v>
      </c>
      <c r="DS41" s="62">
        <f>-DS$7*Simulador!$E$52</f>
        <v>0</v>
      </c>
      <c r="DT41" s="62">
        <f>-DT$7*Simulador!$E$52</f>
        <v>0</v>
      </c>
      <c r="DU41" s="62">
        <f>-DU$7*Simulador!$E$52</f>
        <v>0</v>
      </c>
      <c r="DV41" s="62">
        <f>-DV$7*Simulador!$E$52</f>
        <v>0</v>
      </c>
      <c r="DW41" s="62">
        <f>-DW$7*Simulador!$E$52</f>
        <v>0</v>
      </c>
      <c r="DX41" s="62">
        <f>-DX$7*Simulador!$E$52</f>
        <v>0</v>
      </c>
      <c r="DY41" s="62">
        <f>-DY$7*Simulador!$E$52</f>
        <v>0</v>
      </c>
      <c r="DZ41" s="62">
        <f>-DZ$7*Simulador!$E$52</f>
        <v>0</v>
      </c>
      <c r="EA41" s="62">
        <f>-EA$7*Simulador!$E$52</f>
        <v>0</v>
      </c>
      <c r="EB41" s="62">
        <f>-EB$7*Simulador!$E$52</f>
        <v>0</v>
      </c>
      <c r="EC41" s="62">
        <f>-EC$7*Simulador!$E$52</f>
        <v>0</v>
      </c>
      <c r="ED41" s="62">
        <f>-ED$7*Simulador!$E$52</f>
        <v>0</v>
      </c>
      <c r="EE41" s="46"/>
    </row>
    <row r="42" spans="1:135" ht="12.5" x14ac:dyDescent="0.25">
      <c r="A42" s="26"/>
      <c r="B42" s="46" t="s">
        <v>53</v>
      </c>
      <c r="C42" s="26"/>
      <c r="D42" s="62">
        <f t="shared" ref="D42:H42" si="57">SUMIFS($O42:$BV42,$O$4:$BV$4,D$3)</f>
        <v>0</v>
      </c>
      <c r="E42" s="62">
        <f t="shared" si="57"/>
        <v>0</v>
      </c>
      <c r="F42" s="62">
        <f t="shared" si="57"/>
        <v>0</v>
      </c>
      <c r="G42" s="62">
        <f t="shared" si="57"/>
        <v>0</v>
      </c>
      <c r="H42" s="62">
        <f t="shared" si="57"/>
        <v>0</v>
      </c>
      <c r="I42" s="62">
        <f t="shared" ref="I42:M42" si="58">SUMIFS($O42:$ED42,$O$4:$ED$4,I$3)</f>
        <v>0</v>
      </c>
      <c r="J42" s="62">
        <f t="shared" si="58"/>
        <v>0</v>
      </c>
      <c r="K42" s="62">
        <f t="shared" si="58"/>
        <v>0</v>
      </c>
      <c r="L42" s="62">
        <f t="shared" si="58"/>
        <v>0</v>
      </c>
      <c r="M42" s="62">
        <f t="shared" si="58"/>
        <v>0</v>
      </c>
      <c r="N42" s="26"/>
      <c r="O42" s="68">
        <f>-Simulador!$E$58</f>
        <v>0</v>
      </c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</row>
    <row r="43" spans="1:135" ht="12.5" x14ac:dyDescent="0.25">
      <c r="A43" s="26"/>
      <c r="B43" s="46" t="s">
        <v>209</v>
      </c>
      <c r="C43" s="26"/>
      <c r="D43" s="68">
        <f t="shared" ref="D43:H43" si="59">SUMIFS($O43:$BV43,$O$4:$BV$4,D$3)</f>
        <v>0</v>
      </c>
      <c r="E43" s="68">
        <f t="shared" si="59"/>
        <v>0</v>
      </c>
      <c r="F43" s="68">
        <f t="shared" si="59"/>
        <v>0</v>
      </c>
      <c r="G43" s="68">
        <f t="shared" si="59"/>
        <v>0</v>
      </c>
      <c r="H43" s="68">
        <f t="shared" si="59"/>
        <v>0</v>
      </c>
      <c r="I43" s="68">
        <f t="shared" ref="I43:M43" si="60">SUMIFS($O43:$ED43,$O$4:$ED$4,I$3)</f>
        <v>0</v>
      </c>
      <c r="J43" s="68">
        <f t="shared" si="60"/>
        <v>0</v>
      </c>
      <c r="K43" s="68">
        <f t="shared" si="60"/>
        <v>0</v>
      </c>
      <c r="L43" s="68">
        <f t="shared" si="60"/>
        <v>0</v>
      </c>
      <c r="M43" s="68">
        <f t="shared" si="60"/>
        <v>0</v>
      </c>
      <c r="N43" s="26"/>
      <c r="O43" s="68">
        <v>0</v>
      </c>
      <c r="P43" s="68">
        <v>0</v>
      </c>
      <c r="Q43" s="68">
        <v>0</v>
      </c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0</v>
      </c>
      <c r="AB43" s="68">
        <v>0</v>
      </c>
      <c r="AC43" s="68">
        <v>0</v>
      </c>
      <c r="AD43" s="68">
        <v>0</v>
      </c>
      <c r="AE43" s="68">
        <v>0</v>
      </c>
      <c r="AF43" s="68">
        <v>0</v>
      </c>
      <c r="AG43" s="68">
        <v>0</v>
      </c>
      <c r="AH43" s="68">
        <v>0</v>
      </c>
      <c r="AI43" s="68">
        <v>0</v>
      </c>
      <c r="AJ43" s="68">
        <v>0</v>
      </c>
      <c r="AK43" s="68">
        <v>0</v>
      </c>
      <c r="AL43" s="68">
        <v>0</v>
      </c>
      <c r="AM43" s="68">
        <v>0</v>
      </c>
      <c r="AN43" s="68">
        <v>0</v>
      </c>
      <c r="AO43" s="68">
        <v>0</v>
      </c>
      <c r="AP43" s="68">
        <v>0</v>
      </c>
      <c r="AQ43" s="68">
        <v>0</v>
      </c>
      <c r="AR43" s="68">
        <v>0</v>
      </c>
      <c r="AS43" s="68">
        <v>0</v>
      </c>
      <c r="AT43" s="68">
        <v>0</v>
      </c>
      <c r="AU43" s="68">
        <v>0</v>
      </c>
      <c r="AV43" s="68">
        <v>0</v>
      </c>
      <c r="AW43" s="68">
        <v>0</v>
      </c>
      <c r="AX43" s="68">
        <v>0</v>
      </c>
      <c r="AY43" s="68">
        <v>0</v>
      </c>
      <c r="AZ43" s="68">
        <v>0</v>
      </c>
      <c r="BA43" s="68">
        <v>0</v>
      </c>
      <c r="BB43" s="68">
        <v>0</v>
      </c>
      <c r="BC43" s="68">
        <v>0</v>
      </c>
      <c r="BD43" s="68">
        <v>0</v>
      </c>
      <c r="BE43" s="68">
        <v>0</v>
      </c>
      <c r="BF43" s="68">
        <v>0</v>
      </c>
      <c r="BG43" s="68">
        <v>0</v>
      </c>
      <c r="BH43" s="68">
        <v>0</v>
      </c>
      <c r="BI43" s="68">
        <v>0</v>
      </c>
      <c r="BJ43" s="68">
        <v>0</v>
      </c>
      <c r="BK43" s="68">
        <v>0</v>
      </c>
      <c r="BL43" s="68">
        <v>0</v>
      </c>
      <c r="BM43" s="68">
        <v>0</v>
      </c>
      <c r="BN43" s="68">
        <v>0</v>
      </c>
      <c r="BO43" s="68">
        <v>0</v>
      </c>
      <c r="BP43" s="68">
        <v>0</v>
      </c>
      <c r="BQ43" s="68">
        <v>0</v>
      </c>
      <c r="BR43" s="68">
        <v>0</v>
      </c>
      <c r="BS43" s="68">
        <v>0</v>
      </c>
      <c r="BT43" s="68">
        <v>0</v>
      </c>
      <c r="BU43" s="68">
        <v>0</v>
      </c>
      <c r="BV43" s="68">
        <v>0</v>
      </c>
      <c r="BW43" s="68">
        <v>0</v>
      </c>
      <c r="BX43" s="68">
        <v>0</v>
      </c>
      <c r="BY43" s="68">
        <v>0</v>
      </c>
      <c r="BZ43" s="68">
        <v>0</v>
      </c>
      <c r="CA43" s="68">
        <v>0</v>
      </c>
      <c r="CB43" s="68">
        <v>0</v>
      </c>
      <c r="CC43" s="68">
        <v>0</v>
      </c>
      <c r="CD43" s="68">
        <v>0</v>
      </c>
      <c r="CE43" s="68">
        <v>0</v>
      </c>
      <c r="CF43" s="68">
        <v>0</v>
      </c>
      <c r="CG43" s="68">
        <v>0</v>
      </c>
      <c r="CH43" s="68">
        <v>0</v>
      </c>
      <c r="CI43" s="68">
        <v>0</v>
      </c>
      <c r="CJ43" s="68">
        <v>0</v>
      </c>
      <c r="CK43" s="68">
        <v>0</v>
      </c>
      <c r="CL43" s="68">
        <v>0</v>
      </c>
      <c r="CM43" s="68">
        <v>0</v>
      </c>
      <c r="CN43" s="68">
        <v>0</v>
      </c>
      <c r="CO43" s="68">
        <v>0</v>
      </c>
      <c r="CP43" s="68">
        <v>0</v>
      </c>
      <c r="CQ43" s="68">
        <v>0</v>
      </c>
      <c r="CR43" s="68">
        <v>0</v>
      </c>
      <c r="CS43" s="68">
        <v>0</v>
      </c>
      <c r="CT43" s="68">
        <v>0</v>
      </c>
      <c r="CU43" s="68">
        <v>0</v>
      </c>
      <c r="CV43" s="68">
        <v>0</v>
      </c>
      <c r="CW43" s="68">
        <v>0</v>
      </c>
      <c r="CX43" s="68">
        <v>0</v>
      </c>
      <c r="CY43" s="68">
        <v>0</v>
      </c>
      <c r="CZ43" s="68">
        <v>0</v>
      </c>
      <c r="DA43" s="68">
        <v>0</v>
      </c>
      <c r="DB43" s="68">
        <v>0</v>
      </c>
      <c r="DC43" s="68">
        <v>0</v>
      </c>
      <c r="DD43" s="68">
        <v>0</v>
      </c>
      <c r="DE43" s="68">
        <v>0</v>
      </c>
      <c r="DF43" s="68">
        <v>0</v>
      </c>
      <c r="DG43" s="68">
        <v>0</v>
      </c>
      <c r="DH43" s="68">
        <v>0</v>
      </c>
      <c r="DI43" s="68">
        <v>0</v>
      </c>
      <c r="DJ43" s="68">
        <v>0</v>
      </c>
      <c r="DK43" s="68">
        <v>0</v>
      </c>
      <c r="DL43" s="68">
        <v>0</v>
      </c>
      <c r="DM43" s="68">
        <v>0</v>
      </c>
      <c r="DN43" s="68">
        <v>0</v>
      </c>
      <c r="DO43" s="68">
        <v>0</v>
      </c>
      <c r="DP43" s="68">
        <v>0</v>
      </c>
      <c r="DQ43" s="68">
        <v>0</v>
      </c>
      <c r="DR43" s="68">
        <v>0</v>
      </c>
      <c r="DS43" s="68">
        <v>0</v>
      </c>
      <c r="DT43" s="68">
        <v>0</v>
      </c>
      <c r="DU43" s="68">
        <v>0</v>
      </c>
      <c r="DV43" s="68">
        <v>0</v>
      </c>
      <c r="DW43" s="68">
        <v>0</v>
      </c>
      <c r="DX43" s="68">
        <v>0</v>
      </c>
      <c r="DY43" s="68">
        <v>0</v>
      </c>
      <c r="DZ43" s="68">
        <v>0</v>
      </c>
      <c r="EA43" s="68">
        <v>0</v>
      </c>
      <c r="EB43" s="68">
        <v>0</v>
      </c>
      <c r="EC43" s="68">
        <v>0</v>
      </c>
      <c r="ED43" s="68">
        <v>0</v>
      </c>
      <c r="EE43" s="68"/>
    </row>
    <row r="44" spans="1:135" ht="12.5" x14ac:dyDescent="0.25">
      <c r="A44" s="26"/>
      <c r="B44" s="46" t="s">
        <v>210</v>
      </c>
      <c r="C44" s="26"/>
      <c r="D44" s="68">
        <f t="shared" ref="D44:H44" si="61">SUMIFS($O44:$BV44,$O$4:$BV$4,D$3)</f>
        <v>0</v>
      </c>
      <c r="E44" s="68">
        <f t="shared" si="61"/>
        <v>0</v>
      </c>
      <c r="F44" s="68">
        <f t="shared" si="61"/>
        <v>0</v>
      </c>
      <c r="G44" s="68">
        <f t="shared" si="61"/>
        <v>0</v>
      </c>
      <c r="H44" s="68">
        <f t="shared" si="61"/>
        <v>0</v>
      </c>
      <c r="I44" s="68">
        <f t="shared" ref="I44:M44" si="62">SUMIFS($O44:$ED44,$O$4:$ED$4,I$3)</f>
        <v>0</v>
      </c>
      <c r="J44" s="68">
        <f t="shared" si="62"/>
        <v>0</v>
      </c>
      <c r="K44" s="68">
        <f t="shared" si="62"/>
        <v>0</v>
      </c>
      <c r="L44" s="68">
        <f t="shared" si="62"/>
        <v>0</v>
      </c>
      <c r="M44" s="68">
        <f t="shared" si="62"/>
        <v>0</v>
      </c>
      <c r="N44" s="26"/>
      <c r="O44" s="68">
        <v>0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</row>
    <row r="45" spans="1:135" ht="13" x14ac:dyDescent="0.3">
      <c r="B45" s="38"/>
      <c r="C45" s="53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53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46"/>
    </row>
    <row r="46" spans="1:135" ht="13" x14ac:dyDescent="0.3">
      <c r="B46" s="38" t="s">
        <v>211</v>
      </c>
      <c r="C46" s="53"/>
      <c r="D46" s="67">
        <f t="shared" ref="D46:H46" si="63">SUMIFS($O46:$BV46,$O$4:$BV$4,D$3)</f>
        <v>93560.26861702124</v>
      </c>
      <c r="E46" s="67">
        <f t="shared" si="63"/>
        <v>130179.99999999996</v>
      </c>
      <c r="F46" s="67">
        <f t="shared" si="63"/>
        <v>130179.99999999996</v>
      </c>
      <c r="G46" s="67">
        <f t="shared" si="63"/>
        <v>130179.99999999996</v>
      </c>
      <c r="H46" s="67">
        <f t="shared" si="63"/>
        <v>130179.99999999996</v>
      </c>
      <c r="I46" s="67">
        <f t="shared" ref="I46:M46" si="64">SUMIFS($O46:$ED46,$O$4:$ED$4,I$3)</f>
        <v>0</v>
      </c>
      <c r="J46" s="67">
        <f t="shared" si="64"/>
        <v>0</v>
      </c>
      <c r="K46" s="67">
        <f t="shared" si="64"/>
        <v>0</v>
      </c>
      <c r="L46" s="67">
        <f t="shared" si="64"/>
        <v>0</v>
      </c>
      <c r="M46" s="67">
        <f t="shared" si="64"/>
        <v>0</v>
      </c>
      <c r="N46" s="53"/>
      <c r="O46" s="67">
        <f t="shared" ref="O46:EE46" si="65">O29+O31+O38</f>
        <v>-15868.698049645391</v>
      </c>
      <c r="P46" s="67">
        <f t="shared" si="65"/>
        <v>945.63333333333139</v>
      </c>
      <c r="Q46" s="67">
        <f t="shared" si="65"/>
        <v>10848.333333333332</v>
      </c>
      <c r="R46" s="67">
        <f t="shared" si="65"/>
        <v>10848.333333333332</v>
      </c>
      <c r="S46" s="67">
        <f t="shared" si="65"/>
        <v>10848.333333333332</v>
      </c>
      <c r="T46" s="67">
        <f t="shared" si="65"/>
        <v>10848.333333333332</v>
      </c>
      <c r="U46" s="67">
        <f t="shared" si="65"/>
        <v>10848.333333333332</v>
      </c>
      <c r="V46" s="67">
        <f t="shared" si="65"/>
        <v>10848.333333333332</v>
      </c>
      <c r="W46" s="67">
        <f t="shared" si="65"/>
        <v>10848.333333333332</v>
      </c>
      <c r="X46" s="67">
        <f t="shared" si="65"/>
        <v>10848.333333333332</v>
      </c>
      <c r="Y46" s="67">
        <f t="shared" si="65"/>
        <v>10848.333333333332</v>
      </c>
      <c r="Z46" s="67">
        <f t="shared" si="65"/>
        <v>10848.333333333332</v>
      </c>
      <c r="AA46" s="67">
        <f t="shared" si="65"/>
        <v>10848.333333333332</v>
      </c>
      <c r="AB46" s="67">
        <f t="shared" si="65"/>
        <v>10848.333333333332</v>
      </c>
      <c r="AC46" s="67">
        <f t="shared" si="65"/>
        <v>10848.333333333332</v>
      </c>
      <c r="AD46" s="67">
        <f t="shared" si="65"/>
        <v>10848.333333333332</v>
      </c>
      <c r="AE46" s="67">
        <f t="shared" si="65"/>
        <v>10848.333333333332</v>
      </c>
      <c r="AF46" s="67">
        <f t="shared" si="65"/>
        <v>10848.333333333332</v>
      </c>
      <c r="AG46" s="67">
        <f t="shared" si="65"/>
        <v>10848.333333333332</v>
      </c>
      <c r="AH46" s="67">
        <f t="shared" si="65"/>
        <v>10848.333333333332</v>
      </c>
      <c r="AI46" s="67">
        <f t="shared" si="65"/>
        <v>10848.333333333332</v>
      </c>
      <c r="AJ46" s="67">
        <f t="shared" si="65"/>
        <v>10848.333333333332</v>
      </c>
      <c r="AK46" s="67">
        <f t="shared" si="65"/>
        <v>10848.333333333332</v>
      </c>
      <c r="AL46" s="67">
        <f t="shared" si="65"/>
        <v>10848.333333333332</v>
      </c>
      <c r="AM46" s="67">
        <f t="shared" si="65"/>
        <v>10848.333333333332</v>
      </c>
      <c r="AN46" s="67">
        <f t="shared" si="65"/>
        <v>10848.333333333332</v>
      </c>
      <c r="AO46" s="67">
        <f t="shared" si="65"/>
        <v>10848.333333333332</v>
      </c>
      <c r="AP46" s="67">
        <f t="shared" si="65"/>
        <v>10848.333333333332</v>
      </c>
      <c r="AQ46" s="67">
        <f t="shared" si="65"/>
        <v>10848.333333333332</v>
      </c>
      <c r="AR46" s="67">
        <f t="shared" si="65"/>
        <v>10848.333333333332</v>
      </c>
      <c r="AS46" s="67">
        <f t="shared" si="65"/>
        <v>10848.333333333332</v>
      </c>
      <c r="AT46" s="67">
        <f t="shared" si="65"/>
        <v>10848.333333333332</v>
      </c>
      <c r="AU46" s="67">
        <f t="shared" si="65"/>
        <v>10848.333333333332</v>
      </c>
      <c r="AV46" s="67">
        <f t="shared" si="65"/>
        <v>10848.333333333332</v>
      </c>
      <c r="AW46" s="67">
        <f t="shared" si="65"/>
        <v>10848.333333333332</v>
      </c>
      <c r="AX46" s="67">
        <f t="shared" si="65"/>
        <v>10848.333333333332</v>
      </c>
      <c r="AY46" s="67">
        <f t="shared" si="65"/>
        <v>10848.333333333332</v>
      </c>
      <c r="AZ46" s="67">
        <f t="shared" si="65"/>
        <v>10848.333333333332</v>
      </c>
      <c r="BA46" s="67">
        <f t="shared" si="65"/>
        <v>10848.333333333332</v>
      </c>
      <c r="BB46" s="67">
        <f t="shared" si="65"/>
        <v>10848.333333333332</v>
      </c>
      <c r="BC46" s="67">
        <f t="shared" si="65"/>
        <v>10848.333333333332</v>
      </c>
      <c r="BD46" s="67">
        <f t="shared" si="65"/>
        <v>10848.333333333332</v>
      </c>
      <c r="BE46" s="67">
        <f t="shared" si="65"/>
        <v>10848.333333333332</v>
      </c>
      <c r="BF46" s="67">
        <f t="shared" si="65"/>
        <v>10848.333333333332</v>
      </c>
      <c r="BG46" s="67">
        <f t="shared" si="65"/>
        <v>10848.333333333332</v>
      </c>
      <c r="BH46" s="67">
        <f t="shared" si="65"/>
        <v>10848.333333333332</v>
      </c>
      <c r="BI46" s="67">
        <f t="shared" si="65"/>
        <v>10848.333333333332</v>
      </c>
      <c r="BJ46" s="67">
        <f t="shared" si="65"/>
        <v>10848.333333333332</v>
      </c>
      <c r="BK46" s="67">
        <f t="shared" si="65"/>
        <v>10848.333333333332</v>
      </c>
      <c r="BL46" s="67">
        <f t="shared" si="65"/>
        <v>10848.333333333332</v>
      </c>
      <c r="BM46" s="67">
        <f t="shared" si="65"/>
        <v>10848.333333333332</v>
      </c>
      <c r="BN46" s="67">
        <f t="shared" si="65"/>
        <v>10848.333333333332</v>
      </c>
      <c r="BO46" s="67">
        <f t="shared" si="65"/>
        <v>10848.333333333332</v>
      </c>
      <c r="BP46" s="67">
        <f t="shared" si="65"/>
        <v>10848.333333333332</v>
      </c>
      <c r="BQ46" s="67">
        <f t="shared" si="65"/>
        <v>10848.333333333332</v>
      </c>
      <c r="BR46" s="67">
        <f t="shared" si="65"/>
        <v>10848.333333333332</v>
      </c>
      <c r="BS46" s="67">
        <f t="shared" si="65"/>
        <v>10848.333333333332</v>
      </c>
      <c r="BT46" s="67">
        <f t="shared" si="65"/>
        <v>10848.333333333332</v>
      </c>
      <c r="BU46" s="67">
        <f t="shared" si="65"/>
        <v>10848.333333333332</v>
      </c>
      <c r="BV46" s="67">
        <f t="shared" si="65"/>
        <v>10848.333333333332</v>
      </c>
      <c r="BW46" s="67">
        <f t="shared" si="65"/>
        <v>0</v>
      </c>
      <c r="BX46" s="67">
        <f t="shared" si="65"/>
        <v>0</v>
      </c>
      <c r="BY46" s="67">
        <f t="shared" si="65"/>
        <v>0</v>
      </c>
      <c r="BZ46" s="67">
        <f t="shared" si="65"/>
        <v>0</v>
      </c>
      <c r="CA46" s="67">
        <f t="shared" si="65"/>
        <v>0</v>
      </c>
      <c r="CB46" s="67">
        <f t="shared" si="65"/>
        <v>0</v>
      </c>
      <c r="CC46" s="67">
        <f t="shared" si="65"/>
        <v>0</v>
      </c>
      <c r="CD46" s="67">
        <f t="shared" si="65"/>
        <v>0</v>
      </c>
      <c r="CE46" s="67">
        <f t="shared" si="65"/>
        <v>0</v>
      </c>
      <c r="CF46" s="67">
        <f t="shared" si="65"/>
        <v>0</v>
      </c>
      <c r="CG46" s="67">
        <f t="shared" si="65"/>
        <v>0</v>
      </c>
      <c r="CH46" s="67">
        <f t="shared" si="65"/>
        <v>0</v>
      </c>
      <c r="CI46" s="67">
        <f t="shared" si="65"/>
        <v>0</v>
      </c>
      <c r="CJ46" s="67">
        <f t="shared" si="65"/>
        <v>0</v>
      </c>
      <c r="CK46" s="67">
        <f t="shared" si="65"/>
        <v>0</v>
      </c>
      <c r="CL46" s="67">
        <f t="shared" si="65"/>
        <v>0</v>
      </c>
      <c r="CM46" s="67">
        <f t="shared" si="65"/>
        <v>0</v>
      </c>
      <c r="CN46" s="67">
        <f t="shared" si="65"/>
        <v>0</v>
      </c>
      <c r="CO46" s="67">
        <f t="shared" si="65"/>
        <v>0</v>
      </c>
      <c r="CP46" s="67">
        <f t="shared" si="65"/>
        <v>0</v>
      </c>
      <c r="CQ46" s="67">
        <f t="shared" si="65"/>
        <v>0</v>
      </c>
      <c r="CR46" s="67">
        <f t="shared" si="65"/>
        <v>0</v>
      </c>
      <c r="CS46" s="67">
        <f t="shared" si="65"/>
        <v>0</v>
      </c>
      <c r="CT46" s="67">
        <f t="shared" si="65"/>
        <v>0</v>
      </c>
      <c r="CU46" s="67">
        <f t="shared" si="65"/>
        <v>0</v>
      </c>
      <c r="CV46" s="67">
        <f t="shared" si="65"/>
        <v>0</v>
      </c>
      <c r="CW46" s="67">
        <f t="shared" si="65"/>
        <v>0</v>
      </c>
      <c r="CX46" s="67">
        <f t="shared" si="65"/>
        <v>0</v>
      </c>
      <c r="CY46" s="67">
        <f t="shared" si="65"/>
        <v>0</v>
      </c>
      <c r="CZ46" s="67">
        <f t="shared" si="65"/>
        <v>0</v>
      </c>
      <c r="DA46" s="67">
        <f t="shared" si="65"/>
        <v>0</v>
      </c>
      <c r="DB46" s="67">
        <f t="shared" si="65"/>
        <v>0</v>
      </c>
      <c r="DC46" s="67">
        <f t="shared" si="65"/>
        <v>0</v>
      </c>
      <c r="DD46" s="67">
        <f t="shared" si="65"/>
        <v>0</v>
      </c>
      <c r="DE46" s="67">
        <f t="shared" si="65"/>
        <v>0</v>
      </c>
      <c r="DF46" s="67">
        <f t="shared" si="65"/>
        <v>0</v>
      </c>
      <c r="DG46" s="67">
        <f t="shared" si="65"/>
        <v>0</v>
      </c>
      <c r="DH46" s="67">
        <f t="shared" si="65"/>
        <v>0</v>
      </c>
      <c r="DI46" s="67">
        <f t="shared" si="65"/>
        <v>0</v>
      </c>
      <c r="DJ46" s="67">
        <f t="shared" si="65"/>
        <v>0</v>
      </c>
      <c r="DK46" s="67">
        <f t="shared" si="65"/>
        <v>0</v>
      </c>
      <c r="DL46" s="67">
        <f t="shared" si="65"/>
        <v>0</v>
      </c>
      <c r="DM46" s="67">
        <f t="shared" si="65"/>
        <v>0</v>
      </c>
      <c r="DN46" s="67">
        <f t="shared" si="65"/>
        <v>0</v>
      </c>
      <c r="DO46" s="67">
        <f t="shared" si="65"/>
        <v>0</v>
      </c>
      <c r="DP46" s="67">
        <f t="shared" si="65"/>
        <v>0</v>
      </c>
      <c r="DQ46" s="67">
        <f t="shared" si="65"/>
        <v>0</v>
      </c>
      <c r="DR46" s="67">
        <f t="shared" si="65"/>
        <v>0</v>
      </c>
      <c r="DS46" s="67">
        <f t="shared" si="65"/>
        <v>0</v>
      </c>
      <c r="DT46" s="67">
        <f t="shared" si="65"/>
        <v>0</v>
      </c>
      <c r="DU46" s="67">
        <f t="shared" si="65"/>
        <v>0</v>
      </c>
      <c r="DV46" s="67">
        <f t="shared" si="65"/>
        <v>0</v>
      </c>
      <c r="DW46" s="67">
        <f t="shared" si="65"/>
        <v>0</v>
      </c>
      <c r="DX46" s="67">
        <f t="shared" si="65"/>
        <v>0</v>
      </c>
      <c r="DY46" s="67">
        <f t="shared" si="65"/>
        <v>0</v>
      </c>
      <c r="DZ46" s="67">
        <f t="shared" si="65"/>
        <v>0</v>
      </c>
      <c r="EA46" s="67">
        <f t="shared" si="65"/>
        <v>0</v>
      </c>
      <c r="EB46" s="67">
        <f t="shared" si="65"/>
        <v>0</v>
      </c>
      <c r="EC46" s="67">
        <f t="shared" si="65"/>
        <v>0</v>
      </c>
      <c r="ED46" s="67">
        <f t="shared" si="65"/>
        <v>0</v>
      </c>
      <c r="EE46" s="67">
        <f t="shared" si="65"/>
        <v>0</v>
      </c>
    </row>
    <row r="47" spans="1:135" ht="13" x14ac:dyDescent="0.3">
      <c r="B47" s="38" t="s">
        <v>212</v>
      </c>
      <c r="C47" s="53"/>
      <c r="D47" s="67">
        <f t="shared" ref="D47:H47" si="66">SUMIFS($O47:$BV47,$O$3:$BV$3,D$4)</f>
        <v>93560.26861702124</v>
      </c>
      <c r="E47" s="67">
        <f t="shared" si="66"/>
        <v>223740.2686170213</v>
      </c>
      <c r="F47" s="67">
        <f t="shared" si="66"/>
        <v>353920.26861702115</v>
      </c>
      <c r="G47" s="67">
        <f t="shared" si="66"/>
        <v>484100.26861702092</v>
      </c>
      <c r="H47" s="67">
        <f t="shared" si="66"/>
        <v>614280.26861702115</v>
      </c>
      <c r="I47" s="67">
        <f t="shared" ref="I47:M47" si="67">SUMIFS($O47:$ED47,$O$3:$ED$3,I$4)</f>
        <v>614280.26861702115</v>
      </c>
      <c r="J47" s="67">
        <f t="shared" si="67"/>
        <v>614280.26861702115</v>
      </c>
      <c r="K47" s="67">
        <f t="shared" si="67"/>
        <v>614280.26861702115</v>
      </c>
      <c r="L47" s="67">
        <f t="shared" si="67"/>
        <v>614280.26861702115</v>
      </c>
      <c r="M47" s="67">
        <f t="shared" si="67"/>
        <v>614280.26861702115</v>
      </c>
      <c r="N47" s="53"/>
      <c r="O47" s="46">
        <f t="shared" ref="O47:ED47" si="68">O46+N47</f>
        <v>-15868.698049645391</v>
      </c>
      <c r="P47" s="46">
        <f t="shared" si="68"/>
        <v>-14923.064716312059</v>
      </c>
      <c r="Q47" s="46">
        <f t="shared" si="68"/>
        <v>-4074.7313829787272</v>
      </c>
      <c r="R47" s="46">
        <f t="shared" si="68"/>
        <v>6773.6019503546049</v>
      </c>
      <c r="S47" s="46">
        <f t="shared" si="68"/>
        <v>17621.935283687937</v>
      </c>
      <c r="T47" s="46">
        <f t="shared" si="68"/>
        <v>28470.268617021269</v>
      </c>
      <c r="U47" s="46">
        <f t="shared" si="68"/>
        <v>39318.601950354598</v>
      </c>
      <c r="V47" s="46">
        <f t="shared" si="68"/>
        <v>50166.935283687926</v>
      </c>
      <c r="W47" s="46">
        <f t="shared" si="68"/>
        <v>61015.268617021255</v>
      </c>
      <c r="X47" s="46">
        <f t="shared" si="68"/>
        <v>71863.601950354583</v>
      </c>
      <c r="Y47" s="46">
        <f t="shared" si="68"/>
        <v>82711.935283687912</v>
      </c>
      <c r="Z47" s="46">
        <f t="shared" si="68"/>
        <v>93560.26861702124</v>
      </c>
      <c r="AA47" s="46">
        <f t="shared" si="68"/>
        <v>104408.60195035457</v>
      </c>
      <c r="AB47" s="46">
        <f t="shared" si="68"/>
        <v>115256.9352836879</v>
      </c>
      <c r="AC47" s="46">
        <f t="shared" si="68"/>
        <v>126105.26861702123</v>
      </c>
      <c r="AD47" s="46">
        <f t="shared" si="68"/>
        <v>136953.60195035455</v>
      </c>
      <c r="AE47" s="46">
        <f t="shared" si="68"/>
        <v>147801.9352836879</v>
      </c>
      <c r="AF47" s="46">
        <f t="shared" si="68"/>
        <v>158650.26861702124</v>
      </c>
      <c r="AG47" s="46">
        <f t="shared" si="68"/>
        <v>169498.60195035458</v>
      </c>
      <c r="AH47" s="46">
        <f t="shared" si="68"/>
        <v>180346.93528368793</v>
      </c>
      <c r="AI47" s="46">
        <f t="shared" si="68"/>
        <v>191195.26861702127</v>
      </c>
      <c r="AJ47" s="46">
        <f t="shared" si="68"/>
        <v>202043.60195035461</v>
      </c>
      <c r="AK47" s="46">
        <f t="shared" si="68"/>
        <v>212891.93528368796</v>
      </c>
      <c r="AL47" s="46">
        <f t="shared" si="68"/>
        <v>223740.2686170213</v>
      </c>
      <c r="AM47" s="46">
        <f t="shared" si="68"/>
        <v>234588.60195035464</v>
      </c>
      <c r="AN47" s="46">
        <f t="shared" si="68"/>
        <v>245436.93528368798</v>
      </c>
      <c r="AO47" s="46">
        <f t="shared" si="68"/>
        <v>256285.26861702133</v>
      </c>
      <c r="AP47" s="46">
        <f t="shared" si="68"/>
        <v>267133.60195035464</v>
      </c>
      <c r="AQ47" s="46">
        <f t="shared" si="68"/>
        <v>277981.93528368796</v>
      </c>
      <c r="AR47" s="46">
        <f t="shared" si="68"/>
        <v>288830.26861702127</v>
      </c>
      <c r="AS47" s="46">
        <f t="shared" si="68"/>
        <v>299678.60195035458</v>
      </c>
      <c r="AT47" s="46">
        <f t="shared" si="68"/>
        <v>310526.9352836879</v>
      </c>
      <c r="AU47" s="46">
        <f t="shared" si="68"/>
        <v>321375.26861702121</v>
      </c>
      <c r="AV47" s="46">
        <f t="shared" si="68"/>
        <v>332223.60195035452</v>
      </c>
      <c r="AW47" s="46">
        <f t="shared" si="68"/>
        <v>343071.93528368784</v>
      </c>
      <c r="AX47" s="46">
        <f t="shared" si="68"/>
        <v>353920.26861702115</v>
      </c>
      <c r="AY47" s="46">
        <f t="shared" si="68"/>
        <v>364768.60195035447</v>
      </c>
      <c r="AZ47" s="46">
        <f t="shared" si="68"/>
        <v>375616.93528368778</v>
      </c>
      <c r="BA47" s="46">
        <f t="shared" si="68"/>
        <v>386465.26861702109</v>
      </c>
      <c r="BB47" s="46">
        <f t="shared" si="68"/>
        <v>397313.60195035441</v>
      </c>
      <c r="BC47" s="46">
        <f t="shared" si="68"/>
        <v>408161.93528368772</v>
      </c>
      <c r="BD47" s="46">
        <f t="shared" si="68"/>
        <v>419010.26861702104</v>
      </c>
      <c r="BE47" s="46">
        <f t="shared" si="68"/>
        <v>429858.60195035435</v>
      </c>
      <c r="BF47" s="46">
        <f t="shared" si="68"/>
        <v>440706.93528368766</v>
      </c>
      <c r="BG47" s="46">
        <f t="shared" si="68"/>
        <v>451555.26861702098</v>
      </c>
      <c r="BH47" s="46">
        <f t="shared" si="68"/>
        <v>462403.60195035429</v>
      </c>
      <c r="BI47" s="46">
        <f t="shared" si="68"/>
        <v>473251.93528368761</v>
      </c>
      <c r="BJ47" s="46">
        <f t="shared" si="68"/>
        <v>484100.26861702092</v>
      </c>
      <c r="BK47" s="46">
        <f t="shared" si="68"/>
        <v>494948.60195035423</v>
      </c>
      <c r="BL47" s="46">
        <f t="shared" si="68"/>
        <v>505796.93528368755</v>
      </c>
      <c r="BM47" s="46">
        <f t="shared" si="68"/>
        <v>516645.26861702086</v>
      </c>
      <c r="BN47" s="46">
        <f t="shared" si="68"/>
        <v>527493.60195035418</v>
      </c>
      <c r="BO47" s="46">
        <f t="shared" si="68"/>
        <v>538341.93528368755</v>
      </c>
      <c r="BP47" s="46">
        <f t="shared" si="68"/>
        <v>549190.26861702092</v>
      </c>
      <c r="BQ47" s="46">
        <f t="shared" si="68"/>
        <v>560038.60195035429</v>
      </c>
      <c r="BR47" s="46">
        <f t="shared" si="68"/>
        <v>570886.93528368766</v>
      </c>
      <c r="BS47" s="46">
        <f t="shared" si="68"/>
        <v>581735.26861702104</v>
      </c>
      <c r="BT47" s="46">
        <f t="shared" si="68"/>
        <v>592583.60195035441</v>
      </c>
      <c r="BU47" s="46">
        <f t="shared" si="68"/>
        <v>603431.93528368778</v>
      </c>
      <c r="BV47" s="46">
        <f t="shared" si="68"/>
        <v>614280.26861702115</v>
      </c>
      <c r="BW47" s="46">
        <f t="shared" si="68"/>
        <v>614280.26861702115</v>
      </c>
      <c r="BX47" s="46">
        <f t="shared" si="68"/>
        <v>614280.26861702115</v>
      </c>
      <c r="BY47" s="46">
        <f t="shared" si="68"/>
        <v>614280.26861702115</v>
      </c>
      <c r="BZ47" s="46">
        <f t="shared" si="68"/>
        <v>614280.26861702115</v>
      </c>
      <c r="CA47" s="46">
        <f t="shared" si="68"/>
        <v>614280.26861702115</v>
      </c>
      <c r="CB47" s="46">
        <f t="shared" si="68"/>
        <v>614280.26861702115</v>
      </c>
      <c r="CC47" s="46">
        <f t="shared" si="68"/>
        <v>614280.26861702115</v>
      </c>
      <c r="CD47" s="46">
        <f t="shared" si="68"/>
        <v>614280.26861702115</v>
      </c>
      <c r="CE47" s="46">
        <f t="shared" si="68"/>
        <v>614280.26861702115</v>
      </c>
      <c r="CF47" s="46">
        <f t="shared" si="68"/>
        <v>614280.26861702115</v>
      </c>
      <c r="CG47" s="46">
        <f t="shared" si="68"/>
        <v>614280.26861702115</v>
      </c>
      <c r="CH47" s="46">
        <f t="shared" si="68"/>
        <v>614280.26861702115</v>
      </c>
      <c r="CI47" s="46">
        <f t="shared" si="68"/>
        <v>614280.26861702115</v>
      </c>
      <c r="CJ47" s="46">
        <f t="shared" si="68"/>
        <v>614280.26861702115</v>
      </c>
      <c r="CK47" s="46">
        <f t="shared" si="68"/>
        <v>614280.26861702115</v>
      </c>
      <c r="CL47" s="46">
        <f t="shared" si="68"/>
        <v>614280.26861702115</v>
      </c>
      <c r="CM47" s="46">
        <f t="shared" si="68"/>
        <v>614280.26861702115</v>
      </c>
      <c r="CN47" s="46">
        <f t="shared" si="68"/>
        <v>614280.26861702115</v>
      </c>
      <c r="CO47" s="46">
        <f t="shared" si="68"/>
        <v>614280.26861702115</v>
      </c>
      <c r="CP47" s="46">
        <f t="shared" si="68"/>
        <v>614280.26861702115</v>
      </c>
      <c r="CQ47" s="46">
        <f t="shared" si="68"/>
        <v>614280.26861702115</v>
      </c>
      <c r="CR47" s="46">
        <f t="shared" si="68"/>
        <v>614280.26861702115</v>
      </c>
      <c r="CS47" s="46">
        <f t="shared" si="68"/>
        <v>614280.26861702115</v>
      </c>
      <c r="CT47" s="46">
        <f t="shared" si="68"/>
        <v>614280.26861702115</v>
      </c>
      <c r="CU47" s="46">
        <f t="shared" si="68"/>
        <v>614280.26861702115</v>
      </c>
      <c r="CV47" s="46">
        <f t="shared" si="68"/>
        <v>614280.26861702115</v>
      </c>
      <c r="CW47" s="46">
        <f t="shared" si="68"/>
        <v>614280.26861702115</v>
      </c>
      <c r="CX47" s="46">
        <f t="shared" si="68"/>
        <v>614280.26861702115</v>
      </c>
      <c r="CY47" s="46">
        <f t="shared" si="68"/>
        <v>614280.26861702115</v>
      </c>
      <c r="CZ47" s="46">
        <f t="shared" si="68"/>
        <v>614280.26861702115</v>
      </c>
      <c r="DA47" s="46">
        <f t="shared" si="68"/>
        <v>614280.26861702115</v>
      </c>
      <c r="DB47" s="46">
        <f t="shared" si="68"/>
        <v>614280.26861702115</v>
      </c>
      <c r="DC47" s="46">
        <f t="shared" si="68"/>
        <v>614280.26861702115</v>
      </c>
      <c r="DD47" s="46">
        <f t="shared" si="68"/>
        <v>614280.26861702115</v>
      </c>
      <c r="DE47" s="46">
        <f t="shared" si="68"/>
        <v>614280.26861702115</v>
      </c>
      <c r="DF47" s="46">
        <f t="shared" si="68"/>
        <v>614280.26861702115</v>
      </c>
      <c r="DG47" s="46">
        <f t="shared" si="68"/>
        <v>614280.26861702115</v>
      </c>
      <c r="DH47" s="46">
        <f t="shared" si="68"/>
        <v>614280.26861702115</v>
      </c>
      <c r="DI47" s="46">
        <f t="shared" si="68"/>
        <v>614280.26861702115</v>
      </c>
      <c r="DJ47" s="46">
        <f t="shared" si="68"/>
        <v>614280.26861702115</v>
      </c>
      <c r="DK47" s="46">
        <f t="shared" si="68"/>
        <v>614280.26861702115</v>
      </c>
      <c r="DL47" s="46">
        <f t="shared" si="68"/>
        <v>614280.26861702115</v>
      </c>
      <c r="DM47" s="46">
        <f t="shared" si="68"/>
        <v>614280.26861702115</v>
      </c>
      <c r="DN47" s="46">
        <f t="shared" si="68"/>
        <v>614280.26861702115</v>
      </c>
      <c r="DO47" s="46">
        <f t="shared" si="68"/>
        <v>614280.26861702115</v>
      </c>
      <c r="DP47" s="46">
        <f t="shared" si="68"/>
        <v>614280.26861702115</v>
      </c>
      <c r="DQ47" s="46">
        <f t="shared" si="68"/>
        <v>614280.26861702115</v>
      </c>
      <c r="DR47" s="46">
        <f t="shared" si="68"/>
        <v>614280.26861702115</v>
      </c>
      <c r="DS47" s="46">
        <f t="shared" si="68"/>
        <v>614280.26861702115</v>
      </c>
      <c r="DT47" s="46">
        <f t="shared" si="68"/>
        <v>614280.26861702115</v>
      </c>
      <c r="DU47" s="46">
        <f t="shared" si="68"/>
        <v>614280.26861702115</v>
      </c>
      <c r="DV47" s="46">
        <f t="shared" si="68"/>
        <v>614280.26861702115</v>
      </c>
      <c r="DW47" s="46">
        <f t="shared" si="68"/>
        <v>614280.26861702115</v>
      </c>
      <c r="DX47" s="46">
        <f t="shared" si="68"/>
        <v>614280.26861702115</v>
      </c>
      <c r="DY47" s="46">
        <f t="shared" si="68"/>
        <v>614280.26861702115</v>
      </c>
      <c r="DZ47" s="46">
        <f t="shared" si="68"/>
        <v>614280.26861702115</v>
      </c>
      <c r="EA47" s="46">
        <f t="shared" si="68"/>
        <v>614280.26861702115</v>
      </c>
      <c r="EB47" s="46">
        <f t="shared" si="68"/>
        <v>614280.26861702115</v>
      </c>
      <c r="EC47" s="46">
        <f t="shared" si="68"/>
        <v>614280.26861702115</v>
      </c>
      <c r="ED47" s="46">
        <f t="shared" si="68"/>
        <v>614280.26861702115</v>
      </c>
    </row>
    <row r="48" spans="1:135" ht="12.5" x14ac:dyDescent="0.25">
      <c r="C48" s="53"/>
      <c r="N48" s="53"/>
    </row>
    <row r="49" spans="2:134" ht="12.5" x14ac:dyDescent="0.25">
      <c r="B49" s="46" t="s">
        <v>68</v>
      </c>
      <c r="C49" s="53"/>
      <c r="D49" s="46">
        <f t="shared" ref="D49:D50" si="69">MAX(O49:BV49)</f>
        <v>2</v>
      </c>
      <c r="N49" s="53"/>
      <c r="O49" s="46">
        <f t="shared" ref="O49:BU49" si="70">IF(AND(O46&gt;0,P46&gt;0),IF(N49&lt;&gt;0,N49,O2),0)</f>
        <v>0</v>
      </c>
      <c r="P49" s="46">
        <f t="shared" si="70"/>
        <v>2</v>
      </c>
      <c r="Q49" s="46">
        <f t="shared" si="70"/>
        <v>2</v>
      </c>
      <c r="R49" s="46">
        <f t="shared" si="70"/>
        <v>2</v>
      </c>
      <c r="S49" s="46">
        <f t="shared" si="70"/>
        <v>2</v>
      </c>
      <c r="T49" s="46">
        <f t="shared" si="70"/>
        <v>2</v>
      </c>
      <c r="U49" s="46">
        <f t="shared" si="70"/>
        <v>2</v>
      </c>
      <c r="V49" s="46">
        <f t="shared" si="70"/>
        <v>2</v>
      </c>
      <c r="W49" s="46">
        <f t="shared" si="70"/>
        <v>2</v>
      </c>
      <c r="X49" s="46">
        <f t="shared" si="70"/>
        <v>2</v>
      </c>
      <c r="Y49" s="46">
        <f t="shared" si="70"/>
        <v>2</v>
      </c>
      <c r="Z49" s="46">
        <f t="shared" si="70"/>
        <v>2</v>
      </c>
      <c r="AA49" s="46">
        <f t="shared" si="70"/>
        <v>2</v>
      </c>
      <c r="AB49" s="46">
        <f t="shared" si="70"/>
        <v>2</v>
      </c>
      <c r="AC49" s="46">
        <f t="shared" si="70"/>
        <v>2</v>
      </c>
      <c r="AD49" s="46">
        <f t="shared" si="70"/>
        <v>2</v>
      </c>
      <c r="AE49" s="46">
        <f t="shared" si="70"/>
        <v>2</v>
      </c>
      <c r="AF49" s="46">
        <f t="shared" si="70"/>
        <v>2</v>
      </c>
      <c r="AG49" s="46">
        <f t="shared" si="70"/>
        <v>2</v>
      </c>
      <c r="AH49" s="46">
        <f t="shared" si="70"/>
        <v>2</v>
      </c>
      <c r="AI49" s="46">
        <f t="shared" si="70"/>
        <v>2</v>
      </c>
      <c r="AJ49" s="46">
        <f t="shared" si="70"/>
        <v>2</v>
      </c>
      <c r="AK49" s="46">
        <f t="shared" si="70"/>
        <v>2</v>
      </c>
      <c r="AL49" s="46">
        <f t="shared" si="70"/>
        <v>2</v>
      </c>
      <c r="AM49" s="46">
        <f t="shared" si="70"/>
        <v>2</v>
      </c>
      <c r="AN49" s="46">
        <f t="shared" si="70"/>
        <v>2</v>
      </c>
      <c r="AO49" s="46">
        <f t="shared" si="70"/>
        <v>2</v>
      </c>
      <c r="AP49" s="46">
        <f t="shared" si="70"/>
        <v>2</v>
      </c>
      <c r="AQ49" s="46">
        <f t="shared" si="70"/>
        <v>2</v>
      </c>
      <c r="AR49" s="46">
        <f t="shared" si="70"/>
        <v>2</v>
      </c>
      <c r="AS49" s="46">
        <f t="shared" si="70"/>
        <v>2</v>
      </c>
      <c r="AT49" s="46">
        <f t="shared" si="70"/>
        <v>2</v>
      </c>
      <c r="AU49" s="46">
        <f t="shared" si="70"/>
        <v>2</v>
      </c>
      <c r="AV49" s="46">
        <f t="shared" si="70"/>
        <v>2</v>
      </c>
      <c r="AW49" s="46">
        <f t="shared" si="70"/>
        <v>2</v>
      </c>
      <c r="AX49" s="46">
        <f t="shared" si="70"/>
        <v>2</v>
      </c>
      <c r="AY49" s="46">
        <f t="shared" si="70"/>
        <v>2</v>
      </c>
      <c r="AZ49" s="46">
        <f t="shared" si="70"/>
        <v>2</v>
      </c>
      <c r="BA49" s="46">
        <f t="shared" si="70"/>
        <v>2</v>
      </c>
      <c r="BB49" s="46">
        <f t="shared" si="70"/>
        <v>2</v>
      </c>
      <c r="BC49" s="46">
        <f t="shared" si="70"/>
        <v>2</v>
      </c>
      <c r="BD49" s="46">
        <f t="shared" si="70"/>
        <v>2</v>
      </c>
      <c r="BE49" s="46">
        <f t="shared" si="70"/>
        <v>2</v>
      </c>
      <c r="BF49" s="46">
        <f t="shared" si="70"/>
        <v>2</v>
      </c>
      <c r="BG49" s="46">
        <f t="shared" si="70"/>
        <v>2</v>
      </c>
      <c r="BH49" s="46">
        <f t="shared" si="70"/>
        <v>2</v>
      </c>
      <c r="BI49" s="46">
        <f t="shared" si="70"/>
        <v>2</v>
      </c>
      <c r="BJ49" s="46">
        <f t="shared" si="70"/>
        <v>2</v>
      </c>
      <c r="BK49" s="46">
        <f t="shared" si="70"/>
        <v>2</v>
      </c>
      <c r="BL49" s="46">
        <f t="shared" si="70"/>
        <v>2</v>
      </c>
      <c r="BM49" s="46">
        <f t="shared" si="70"/>
        <v>2</v>
      </c>
      <c r="BN49" s="46">
        <f t="shared" si="70"/>
        <v>2</v>
      </c>
      <c r="BO49" s="46">
        <f t="shared" si="70"/>
        <v>2</v>
      </c>
      <c r="BP49" s="46">
        <f t="shared" si="70"/>
        <v>2</v>
      </c>
      <c r="BQ49" s="46">
        <f t="shared" si="70"/>
        <v>2</v>
      </c>
      <c r="BR49" s="46">
        <f t="shared" si="70"/>
        <v>2</v>
      </c>
      <c r="BS49" s="46">
        <f t="shared" si="70"/>
        <v>2</v>
      </c>
      <c r="BT49" s="46">
        <f t="shared" si="70"/>
        <v>2</v>
      </c>
      <c r="BU49" s="46">
        <f t="shared" si="70"/>
        <v>2</v>
      </c>
      <c r="BV49" s="46">
        <f t="shared" ref="BV49:ED49" si="71">IF(AND(BV46&gt;0,EE46&gt;0),IF(BU49&lt;&gt;0,BU49,BV2),0)</f>
        <v>0</v>
      </c>
      <c r="BW49" s="46">
        <f t="shared" si="71"/>
        <v>0</v>
      </c>
      <c r="BX49" s="46">
        <f t="shared" si="71"/>
        <v>0</v>
      </c>
      <c r="BY49" s="46">
        <f t="shared" si="71"/>
        <v>0</v>
      </c>
      <c r="BZ49" s="46">
        <f t="shared" si="71"/>
        <v>0</v>
      </c>
      <c r="CA49" s="46">
        <f t="shared" si="71"/>
        <v>0</v>
      </c>
      <c r="CB49" s="46">
        <f t="shared" si="71"/>
        <v>0</v>
      </c>
      <c r="CC49" s="46">
        <f t="shared" si="71"/>
        <v>0</v>
      </c>
      <c r="CD49" s="46">
        <f t="shared" si="71"/>
        <v>0</v>
      </c>
      <c r="CE49" s="46">
        <f t="shared" si="71"/>
        <v>0</v>
      </c>
      <c r="CF49" s="46">
        <f t="shared" si="71"/>
        <v>0</v>
      </c>
      <c r="CG49" s="46">
        <f t="shared" si="71"/>
        <v>0</v>
      </c>
      <c r="CH49" s="46">
        <f t="shared" si="71"/>
        <v>0</v>
      </c>
      <c r="CI49" s="46">
        <f t="shared" si="71"/>
        <v>0</v>
      </c>
      <c r="CJ49" s="46">
        <f t="shared" si="71"/>
        <v>0</v>
      </c>
      <c r="CK49" s="46">
        <f t="shared" si="71"/>
        <v>0</v>
      </c>
      <c r="CL49" s="46">
        <f t="shared" si="71"/>
        <v>0</v>
      </c>
      <c r="CM49" s="46">
        <f t="shared" si="71"/>
        <v>0</v>
      </c>
      <c r="CN49" s="46">
        <f t="shared" si="71"/>
        <v>0</v>
      </c>
      <c r="CO49" s="46">
        <f t="shared" si="71"/>
        <v>0</v>
      </c>
      <c r="CP49" s="46">
        <f t="shared" si="71"/>
        <v>0</v>
      </c>
      <c r="CQ49" s="46">
        <f t="shared" si="71"/>
        <v>0</v>
      </c>
      <c r="CR49" s="46">
        <f t="shared" si="71"/>
        <v>0</v>
      </c>
      <c r="CS49" s="46">
        <f t="shared" si="71"/>
        <v>0</v>
      </c>
      <c r="CT49" s="46">
        <f t="shared" si="71"/>
        <v>0</v>
      </c>
      <c r="CU49" s="46">
        <f t="shared" si="71"/>
        <v>0</v>
      </c>
      <c r="CV49" s="46">
        <f t="shared" si="71"/>
        <v>0</v>
      </c>
      <c r="CW49" s="46">
        <f t="shared" si="71"/>
        <v>0</v>
      </c>
      <c r="CX49" s="46">
        <f t="shared" si="71"/>
        <v>0</v>
      </c>
      <c r="CY49" s="46">
        <f t="shared" si="71"/>
        <v>0</v>
      </c>
      <c r="CZ49" s="46">
        <f t="shared" si="71"/>
        <v>0</v>
      </c>
      <c r="DA49" s="46">
        <f t="shared" si="71"/>
        <v>0</v>
      </c>
      <c r="DB49" s="46">
        <f t="shared" si="71"/>
        <v>0</v>
      </c>
      <c r="DC49" s="46">
        <f t="shared" si="71"/>
        <v>0</v>
      </c>
      <c r="DD49" s="46">
        <f t="shared" si="71"/>
        <v>0</v>
      </c>
      <c r="DE49" s="46">
        <f t="shared" si="71"/>
        <v>0</v>
      </c>
      <c r="DF49" s="46">
        <f t="shared" si="71"/>
        <v>0</v>
      </c>
      <c r="DG49" s="46">
        <f t="shared" si="71"/>
        <v>0</v>
      </c>
      <c r="DH49" s="46">
        <f t="shared" si="71"/>
        <v>0</v>
      </c>
      <c r="DI49" s="46">
        <f t="shared" si="71"/>
        <v>0</v>
      </c>
      <c r="DJ49" s="46">
        <f t="shared" si="71"/>
        <v>0</v>
      </c>
      <c r="DK49" s="46">
        <f t="shared" si="71"/>
        <v>0</v>
      </c>
      <c r="DL49" s="46">
        <f t="shared" si="71"/>
        <v>0</v>
      </c>
      <c r="DM49" s="46">
        <f t="shared" si="71"/>
        <v>0</v>
      </c>
      <c r="DN49" s="46">
        <f t="shared" si="71"/>
        <v>0</v>
      </c>
      <c r="DO49" s="46">
        <f t="shared" si="71"/>
        <v>0</v>
      </c>
      <c r="DP49" s="46">
        <f t="shared" si="71"/>
        <v>0</v>
      </c>
      <c r="DQ49" s="46">
        <f t="shared" si="71"/>
        <v>0</v>
      </c>
      <c r="DR49" s="46">
        <f t="shared" si="71"/>
        <v>0</v>
      </c>
      <c r="DS49" s="46">
        <f t="shared" si="71"/>
        <v>0</v>
      </c>
      <c r="DT49" s="46">
        <f t="shared" si="71"/>
        <v>0</v>
      </c>
      <c r="DU49" s="46">
        <f t="shared" si="71"/>
        <v>0</v>
      </c>
      <c r="DV49" s="46">
        <f t="shared" si="71"/>
        <v>0</v>
      </c>
      <c r="DW49" s="46">
        <f t="shared" si="71"/>
        <v>0</v>
      </c>
      <c r="DX49" s="46">
        <f t="shared" si="71"/>
        <v>0</v>
      </c>
      <c r="DY49" s="46">
        <f t="shared" si="71"/>
        <v>0</v>
      </c>
      <c r="DZ49" s="46">
        <f t="shared" si="71"/>
        <v>0</v>
      </c>
      <c r="EA49" s="46">
        <f t="shared" si="71"/>
        <v>0</v>
      </c>
      <c r="EB49" s="46">
        <f t="shared" si="71"/>
        <v>0</v>
      </c>
      <c r="EC49" s="46">
        <f t="shared" si="71"/>
        <v>0</v>
      </c>
      <c r="ED49" s="46">
        <f t="shared" si="71"/>
        <v>0</v>
      </c>
    </row>
    <row r="50" spans="2:134" ht="12.5" x14ac:dyDescent="0.25">
      <c r="B50" s="46" t="s">
        <v>213</v>
      </c>
      <c r="C50" s="53"/>
      <c r="D50" s="46">
        <f t="shared" si="69"/>
        <v>4</v>
      </c>
      <c r="N50" s="53"/>
      <c r="O50" s="46">
        <f t="shared" ref="O50:BU50" si="72">IF(AND(O47&gt;0,P46&gt;0,O46&gt;0),IF(N50&lt;&gt;0,N50,O2),0)</f>
        <v>0</v>
      </c>
      <c r="P50" s="46">
        <f t="shared" si="72"/>
        <v>0</v>
      </c>
      <c r="Q50" s="46">
        <f t="shared" si="72"/>
        <v>0</v>
      </c>
      <c r="R50" s="46">
        <f t="shared" si="72"/>
        <v>4</v>
      </c>
      <c r="S50" s="46">
        <f t="shared" si="72"/>
        <v>4</v>
      </c>
      <c r="T50" s="46">
        <f t="shared" si="72"/>
        <v>4</v>
      </c>
      <c r="U50" s="46">
        <f t="shared" si="72"/>
        <v>4</v>
      </c>
      <c r="V50" s="46">
        <f t="shared" si="72"/>
        <v>4</v>
      </c>
      <c r="W50" s="46">
        <f t="shared" si="72"/>
        <v>4</v>
      </c>
      <c r="X50" s="46">
        <f t="shared" si="72"/>
        <v>4</v>
      </c>
      <c r="Y50" s="46">
        <f t="shared" si="72"/>
        <v>4</v>
      </c>
      <c r="Z50" s="46">
        <f t="shared" si="72"/>
        <v>4</v>
      </c>
      <c r="AA50" s="46">
        <f t="shared" si="72"/>
        <v>4</v>
      </c>
      <c r="AB50" s="46">
        <f t="shared" si="72"/>
        <v>4</v>
      </c>
      <c r="AC50" s="46">
        <f t="shared" si="72"/>
        <v>4</v>
      </c>
      <c r="AD50" s="46">
        <f t="shared" si="72"/>
        <v>4</v>
      </c>
      <c r="AE50" s="46">
        <f t="shared" si="72"/>
        <v>4</v>
      </c>
      <c r="AF50" s="46">
        <f t="shared" si="72"/>
        <v>4</v>
      </c>
      <c r="AG50" s="46">
        <f t="shared" si="72"/>
        <v>4</v>
      </c>
      <c r="AH50" s="46">
        <f t="shared" si="72"/>
        <v>4</v>
      </c>
      <c r="AI50" s="46">
        <f t="shared" si="72"/>
        <v>4</v>
      </c>
      <c r="AJ50" s="46">
        <f t="shared" si="72"/>
        <v>4</v>
      </c>
      <c r="AK50" s="46">
        <f t="shared" si="72"/>
        <v>4</v>
      </c>
      <c r="AL50" s="46">
        <f t="shared" si="72"/>
        <v>4</v>
      </c>
      <c r="AM50" s="46">
        <f t="shared" si="72"/>
        <v>4</v>
      </c>
      <c r="AN50" s="46">
        <f t="shared" si="72"/>
        <v>4</v>
      </c>
      <c r="AO50" s="46">
        <f t="shared" si="72"/>
        <v>4</v>
      </c>
      <c r="AP50" s="46">
        <f t="shared" si="72"/>
        <v>4</v>
      </c>
      <c r="AQ50" s="46">
        <f t="shared" si="72"/>
        <v>4</v>
      </c>
      <c r="AR50" s="46">
        <f t="shared" si="72"/>
        <v>4</v>
      </c>
      <c r="AS50" s="46">
        <f t="shared" si="72"/>
        <v>4</v>
      </c>
      <c r="AT50" s="46">
        <f t="shared" si="72"/>
        <v>4</v>
      </c>
      <c r="AU50" s="46">
        <f t="shared" si="72"/>
        <v>4</v>
      </c>
      <c r="AV50" s="46">
        <f t="shared" si="72"/>
        <v>4</v>
      </c>
      <c r="AW50" s="46">
        <f t="shared" si="72"/>
        <v>4</v>
      </c>
      <c r="AX50" s="46">
        <f t="shared" si="72"/>
        <v>4</v>
      </c>
      <c r="AY50" s="46">
        <f t="shared" si="72"/>
        <v>4</v>
      </c>
      <c r="AZ50" s="46">
        <f t="shared" si="72"/>
        <v>4</v>
      </c>
      <c r="BA50" s="46">
        <f t="shared" si="72"/>
        <v>4</v>
      </c>
      <c r="BB50" s="46">
        <f t="shared" si="72"/>
        <v>4</v>
      </c>
      <c r="BC50" s="46">
        <f t="shared" si="72"/>
        <v>4</v>
      </c>
      <c r="BD50" s="46">
        <f t="shared" si="72"/>
        <v>4</v>
      </c>
      <c r="BE50" s="46">
        <f t="shared" si="72"/>
        <v>4</v>
      </c>
      <c r="BF50" s="46">
        <f t="shared" si="72"/>
        <v>4</v>
      </c>
      <c r="BG50" s="46">
        <f t="shared" si="72"/>
        <v>4</v>
      </c>
      <c r="BH50" s="46">
        <f t="shared" si="72"/>
        <v>4</v>
      </c>
      <c r="BI50" s="46">
        <f t="shared" si="72"/>
        <v>4</v>
      </c>
      <c r="BJ50" s="46">
        <f t="shared" si="72"/>
        <v>4</v>
      </c>
      <c r="BK50" s="46">
        <f t="shared" si="72"/>
        <v>4</v>
      </c>
      <c r="BL50" s="46">
        <f t="shared" si="72"/>
        <v>4</v>
      </c>
      <c r="BM50" s="46">
        <f t="shared" si="72"/>
        <v>4</v>
      </c>
      <c r="BN50" s="46">
        <f t="shared" si="72"/>
        <v>4</v>
      </c>
      <c r="BO50" s="46">
        <f t="shared" si="72"/>
        <v>4</v>
      </c>
      <c r="BP50" s="46">
        <f t="shared" si="72"/>
        <v>4</v>
      </c>
      <c r="BQ50" s="46">
        <f t="shared" si="72"/>
        <v>4</v>
      </c>
      <c r="BR50" s="46">
        <f t="shared" si="72"/>
        <v>4</v>
      </c>
      <c r="BS50" s="46">
        <f t="shared" si="72"/>
        <v>4</v>
      </c>
      <c r="BT50" s="46">
        <f t="shared" si="72"/>
        <v>4</v>
      </c>
      <c r="BU50" s="46">
        <f t="shared" si="72"/>
        <v>4</v>
      </c>
      <c r="BV50" s="46">
        <f t="shared" ref="BV50:ED50" si="73">IF(AND(BV47&gt;0,EE46&gt;0,BV46&gt;0),IF(BU50&lt;&gt;0,BU50,BV2),0)</f>
        <v>0</v>
      </c>
      <c r="BW50" s="46">
        <f t="shared" si="73"/>
        <v>0</v>
      </c>
      <c r="BX50" s="46">
        <f t="shared" si="73"/>
        <v>0</v>
      </c>
      <c r="BY50" s="46">
        <f t="shared" si="73"/>
        <v>0</v>
      </c>
      <c r="BZ50" s="46">
        <f t="shared" si="73"/>
        <v>0</v>
      </c>
      <c r="CA50" s="46">
        <f t="shared" si="73"/>
        <v>0</v>
      </c>
      <c r="CB50" s="46">
        <f t="shared" si="73"/>
        <v>0</v>
      </c>
      <c r="CC50" s="46">
        <f t="shared" si="73"/>
        <v>0</v>
      </c>
      <c r="CD50" s="46">
        <f t="shared" si="73"/>
        <v>0</v>
      </c>
      <c r="CE50" s="46">
        <f t="shared" si="73"/>
        <v>0</v>
      </c>
      <c r="CF50" s="46">
        <f t="shared" si="73"/>
        <v>0</v>
      </c>
      <c r="CG50" s="46">
        <f t="shared" si="73"/>
        <v>0</v>
      </c>
      <c r="CH50" s="46">
        <f t="shared" si="73"/>
        <v>0</v>
      </c>
      <c r="CI50" s="46">
        <f t="shared" si="73"/>
        <v>0</v>
      </c>
      <c r="CJ50" s="46">
        <f t="shared" si="73"/>
        <v>0</v>
      </c>
      <c r="CK50" s="46">
        <f t="shared" si="73"/>
        <v>0</v>
      </c>
      <c r="CL50" s="46">
        <f t="shared" si="73"/>
        <v>0</v>
      </c>
      <c r="CM50" s="46">
        <f t="shared" si="73"/>
        <v>0</v>
      </c>
      <c r="CN50" s="46">
        <f t="shared" si="73"/>
        <v>0</v>
      </c>
      <c r="CO50" s="46">
        <f t="shared" si="73"/>
        <v>0</v>
      </c>
      <c r="CP50" s="46">
        <f t="shared" si="73"/>
        <v>0</v>
      </c>
      <c r="CQ50" s="46">
        <f t="shared" si="73"/>
        <v>0</v>
      </c>
      <c r="CR50" s="46">
        <f t="shared" si="73"/>
        <v>0</v>
      </c>
      <c r="CS50" s="46">
        <f t="shared" si="73"/>
        <v>0</v>
      </c>
      <c r="CT50" s="46">
        <f t="shared" si="73"/>
        <v>0</v>
      </c>
      <c r="CU50" s="46">
        <f t="shared" si="73"/>
        <v>0</v>
      </c>
      <c r="CV50" s="46">
        <f t="shared" si="73"/>
        <v>0</v>
      </c>
      <c r="CW50" s="46">
        <f t="shared" si="73"/>
        <v>0</v>
      </c>
      <c r="CX50" s="46">
        <f t="shared" si="73"/>
        <v>0</v>
      </c>
      <c r="CY50" s="46">
        <f t="shared" si="73"/>
        <v>0</v>
      </c>
      <c r="CZ50" s="46">
        <f t="shared" si="73"/>
        <v>0</v>
      </c>
      <c r="DA50" s="46">
        <f t="shared" si="73"/>
        <v>0</v>
      </c>
      <c r="DB50" s="46">
        <f t="shared" si="73"/>
        <v>0</v>
      </c>
      <c r="DC50" s="46">
        <f t="shared" si="73"/>
        <v>0</v>
      </c>
      <c r="DD50" s="46">
        <f t="shared" si="73"/>
        <v>0</v>
      </c>
      <c r="DE50" s="46">
        <f t="shared" si="73"/>
        <v>0</v>
      </c>
      <c r="DF50" s="46">
        <f t="shared" si="73"/>
        <v>0</v>
      </c>
      <c r="DG50" s="46">
        <f t="shared" si="73"/>
        <v>0</v>
      </c>
      <c r="DH50" s="46">
        <f t="shared" si="73"/>
        <v>0</v>
      </c>
      <c r="DI50" s="46">
        <f t="shared" si="73"/>
        <v>0</v>
      </c>
      <c r="DJ50" s="46">
        <f t="shared" si="73"/>
        <v>0</v>
      </c>
      <c r="DK50" s="46">
        <f t="shared" si="73"/>
        <v>0</v>
      </c>
      <c r="DL50" s="46">
        <f t="shared" si="73"/>
        <v>0</v>
      </c>
      <c r="DM50" s="46">
        <f t="shared" si="73"/>
        <v>0</v>
      </c>
      <c r="DN50" s="46">
        <f t="shared" si="73"/>
        <v>0</v>
      </c>
      <c r="DO50" s="46">
        <f t="shared" si="73"/>
        <v>0</v>
      </c>
      <c r="DP50" s="46">
        <f t="shared" si="73"/>
        <v>0</v>
      </c>
      <c r="DQ50" s="46">
        <f t="shared" si="73"/>
        <v>0</v>
      </c>
      <c r="DR50" s="46">
        <f t="shared" si="73"/>
        <v>0</v>
      </c>
      <c r="DS50" s="46">
        <f t="shared" si="73"/>
        <v>0</v>
      </c>
      <c r="DT50" s="46">
        <f t="shared" si="73"/>
        <v>0</v>
      </c>
      <c r="DU50" s="46">
        <f t="shared" si="73"/>
        <v>0</v>
      </c>
      <c r="DV50" s="46">
        <f t="shared" si="73"/>
        <v>0</v>
      </c>
      <c r="DW50" s="46">
        <f t="shared" si="73"/>
        <v>0</v>
      </c>
      <c r="DX50" s="46">
        <f t="shared" si="73"/>
        <v>0</v>
      </c>
      <c r="DY50" s="46">
        <f t="shared" si="73"/>
        <v>0</v>
      </c>
      <c r="DZ50" s="46">
        <f t="shared" si="73"/>
        <v>0</v>
      </c>
      <c r="EA50" s="46">
        <f t="shared" si="73"/>
        <v>0</v>
      </c>
      <c r="EB50" s="46">
        <f t="shared" si="73"/>
        <v>0</v>
      </c>
      <c r="EC50" s="46">
        <f t="shared" si="73"/>
        <v>0</v>
      </c>
      <c r="ED50" s="46">
        <f t="shared" si="73"/>
        <v>0</v>
      </c>
    </row>
    <row r="57" spans="2:134" ht="12.5" x14ac:dyDescent="0.25">
      <c r="C57" s="53"/>
      <c r="N57" s="53"/>
    </row>
    <row r="58" spans="2:134" ht="12.5" x14ac:dyDescent="0.25">
      <c r="C58" s="53"/>
      <c r="N58" s="53"/>
    </row>
    <row r="59" spans="2:134" ht="12.5" x14ac:dyDescent="0.25">
      <c r="C59" s="53"/>
      <c r="N59" s="53"/>
    </row>
    <row r="60" spans="2:134" ht="12.5" x14ac:dyDescent="0.25">
      <c r="C60" s="53"/>
      <c r="N60" s="53"/>
    </row>
    <row r="61" spans="2:134" ht="12.5" x14ac:dyDescent="0.25">
      <c r="C61" s="53"/>
      <c r="N61" s="53"/>
    </row>
    <row r="62" spans="2:134" ht="12.5" x14ac:dyDescent="0.25">
      <c r="C62" s="53"/>
      <c r="N62" s="53"/>
    </row>
    <row r="63" spans="2:134" ht="12.5" x14ac:dyDescent="0.25">
      <c r="C63" s="53"/>
      <c r="N63" s="53"/>
    </row>
    <row r="64" spans="2:134" ht="12.5" x14ac:dyDescent="0.25">
      <c r="C64" s="53"/>
      <c r="N64" s="53"/>
    </row>
    <row r="65" spans="3:14" ht="12.5" x14ac:dyDescent="0.25">
      <c r="C65" s="53"/>
      <c r="N65" s="53"/>
    </row>
    <row r="66" spans="3:14" ht="12.5" x14ac:dyDescent="0.25">
      <c r="C66" s="53"/>
      <c r="N66" s="53"/>
    </row>
    <row r="67" spans="3:14" ht="12.5" x14ac:dyDescent="0.25">
      <c r="C67" s="53"/>
      <c r="N67" s="53"/>
    </row>
    <row r="68" spans="3:14" ht="12.5" x14ac:dyDescent="0.25">
      <c r="C68" s="53"/>
      <c r="N68" s="53"/>
    </row>
    <row r="69" spans="3:14" ht="12.5" x14ac:dyDescent="0.25">
      <c r="C69" s="53"/>
      <c r="N69" s="53"/>
    </row>
    <row r="70" spans="3:14" ht="12.5" x14ac:dyDescent="0.25">
      <c r="C70" s="53"/>
      <c r="N70" s="53"/>
    </row>
    <row r="71" spans="3:14" ht="12.5" x14ac:dyDescent="0.25">
      <c r="C71" s="53"/>
      <c r="N71" s="53"/>
    </row>
    <row r="72" spans="3:14" ht="12.5" x14ac:dyDescent="0.25">
      <c r="C72" s="53"/>
      <c r="N72" s="53"/>
    </row>
    <row r="73" spans="3:14" ht="12.5" x14ac:dyDescent="0.25">
      <c r="C73" s="53"/>
      <c r="N73" s="53"/>
    </row>
    <row r="74" spans="3:14" ht="12.5" x14ac:dyDescent="0.25">
      <c r="C74" s="53"/>
      <c r="N74" s="53"/>
    </row>
    <row r="75" spans="3:14" ht="12.5" x14ac:dyDescent="0.25">
      <c r="C75" s="53"/>
      <c r="N75" s="53"/>
    </row>
    <row r="76" spans="3:14" ht="12.5" x14ac:dyDescent="0.25">
      <c r="C76" s="53"/>
      <c r="N76" s="53"/>
    </row>
    <row r="77" spans="3:14" ht="12.5" x14ac:dyDescent="0.25">
      <c r="C77" s="53"/>
      <c r="N77" s="53"/>
    </row>
    <row r="78" spans="3:14" ht="12.5" x14ac:dyDescent="0.25">
      <c r="C78" s="53"/>
      <c r="N78" s="53"/>
    </row>
    <row r="79" spans="3:14" ht="12.5" x14ac:dyDescent="0.25">
      <c r="C79" s="53"/>
      <c r="N79" s="53"/>
    </row>
    <row r="80" spans="3:14" ht="12.5" x14ac:dyDescent="0.25">
      <c r="C80" s="53"/>
      <c r="N80" s="53"/>
    </row>
    <row r="81" spans="3:14" ht="12.5" x14ac:dyDescent="0.25">
      <c r="C81" s="53"/>
      <c r="N81" s="53"/>
    </row>
    <row r="82" spans="3:14" ht="12.5" x14ac:dyDescent="0.25">
      <c r="C82" s="53"/>
      <c r="N82" s="53"/>
    </row>
    <row r="83" spans="3:14" ht="12.5" x14ac:dyDescent="0.25">
      <c r="C83" s="53"/>
      <c r="N83" s="53"/>
    </row>
    <row r="84" spans="3:14" ht="12.5" x14ac:dyDescent="0.25">
      <c r="C84" s="53"/>
      <c r="N84" s="53"/>
    </row>
    <row r="85" spans="3:14" ht="12.5" x14ac:dyDescent="0.25">
      <c r="C85" s="53"/>
      <c r="N85" s="53"/>
    </row>
    <row r="86" spans="3:14" ht="12.5" x14ac:dyDescent="0.25">
      <c r="C86" s="53"/>
      <c r="N86" s="53"/>
    </row>
    <row r="87" spans="3:14" ht="12.5" x14ac:dyDescent="0.25">
      <c r="C87" s="53"/>
      <c r="N87" s="53"/>
    </row>
    <row r="88" spans="3:14" ht="12.5" x14ac:dyDescent="0.25">
      <c r="C88" s="53"/>
      <c r="N88" s="53"/>
    </row>
    <row r="89" spans="3:14" ht="12.5" x14ac:dyDescent="0.25">
      <c r="C89" s="53"/>
      <c r="N89" s="53"/>
    </row>
    <row r="90" spans="3:14" ht="12.5" x14ac:dyDescent="0.25">
      <c r="C90" s="53"/>
      <c r="N90" s="53"/>
    </row>
    <row r="91" spans="3:14" ht="12.5" x14ac:dyDescent="0.25">
      <c r="C91" s="53"/>
      <c r="N91" s="53"/>
    </row>
    <row r="92" spans="3:14" ht="12.5" x14ac:dyDescent="0.25">
      <c r="C92" s="53"/>
      <c r="N92" s="53"/>
    </row>
    <row r="93" spans="3:14" ht="12.5" x14ac:dyDescent="0.25">
      <c r="C93" s="53"/>
      <c r="N93" s="53"/>
    </row>
    <row r="94" spans="3:14" ht="12.5" x14ac:dyDescent="0.25">
      <c r="C94" s="53"/>
      <c r="N94" s="53"/>
    </row>
    <row r="95" spans="3:14" ht="12.5" x14ac:dyDescent="0.25">
      <c r="C95" s="53"/>
      <c r="N95" s="53"/>
    </row>
    <row r="96" spans="3:14" ht="12.5" x14ac:dyDescent="0.25">
      <c r="C96" s="53"/>
      <c r="N96" s="53"/>
    </row>
    <row r="97" spans="3:14" ht="12.5" x14ac:dyDescent="0.25">
      <c r="C97" s="53"/>
      <c r="N97" s="53"/>
    </row>
    <row r="98" spans="3:14" ht="12.5" x14ac:dyDescent="0.25">
      <c r="C98" s="53"/>
      <c r="N98" s="53"/>
    </row>
    <row r="99" spans="3:14" ht="12.5" x14ac:dyDescent="0.25">
      <c r="C99" s="53"/>
      <c r="N99" s="53"/>
    </row>
    <row r="100" spans="3:14" ht="12.5" x14ac:dyDescent="0.25">
      <c r="C100" s="53"/>
      <c r="N100" s="53"/>
    </row>
    <row r="101" spans="3:14" ht="12.5" x14ac:dyDescent="0.25">
      <c r="C101" s="53"/>
      <c r="N101" s="53"/>
    </row>
    <row r="102" spans="3:14" ht="12.5" x14ac:dyDescent="0.25">
      <c r="C102" s="53"/>
      <c r="N102" s="53"/>
    </row>
    <row r="103" spans="3:14" ht="12.5" x14ac:dyDescent="0.25">
      <c r="C103" s="53"/>
      <c r="N103" s="53"/>
    </row>
    <row r="104" spans="3:14" ht="12.5" x14ac:dyDescent="0.25">
      <c r="C104" s="53"/>
      <c r="N104" s="53"/>
    </row>
    <row r="105" spans="3:14" ht="12.5" x14ac:dyDescent="0.25">
      <c r="C105" s="53"/>
      <c r="N105" s="53"/>
    </row>
    <row r="106" spans="3:14" ht="12.5" x14ac:dyDescent="0.25">
      <c r="C106" s="53"/>
      <c r="N106" s="53"/>
    </row>
    <row r="107" spans="3:14" ht="12.5" x14ac:dyDescent="0.25">
      <c r="C107" s="53"/>
      <c r="N107" s="53"/>
    </row>
    <row r="108" spans="3:14" ht="12.5" x14ac:dyDescent="0.25">
      <c r="C108" s="53"/>
      <c r="N108" s="53"/>
    </row>
    <row r="109" spans="3:14" ht="12.5" x14ac:dyDescent="0.25">
      <c r="C109" s="53"/>
      <c r="N109" s="53"/>
    </row>
    <row r="110" spans="3:14" ht="12.5" x14ac:dyDescent="0.25">
      <c r="C110" s="53"/>
      <c r="N110" s="53"/>
    </row>
    <row r="111" spans="3:14" ht="12.5" x14ac:dyDescent="0.25">
      <c r="C111" s="53"/>
      <c r="N111" s="53"/>
    </row>
    <row r="112" spans="3:14" ht="12.5" x14ac:dyDescent="0.25">
      <c r="C112" s="53"/>
      <c r="N112" s="53"/>
    </row>
    <row r="113" spans="3:14" ht="12.5" x14ac:dyDescent="0.25">
      <c r="C113" s="53"/>
      <c r="N113" s="53"/>
    </row>
    <row r="114" spans="3:14" ht="12.5" x14ac:dyDescent="0.25">
      <c r="C114" s="53"/>
      <c r="N114" s="53"/>
    </row>
    <row r="115" spans="3:14" ht="12.5" x14ac:dyDescent="0.25">
      <c r="C115" s="53"/>
      <c r="N115" s="53"/>
    </row>
    <row r="116" spans="3:14" ht="12.5" x14ac:dyDescent="0.25">
      <c r="C116" s="53"/>
      <c r="N116" s="53"/>
    </row>
    <row r="117" spans="3:14" ht="12.5" x14ac:dyDescent="0.25">
      <c r="C117" s="53"/>
      <c r="N117" s="53"/>
    </row>
    <row r="118" spans="3:14" ht="12.5" x14ac:dyDescent="0.25">
      <c r="C118" s="53"/>
      <c r="N118" s="53"/>
    </row>
    <row r="119" spans="3:14" ht="12.5" x14ac:dyDescent="0.25">
      <c r="C119" s="53"/>
      <c r="N119" s="53"/>
    </row>
    <row r="120" spans="3:14" ht="12.5" x14ac:dyDescent="0.25">
      <c r="C120" s="53"/>
      <c r="N120" s="53"/>
    </row>
    <row r="121" spans="3:14" ht="12.5" x14ac:dyDescent="0.25">
      <c r="C121" s="53"/>
      <c r="N121" s="53"/>
    </row>
    <row r="122" spans="3:14" ht="12.5" x14ac:dyDescent="0.25">
      <c r="C122" s="53"/>
      <c r="N122" s="53"/>
    </row>
    <row r="123" spans="3:14" ht="12.5" x14ac:dyDescent="0.25">
      <c r="C123" s="53"/>
      <c r="N123" s="53"/>
    </row>
    <row r="124" spans="3:14" ht="12.5" x14ac:dyDescent="0.25">
      <c r="C124" s="53"/>
      <c r="N124" s="53"/>
    </row>
    <row r="125" spans="3:14" ht="12.5" x14ac:dyDescent="0.25">
      <c r="C125" s="53"/>
      <c r="N125" s="53"/>
    </row>
    <row r="126" spans="3:14" ht="12.5" x14ac:dyDescent="0.25">
      <c r="C126" s="53"/>
      <c r="N126" s="53"/>
    </row>
    <row r="127" spans="3:14" ht="12.5" x14ac:dyDescent="0.25">
      <c r="C127" s="53"/>
      <c r="N127" s="53"/>
    </row>
    <row r="128" spans="3:14" ht="12.5" x14ac:dyDescent="0.25">
      <c r="C128" s="53"/>
      <c r="N128" s="53"/>
    </row>
    <row r="129" spans="3:14" ht="12.5" x14ac:dyDescent="0.25">
      <c r="C129" s="53"/>
      <c r="N129" s="53"/>
    </row>
    <row r="130" spans="3:14" ht="12.5" x14ac:dyDescent="0.25">
      <c r="C130" s="53"/>
      <c r="N130" s="53"/>
    </row>
    <row r="131" spans="3:14" ht="12.5" x14ac:dyDescent="0.25">
      <c r="C131" s="53"/>
      <c r="N131" s="53"/>
    </row>
    <row r="132" spans="3:14" ht="12.5" x14ac:dyDescent="0.25">
      <c r="C132" s="53"/>
      <c r="N132" s="53"/>
    </row>
    <row r="133" spans="3:14" ht="12.5" x14ac:dyDescent="0.25">
      <c r="C133" s="53"/>
      <c r="N133" s="53"/>
    </row>
    <row r="134" spans="3:14" ht="12.5" x14ac:dyDescent="0.25">
      <c r="C134" s="53"/>
      <c r="N134" s="53"/>
    </row>
    <row r="135" spans="3:14" ht="12.5" x14ac:dyDescent="0.25">
      <c r="C135" s="53"/>
      <c r="N135" s="53"/>
    </row>
    <row r="136" spans="3:14" ht="12.5" x14ac:dyDescent="0.25">
      <c r="C136" s="53"/>
      <c r="N136" s="53"/>
    </row>
    <row r="137" spans="3:14" ht="12.5" x14ac:dyDescent="0.25">
      <c r="C137" s="53"/>
      <c r="N137" s="53"/>
    </row>
    <row r="138" spans="3:14" ht="12.5" x14ac:dyDescent="0.25">
      <c r="C138" s="53"/>
      <c r="N138" s="53"/>
    </row>
    <row r="139" spans="3:14" ht="12.5" x14ac:dyDescent="0.25">
      <c r="C139" s="53"/>
      <c r="N139" s="53"/>
    </row>
    <row r="140" spans="3:14" ht="12.5" x14ac:dyDescent="0.25">
      <c r="C140" s="53"/>
      <c r="N140" s="53"/>
    </row>
    <row r="141" spans="3:14" ht="12.5" x14ac:dyDescent="0.25">
      <c r="C141" s="53"/>
      <c r="N141" s="53"/>
    </row>
    <row r="142" spans="3:14" ht="12.5" x14ac:dyDescent="0.25">
      <c r="C142" s="53"/>
      <c r="N142" s="53"/>
    </row>
    <row r="143" spans="3:14" ht="12.5" x14ac:dyDescent="0.25">
      <c r="C143" s="53"/>
      <c r="N143" s="53"/>
    </row>
    <row r="144" spans="3:14" ht="12.5" x14ac:dyDescent="0.25">
      <c r="C144" s="53"/>
      <c r="N144" s="53"/>
    </row>
    <row r="145" spans="3:14" ht="12.5" x14ac:dyDescent="0.25">
      <c r="C145" s="53"/>
      <c r="N145" s="53"/>
    </row>
    <row r="146" spans="3:14" ht="12.5" x14ac:dyDescent="0.25">
      <c r="C146" s="53"/>
      <c r="N146" s="53"/>
    </row>
    <row r="147" spans="3:14" ht="12.5" x14ac:dyDescent="0.25">
      <c r="C147" s="53"/>
      <c r="N147" s="53"/>
    </row>
    <row r="148" spans="3:14" ht="12.5" x14ac:dyDescent="0.25">
      <c r="C148" s="53"/>
      <c r="N148" s="53"/>
    </row>
    <row r="149" spans="3:14" ht="12.5" x14ac:dyDescent="0.25">
      <c r="C149" s="53"/>
      <c r="N149" s="53"/>
    </row>
    <row r="150" spans="3:14" ht="12.5" x14ac:dyDescent="0.25">
      <c r="C150" s="53"/>
      <c r="N150" s="53"/>
    </row>
    <row r="151" spans="3:14" ht="12.5" x14ac:dyDescent="0.25">
      <c r="C151" s="53"/>
      <c r="N151" s="53"/>
    </row>
    <row r="152" spans="3:14" ht="12.5" x14ac:dyDescent="0.25">
      <c r="C152" s="53"/>
      <c r="N152" s="53"/>
    </row>
    <row r="153" spans="3:14" ht="12.5" x14ac:dyDescent="0.25">
      <c r="C153" s="53"/>
      <c r="N153" s="53"/>
    </row>
    <row r="154" spans="3:14" ht="12.5" x14ac:dyDescent="0.25">
      <c r="C154" s="53"/>
      <c r="N154" s="53"/>
    </row>
    <row r="155" spans="3:14" ht="12.5" x14ac:dyDescent="0.25">
      <c r="C155" s="53"/>
      <c r="N155" s="53"/>
    </row>
    <row r="156" spans="3:14" ht="12.5" x14ac:dyDescent="0.25">
      <c r="C156" s="53"/>
      <c r="N156" s="53"/>
    </row>
    <row r="157" spans="3:14" ht="12.5" x14ac:dyDescent="0.25">
      <c r="C157" s="53"/>
      <c r="N157" s="53"/>
    </row>
    <row r="158" spans="3:14" ht="12.5" x14ac:dyDescent="0.25">
      <c r="C158" s="53"/>
      <c r="N158" s="53"/>
    </row>
    <row r="159" spans="3:14" ht="12.5" x14ac:dyDescent="0.25">
      <c r="C159" s="53"/>
      <c r="N159" s="53"/>
    </row>
    <row r="160" spans="3:14" ht="12.5" x14ac:dyDescent="0.25">
      <c r="C160" s="53"/>
      <c r="N160" s="53"/>
    </row>
    <row r="161" spans="3:14" ht="12.5" x14ac:dyDescent="0.25">
      <c r="C161" s="53"/>
      <c r="N161" s="53"/>
    </row>
    <row r="162" spans="3:14" ht="12.5" x14ac:dyDescent="0.25">
      <c r="C162" s="53"/>
      <c r="N162" s="53"/>
    </row>
    <row r="163" spans="3:14" ht="12.5" x14ac:dyDescent="0.25">
      <c r="C163" s="53"/>
      <c r="N163" s="53"/>
    </row>
    <row r="164" spans="3:14" ht="12.5" x14ac:dyDescent="0.25">
      <c r="C164" s="53"/>
      <c r="N164" s="53"/>
    </row>
    <row r="165" spans="3:14" ht="12.5" x14ac:dyDescent="0.25">
      <c r="C165" s="53"/>
      <c r="N165" s="53"/>
    </row>
    <row r="166" spans="3:14" ht="12.5" x14ac:dyDescent="0.25">
      <c r="C166" s="53"/>
      <c r="N166" s="53"/>
    </row>
    <row r="167" spans="3:14" ht="12.5" x14ac:dyDescent="0.25">
      <c r="C167" s="53"/>
      <c r="N167" s="53"/>
    </row>
    <row r="168" spans="3:14" ht="12.5" x14ac:dyDescent="0.25">
      <c r="C168" s="53"/>
      <c r="N168" s="53"/>
    </row>
    <row r="169" spans="3:14" ht="12.5" x14ac:dyDescent="0.25">
      <c r="C169" s="53"/>
      <c r="N169" s="53"/>
    </row>
    <row r="170" spans="3:14" ht="12.5" x14ac:dyDescent="0.25">
      <c r="C170" s="53"/>
      <c r="N170" s="53"/>
    </row>
    <row r="171" spans="3:14" ht="12.5" x14ac:dyDescent="0.25">
      <c r="C171" s="53"/>
      <c r="N171" s="53"/>
    </row>
    <row r="172" spans="3:14" ht="12.5" x14ac:dyDescent="0.25">
      <c r="C172" s="53"/>
      <c r="N172" s="53"/>
    </row>
    <row r="173" spans="3:14" ht="12.5" x14ac:dyDescent="0.25">
      <c r="C173" s="53"/>
      <c r="N173" s="53"/>
    </row>
    <row r="174" spans="3:14" ht="12.5" x14ac:dyDescent="0.25">
      <c r="C174" s="53"/>
      <c r="N174" s="53"/>
    </row>
    <row r="175" spans="3:14" ht="12.5" x14ac:dyDescent="0.25">
      <c r="C175" s="53"/>
      <c r="N175" s="53"/>
    </row>
    <row r="176" spans="3:14" ht="12.5" x14ac:dyDescent="0.25">
      <c r="C176" s="53"/>
      <c r="N176" s="53"/>
    </row>
    <row r="177" spans="3:14" ht="12.5" x14ac:dyDescent="0.25">
      <c r="C177" s="53"/>
      <c r="N177" s="53"/>
    </row>
    <row r="178" spans="3:14" ht="12.5" x14ac:dyDescent="0.25">
      <c r="C178" s="53"/>
      <c r="N178" s="53"/>
    </row>
    <row r="179" spans="3:14" ht="12.5" x14ac:dyDescent="0.25">
      <c r="C179" s="53"/>
      <c r="N179" s="53"/>
    </row>
    <row r="180" spans="3:14" ht="12.5" x14ac:dyDescent="0.25">
      <c r="C180" s="53"/>
      <c r="N180" s="53"/>
    </row>
    <row r="181" spans="3:14" ht="12.5" x14ac:dyDescent="0.25">
      <c r="C181" s="53"/>
      <c r="N181" s="53"/>
    </row>
    <row r="182" spans="3:14" ht="12.5" x14ac:dyDescent="0.25">
      <c r="C182" s="53"/>
      <c r="N182" s="53"/>
    </row>
    <row r="183" spans="3:14" ht="12.5" x14ac:dyDescent="0.25">
      <c r="C183" s="53"/>
      <c r="N183" s="53"/>
    </row>
    <row r="184" spans="3:14" ht="12.5" x14ac:dyDescent="0.25">
      <c r="C184" s="53"/>
      <c r="N184" s="53"/>
    </row>
    <row r="185" spans="3:14" ht="12.5" x14ac:dyDescent="0.25">
      <c r="C185" s="53"/>
      <c r="N185" s="53"/>
    </row>
    <row r="186" spans="3:14" ht="12.5" x14ac:dyDescent="0.25">
      <c r="C186" s="53"/>
      <c r="N186" s="53"/>
    </row>
    <row r="187" spans="3:14" ht="12.5" x14ac:dyDescent="0.25">
      <c r="C187" s="53"/>
      <c r="N187" s="53"/>
    </row>
    <row r="188" spans="3:14" ht="12.5" x14ac:dyDescent="0.25">
      <c r="C188" s="53"/>
      <c r="N188" s="53"/>
    </row>
    <row r="189" spans="3:14" ht="12.5" x14ac:dyDescent="0.25">
      <c r="C189" s="53"/>
      <c r="N189" s="53"/>
    </row>
    <row r="190" spans="3:14" ht="12.5" x14ac:dyDescent="0.25">
      <c r="C190" s="53"/>
      <c r="N190" s="53"/>
    </row>
    <row r="191" spans="3:14" ht="12.5" x14ac:dyDescent="0.25">
      <c r="C191" s="53"/>
      <c r="N191" s="53"/>
    </row>
    <row r="192" spans="3:14" ht="12.5" x14ac:dyDescent="0.25">
      <c r="C192" s="53"/>
      <c r="N192" s="53"/>
    </row>
    <row r="193" spans="3:14" ht="12.5" x14ac:dyDescent="0.25">
      <c r="C193" s="53"/>
      <c r="N193" s="53"/>
    </row>
    <row r="194" spans="3:14" ht="12.5" x14ac:dyDescent="0.25">
      <c r="C194" s="53"/>
      <c r="N194" s="53"/>
    </row>
    <row r="195" spans="3:14" ht="12.5" x14ac:dyDescent="0.25">
      <c r="C195" s="53"/>
      <c r="N195" s="53"/>
    </row>
    <row r="196" spans="3:14" ht="12.5" x14ac:dyDescent="0.25">
      <c r="C196" s="53"/>
      <c r="N196" s="53"/>
    </row>
    <row r="197" spans="3:14" ht="12.5" x14ac:dyDescent="0.25">
      <c r="C197" s="53"/>
      <c r="N197" s="53"/>
    </row>
    <row r="198" spans="3:14" ht="12.5" x14ac:dyDescent="0.25">
      <c r="C198" s="53"/>
      <c r="N198" s="53"/>
    </row>
    <row r="199" spans="3:14" ht="12.5" x14ac:dyDescent="0.25">
      <c r="C199" s="53"/>
      <c r="N199" s="53"/>
    </row>
    <row r="200" spans="3:14" ht="12.5" x14ac:dyDescent="0.25">
      <c r="C200" s="53"/>
      <c r="N200" s="53"/>
    </row>
    <row r="201" spans="3:14" ht="12.5" x14ac:dyDescent="0.25">
      <c r="C201" s="53"/>
      <c r="N201" s="53"/>
    </row>
    <row r="202" spans="3:14" ht="12.5" x14ac:dyDescent="0.25">
      <c r="C202" s="53"/>
      <c r="N202" s="53"/>
    </row>
    <row r="203" spans="3:14" ht="12.5" x14ac:dyDescent="0.25">
      <c r="C203" s="53"/>
      <c r="N203" s="53"/>
    </row>
    <row r="204" spans="3:14" ht="12.5" x14ac:dyDescent="0.25">
      <c r="C204" s="53"/>
      <c r="N204" s="53"/>
    </row>
    <row r="205" spans="3:14" ht="12.5" x14ac:dyDescent="0.25">
      <c r="C205" s="53"/>
      <c r="N205" s="53"/>
    </row>
    <row r="206" spans="3:14" ht="12.5" x14ac:dyDescent="0.25">
      <c r="C206" s="53"/>
      <c r="N206" s="53"/>
    </row>
    <row r="207" spans="3:14" ht="12.5" x14ac:dyDescent="0.25">
      <c r="C207" s="53"/>
      <c r="N207" s="53"/>
    </row>
    <row r="208" spans="3:14" ht="12.5" x14ac:dyDescent="0.25">
      <c r="C208" s="53"/>
      <c r="N208" s="53"/>
    </row>
    <row r="209" spans="3:14" ht="12.5" x14ac:dyDescent="0.25">
      <c r="C209" s="53"/>
      <c r="N209" s="53"/>
    </row>
    <row r="210" spans="3:14" ht="12.5" x14ac:dyDescent="0.25">
      <c r="C210" s="53"/>
      <c r="N210" s="53"/>
    </row>
    <row r="211" spans="3:14" ht="12.5" x14ac:dyDescent="0.25">
      <c r="C211" s="53"/>
      <c r="N211" s="53"/>
    </row>
    <row r="212" spans="3:14" ht="12.5" x14ac:dyDescent="0.25">
      <c r="C212" s="53"/>
      <c r="N212" s="53"/>
    </row>
    <row r="213" spans="3:14" ht="12.5" x14ac:dyDescent="0.25">
      <c r="C213" s="53"/>
      <c r="N213" s="53"/>
    </row>
    <row r="214" spans="3:14" ht="12.5" x14ac:dyDescent="0.25">
      <c r="C214" s="53"/>
      <c r="N214" s="53"/>
    </row>
    <row r="215" spans="3:14" ht="12.5" x14ac:dyDescent="0.25">
      <c r="C215" s="53"/>
      <c r="N215" s="53"/>
    </row>
    <row r="216" spans="3:14" ht="12.5" x14ac:dyDescent="0.25">
      <c r="C216" s="53"/>
      <c r="N216" s="53"/>
    </row>
    <row r="217" spans="3:14" ht="12.5" x14ac:dyDescent="0.25">
      <c r="C217" s="53"/>
      <c r="N217" s="53"/>
    </row>
    <row r="218" spans="3:14" ht="12.5" x14ac:dyDescent="0.25">
      <c r="C218" s="53"/>
      <c r="N218" s="53"/>
    </row>
    <row r="219" spans="3:14" ht="12.5" x14ac:dyDescent="0.25">
      <c r="C219" s="53"/>
      <c r="N219" s="53"/>
    </row>
    <row r="220" spans="3:14" ht="12.5" x14ac:dyDescent="0.25">
      <c r="C220" s="53"/>
      <c r="N220" s="53"/>
    </row>
    <row r="221" spans="3:14" ht="12.5" x14ac:dyDescent="0.25">
      <c r="C221" s="53"/>
      <c r="N221" s="53"/>
    </row>
    <row r="222" spans="3:14" ht="12.5" x14ac:dyDescent="0.25">
      <c r="C222" s="53"/>
      <c r="N222" s="53"/>
    </row>
    <row r="223" spans="3:14" ht="12.5" x14ac:dyDescent="0.25">
      <c r="C223" s="53"/>
      <c r="N223" s="53"/>
    </row>
    <row r="224" spans="3:14" ht="12.5" x14ac:dyDescent="0.25">
      <c r="C224" s="53"/>
      <c r="N224" s="53"/>
    </row>
    <row r="225" spans="3:14" ht="12.5" x14ac:dyDescent="0.25">
      <c r="C225" s="53"/>
      <c r="N225" s="53"/>
    </row>
    <row r="226" spans="3:14" ht="12.5" x14ac:dyDescent="0.25">
      <c r="C226" s="53"/>
      <c r="N226" s="53"/>
    </row>
    <row r="227" spans="3:14" ht="12.5" x14ac:dyDescent="0.25">
      <c r="C227" s="53"/>
      <c r="N227" s="53"/>
    </row>
    <row r="228" spans="3:14" ht="12.5" x14ac:dyDescent="0.25">
      <c r="C228" s="53"/>
      <c r="N228" s="53"/>
    </row>
    <row r="229" spans="3:14" ht="12.5" x14ac:dyDescent="0.25">
      <c r="C229" s="53"/>
      <c r="N229" s="53"/>
    </row>
    <row r="230" spans="3:14" ht="12.5" x14ac:dyDescent="0.25">
      <c r="C230" s="53"/>
      <c r="N230" s="53"/>
    </row>
    <row r="231" spans="3:14" ht="12.5" x14ac:dyDescent="0.25">
      <c r="C231" s="53"/>
      <c r="N231" s="53"/>
    </row>
    <row r="232" spans="3:14" ht="12.5" x14ac:dyDescent="0.25">
      <c r="C232" s="53"/>
      <c r="N232" s="53"/>
    </row>
    <row r="233" spans="3:14" ht="12.5" x14ac:dyDescent="0.25">
      <c r="C233" s="53"/>
      <c r="N233" s="53"/>
    </row>
    <row r="234" spans="3:14" ht="12.5" x14ac:dyDescent="0.25">
      <c r="C234" s="53"/>
      <c r="N234" s="53"/>
    </row>
    <row r="235" spans="3:14" ht="12.5" x14ac:dyDescent="0.25">
      <c r="C235" s="53"/>
      <c r="N235" s="53"/>
    </row>
    <row r="236" spans="3:14" ht="12.5" x14ac:dyDescent="0.25">
      <c r="C236" s="53"/>
      <c r="N236" s="53"/>
    </row>
    <row r="237" spans="3:14" ht="12.5" x14ac:dyDescent="0.25">
      <c r="C237" s="53"/>
      <c r="N237" s="53"/>
    </row>
    <row r="238" spans="3:14" ht="12.5" x14ac:dyDescent="0.25">
      <c r="C238" s="53"/>
      <c r="N238" s="53"/>
    </row>
    <row r="239" spans="3:14" ht="12.5" x14ac:dyDescent="0.25">
      <c r="C239" s="53"/>
      <c r="N239" s="53"/>
    </row>
    <row r="240" spans="3:14" ht="12.5" x14ac:dyDescent="0.25">
      <c r="C240" s="53"/>
      <c r="N240" s="53"/>
    </row>
    <row r="241" spans="3:14" ht="12.5" x14ac:dyDescent="0.25">
      <c r="C241" s="53"/>
      <c r="N241" s="53"/>
    </row>
    <row r="242" spans="3:14" ht="12.5" x14ac:dyDescent="0.25">
      <c r="C242" s="53"/>
      <c r="N242" s="53"/>
    </row>
    <row r="243" spans="3:14" ht="12.5" x14ac:dyDescent="0.25">
      <c r="C243" s="53"/>
      <c r="N243" s="53"/>
    </row>
    <row r="244" spans="3:14" ht="12.5" x14ac:dyDescent="0.25">
      <c r="C244" s="53"/>
      <c r="N244" s="53"/>
    </row>
    <row r="245" spans="3:14" ht="12.5" x14ac:dyDescent="0.25">
      <c r="C245" s="53"/>
      <c r="N245" s="53"/>
    </row>
    <row r="246" spans="3:14" ht="12.5" x14ac:dyDescent="0.25">
      <c r="C246" s="53"/>
      <c r="N246" s="53"/>
    </row>
    <row r="247" spans="3:14" ht="12.5" x14ac:dyDescent="0.25">
      <c r="C247" s="53"/>
      <c r="N247" s="53"/>
    </row>
    <row r="248" spans="3:14" ht="12.5" x14ac:dyDescent="0.25">
      <c r="C248" s="53"/>
      <c r="N248" s="53"/>
    </row>
    <row r="249" spans="3:14" ht="12.5" x14ac:dyDescent="0.25">
      <c r="C249" s="53"/>
      <c r="N249" s="53"/>
    </row>
    <row r="250" spans="3:14" ht="12.5" x14ac:dyDescent="0.25">
      <c r="C250" s="53"/>
      <c r="N250" s="53"/>
    </row>
    <row r="251" spans="3:14" ht="12.5" x14ac:dyDescent="0.25">
      <c r="C251" s="53"/>
      <c r="N251" s="53"/>
    </row>
    <row r="252" spans="3:14" ht="12.5" x14ac:dyDescent="0.25">
      <c r="C252" s="53"/>
      <c r="N252" s="53"/>
    </row>
    <row r="253" spans="3:14" ht="12.5" x14ac:dyDescent="0.25">
      <c r="C253" s="53"/>
      <c r="N253" s="53"/>
    </row>
    <row r="254" spans="3:14" ht="12.5" x14ac:dyDescent="0.25">
      <c r="C254" s="53"/>
      <c r="N254" s="53"/>
    </row>
    <row r="255" spans="3:14" ht="12.5" x14ac:dyDescent="0.25">
      <c r="C255" s="53"/>
      <c r="N255" s="53"/>
    </row>
    <row r="256" spans="3:14" ht="12.5" x14ac:dyDescent="0.25">
      <c r="C256" s="53"/>
      <c r="N256" s="53"/>
    </row>
    <row r="257" spans="3:14" ht="12.5" x14ac:dyDescent="0.25">
      <c r="C257" s="53"/>
      <c r="N257" s="53"/>
    </row>
    <row r="258" spans="3:14" ht="12.5" x14ac:dyDescent="0.25">
      <c r="C258" s="53"/>
      <c r="N258" s="53"/>
    </row>
    <row r="259" spans="3:14" ht="12.5" x14ac:dyDescent="0.25">
      <c r="C259" s="53"/>
      <c r="N259" s="53"/>
    </row>
    <row r="260" spans="3:14" ht="12.5" x14ac:dyDescent="0.25">
      <c r="C260" s="53"/>
      <c r="N260" s="53"/>
    </row>
    <row r="261" spans="3:14" ht="12.5" x14ac:dyDescent="0.25">
      <c r="C261" s="53"/>
      <c r="N261" s="53"/>
    </row>
    <row r="262" spans="3:14" ht="12.5" x14ac:dyDescent="0.25">
      <c r="C262" s="53"/>
      <c r="N262" s="53"/>
    </row>
    <row r="263" spans="3:14" ht="12.5" x14ac:dyDescent="0.25">
      <c r="C263" s="53"/>
      <c r="N263" s="53"/>
    </row>
    <row r="264" spans="3:14" ht="12.5" x14ac:dyDescent="0.25">
      <c r="C264" s="53"/>
      <c r="N264" s="53"/>
    </row>
    <row r="265" spans="3:14" ht="12.5" x14ac:dyDescent="0.25">
      <c r="C265" s="53"/>
      <c r="N265" s="53"/>
    </row>
    <row r="266" spans="3:14" ht="12.5" x14ac:dyDescent="0.25">
      <c r="C266" s="53"/>
      <c r="N266" s="53"/>
    </row>
    <row r="267" spans="3:14" ht="12.5" x14ac:dyDescent="0.25">
      <c r="C267" s="53"/>
      <c r="N267" s="53"/>
    </row>
    <row r="268" spans="3:14" ht="12.5" x14ac:dyDescent="0.25">
      <c r="C268" s="53"/>
      <c r="N268" s="53"/>
    </row>
    <row r="269" spans="3:14" ht="12.5" x14ac:dyDescent="0.25">
      <c r="C269" s="53"/>
      <c r="N269" s="53"/>
    </row>
    <row r="270" spans="3:14" ht="12.5" x14ac:dyDescent="0.25">
      <c r="C270" s="53"/>
      <c r="N270" s="53"/>
    </row>
    <row r="271" spans="3:14" ht="12.5" x14ac:dyDescent="0.25">
      <c r="C271" s="53"/>
      <c r="N271" s="53"/>
    </row>
    <row r="272" spans="3:14" ht="12.5" x14ac:dyDescent="0.25">
      <c r="C272" s="53"/>
      <c r="N272" s="53"/>
    </row>
    <row r="273" spans="3:14" ht="12.5" x14ac:dyDescent="0.25">
      <c r="C273" s="53"/>
      <c r="N273" s="53"/>
    </row>
    <row r="274" spans="3:14" ht="12.5" x14ac:dyDescent="0.25">
      <c r="C274" s="53"/>
      <c r="N274" s="53"/>
    </row>
    <row r="275" spans="3:14" ht="12.5" x14ac:dyDescent="0.25">
      <c r="C275" s="53"/>
      <c r="N275" s="53"/>
    </row>
    <row r="276" spans="3:14" ht="12.5" x14ac:dyDescent="0.25">
      <c r="C276" s="53"/>
      <c r="N276" s="53"/>
    </row>
    <row r="277" spans="3:14" ht="12.5" x14ac:dyDescent="0.25">
      <c r="C277" s="53"/>
      <c r="N277" s="53"/>
    </row>
    <row r="278" spans="3:14" ht="12.5" x14ac:dyDescent="0.25">
      <c r="C278" s="53"/>
      <c r="N278" s="53"/>
    </row>
    <row r="279" spans="3:14" ht="12.5" x14ac:dyDescent="0.25">
      <c r="C279" s="53"/>
      <c r="N279" s="53"/>
    </row>
    <row r="280" spans="3:14" ht="12.5" x14ac:dyDescent="0.25">
      <c r="C280" s="53"/>
      <c r="N280" s="53"/>
    </row>
    <row r="281" spans="3:14" ht="12.5" x14ac:dyDescent="0.25">
      <c r="C281" s="53"/>
      <c r="N281" s="53"/>
    </row>
    <row r="282" spans="3:14" ht="12.5" x14ac:dyDescent="0.25">
      <c r="C282" s="53"/>
      <c r="N282" s="53"/>
    </row>
    <row r="283" spans="3:14" ht="12.5" x14ac:dyDescent="0.25">
      <c r="C283" s="53"/>
      <c r="N283" s="53"/>
    </row>
    <row r="284" spans="3:14" ht="12.5" x14ac:dyDescent="0.25">
      <c r="C284" s="53"/>
      <c r="N284" s="53"/>
    </row>
    <row r="285" spans="3:14" ht="12.5" x14ac:dyDescent="0.25">
      <c r="C285" s="53"/>
      <c r="N285" s="53"/>
    </row>
    <row r="286" spans="3:14" ht="12.5" x14ac:dyDescent="0.25">
      <c r="C286" s="53"/>
      <c r="N286" s="53"/>
    </row>
    <row r="287" spans="3:14" ht="12.5" x14ac:dyDescent="0.25">
      <c r="C287" s="53"/>
      <c r="N287" s="53"/>
    </row>
    <row r="288" spans="3:14" ht="12.5" x14ac:dyDescent="0.25">
      <c r="C288" s="53"/>
      <c r="N288" s="53"/>
    </row>
    <row r="289" spans="3:14" ht="12.5" x14ac:dyDescent="0.25">
      <c r="C289" s="53"/>
      <c r="N289" s="53"/>
    </row>
    <row r="290" spans="3:14" ht="12.5" x14ac:dyDescent="0.25">
      <c r="C290" s="53"/>
      <c r="N290" s="53"/>
    </row>
    <row r="291" spans="3:14" ht="12.5" x14ac:dyDescent="0.25">
      <c r="C291" s="53"/>
      <c r="N291" s="53"/>
    </row>
    <row r="292" spans="3:14" ht="12.5" x14ac:dyDescent="0.25">
      <c r="C292" s="53"/>
      <c r="N292" s="53"/>
    </row>
    <row r="293" spans="3:14" ht="12.5" x14ac:dyDescent="0.25">
      <c r="C293" s="53"/>
      <c r="N293" s="53"/>
    </row>
    <row r="294" spans="3:14" ht="12.5" x14ac:dyDescent="0.25">
      <c r="C294" s="53"/>
      <c r="N294" s="53"/>
    </row>
    <row r="295" spans="3:14" ht="12.5" x14ac:dyDescent="0.25">
      <c r="C295" s="53"/>
      <c r="N295" s="53"/>
    </row>
    <row r="296" spans="3:14" ht="12.5" x14ac:dyDescent="0.25">
      <c r="C296" s="53"/>
      <c r="N296" s="53"/>
    </row>
    <row r="297" spans="3:14" ht="12.5" x14ac:dyDescent="0.25">
      <c r="C297" s="53"/>
      <c r="N297" s="53"/>
    </row>
    <row r="298" spans="3:14" ht="12.5" x14ac:dyDescent="0.25">
      <c r="C298" s="53"/>
      <c r="N298" s="53"/>
    </row>
    <row r="299" spans="3:14" ht="12.5" x14ac:dyDescent="0.25">
      <c r="C299" s="53"/>
      <c r="N299" s="53"/>
    </row>
    <row r="300" spans="3:14" ht="12.5" x14ac:dyDescent="0.25">
      <c r="C300" s="53"/>
      <c r="N300" s="53"/>
    </row>
    <row r="301" spans="3:14" ht="12.5" x14ac:dyDescent="0.25">
      <c r="C301" s="53"/>
      <c r="N301" s="53"/>
    </row>
    <row r="302" spans="3:14" ht="12.5" x14ac:dyDescent="0.25">
      <c r="C302" s="53"/>
      <c r="N302" s="53"/>
    </row>
    <row r="303" spans="3:14" ht="12.5" x14ac:dyDescent="0.25">
      <c r="C303" s="53"/>
      <c r="N303" s="53"/>
    </row>
    <row r="304" spans="3:14" ht="12.5" x14ac:dyDescent="0.25">
      <c r="C304" s="53"/>
      <c r="N304" s="53"/>
    </row>
    <row r="305" spans="3:14" ht="12.5" x14ac:dyDescent="0.25">
      <c r="C305" s="53"/>
      <c r="N305" s="53"/>
    </row>
    <row r="306" spans="3:14" ht="12.5" x14ac:dyDescent="0.25">
      <c r="C306" s="53"/>
      <c r="N306" s="53"/>
    </row>
    <row r="307" spans="3:14" ht="12.5" x14ac:dyDescent="0.25">
      <c r="C307" s="53"/>
      <c r="N307" s="53"/>
    </row>
    <row r="308" spans="3:14" ht="12.5" x14ac:dyDescent="0.25">
      <c r="C308" s="53"/>
      <c r="N308" s="53"/>
    </row>
    <row r="309" spans="3:14" ht="12.5" x14ac:dyDescent="0.25">
      <c r="C309" s="53"/>
      <c r="N309" s="53"/>
    </row>
    <row r="310" spans="3:14" ht="12.5" x14ac:dyDescent="0.25">
      <c r="C310" s="53"/>
      <c r="N310" s="53"/>
    </row>
    <row r="311" spans="3:14" ht="12.5" x14ac:dyDescent="0.25">
      <c r="C311" s="53"/>
      <c r="N311" s="53"/>
    </row>
    <row r="312" spans="3:14" ht="12.5" x14ac:dyDescent="0.25">
      <c r="C312" s="53"/>
      <c r="N312" s="53"/>
    </row>
    <row r="313" spans="3:14" ht="12.5" x14ac:dyDescent="0.25">
      <c r="C313" s="53"/>
      <c r="N313" s="53"/>
    </row>
    <row r="314" spans="3:14" ht="12.5" x14ac:dyDescent="0.25">
      <c r="C314" s="53"/>
      <c r="N314" s="53"/>
    </row>
    <row r="315" spans="3:14" ht="12.5" x14ac:dyDescent="0.25">
      <c r="C315" s="53"/>
      <c r="N315" s="53"/>
    </row>
    <row r="316" spans="3:14" ht="12.5" x14ac:dyDescent="0.25">
      <c r="C316" s="53"/>
      <c r="N316" s="53"/>
    </row>
    <row r="317" spans="3:14" ht="12.5" x14ac:dyDescent="0.25">
      <c r="C317" s="53"/>
      <c r="N317" s="53"/>
    </row>
    <row r="318" spans="3:14" ht="12.5" x14ac:dyDescent="0.25">
      <c r="C318" s="53"/>
      <c r="N318" s="53"/>
    </row>
    <row r="319" spans="3:14" ht="12.5" x14ac:dyDescent="0.25">
      <c r="C319" s="53"/>
      <c r="N319" s="53"/>
    </row>
    <row r="320" spans="3:14" ht="12.5" x14ac:dyDescent="0.25">
      <c r="C320" s="53"/>
      <c r="N320" s="53"/>
    </row>
    <row r="321" spans="3:14" ht="12.5" x14ac:dyDescent="0.25">
      <c r="C321" s="53"/>
      <c r="N321" s="53"/>
    </row>
    <row r="322" spans="3:14" ht="12.5" x14ac:dyDescent="0.25">
      <c r="C322" s="53"/>
      <c r="N322" s="53"/>
    </row>
    <row r="323" spans="3:14" ht="12.5" x14ac:dyDescent="0.25">
      <c r="C323" s="53"/>
      <c r="N323" s="53"/>
    </row>
    <row r="324" spans="3:14" ht="12.5" x14ac:dyDescent="0.25">
      <c r="C324" s="53"/>
      <c r="N324" s="53"/>
    </row>
    <row r="325" spans="3:14" ht="12.5" x14ac:dyDescent="0.25">
      <c r="C325" s="53"/>
      <c r="N325" s="53"/>
    </row>
    <row r="326" spans="3:14" ht="12.5" x14ac:dyDescent="0.25">
      <c r="C326" s="53"/>
      <c r="N326" s="53"/>
    </row>
    <row r="327" spans="3:14" ht="12.5" x14ac:dyDescent="0.25">
      <c r="C327" s="53"/>
      <c r="N327" s="53"/>
    </row>
    <row r="328" spans="3:14" ht="12.5" x14ac:dyDescent="0.25">
      <c r="C328" s="53"/>
      <c r="N328" s="53"/>
    </row>
    <row r="329" spans="3:14" ht="12.5" x14ac:dyDescent="0.25">
      <c r="C329" s="53"/>
      <c r="N329" s="53"/>
    </row>
    <row r="330" spans="3:14" ht="12.5" x14ac:dyDescent="0.25">
      <c r="C330" s="53"/>
      <c r="N330" s="53"/>
    </row>
    <row r="331" spans="3:14" ht="12.5" x14ac:dyDescent="0.25">
      <c r="C331" s="53"/>
      <c r="N331" s="53"/>
    </row>
    <row r="332" spans="3:14" ht="12.5" x14ac:dyDescent="0.25">
      <c r="C332" s="53"/>
      <c r="N332" s="53"/>
    </row>
    <row r="333" spans="3:14" ht="12.5" x14ac:dyDescent="0.25">
      <c r="C333" s="53"/>
      <c r="N333" s="53"/>
    </row>
    <row r="334" spans="3:14" ht="12.5" x14ac:dyDescent="0.25">
      <c r="C334" s="53"/>
      <c r="N334" s="53"/>
    </row>
    <row r="335" spans="3:14" ht="12.5" x14ac:dyDescent="0.25">
      <c r="C335" s="53"/>
      <c r="N335" s="53"/>
    </row>
    <row r="336" spans="3:14" ht="12.5" x14ac:dyDescent="0.25">
      <c r="C336" s="53"/>
      <c r="N336" s="53"/>
    </row>
    <row r="337" spans="3:14" ht="12.5" x14ac:dyDescent="0.25">
      <c r="C337" s="53"/>
      <c r="N337" s="53"/>
    </row>
    <row r="338" spans="3:14" ht="12.5" x14ac:dyDescent="0.25">
      <c r="C338" s="53"/>
      <c r="N338" s="53"/>
    </row>
    <row r="339" spans="3:14" ht="12.5" x14ac:dyDescent="0.25">
      <c r="C339" s="53"/>
      <c r="N339" s="53"/>
    </row>
    <row r="340" spans="3:14" ht="12.5" x14ac:dyDescent="0.25">
      <c r="C340" s="53"/>
      <c r="N340" s="53"/>
    </row>
    <row r="341" spans="3:14" ht="12.5" x14ac:dyDescent="0.25">
      <c r="C341" s="53"/>
      <c r="N341" s="53"/>
    </row>
    <row r="342" spans="3:14" ht="12.5" x14ac:dyDescent="0.25">
      <c r="C342" s="53"/>
      <c r="N342" s="53"/>
    </row>
    <row r="343" spans="3:14" ht="12.5" x14ac:dyDescent="0.25">
      <c r="C343" s="53"/>
      <c r="N343" s="53"/>
    </row>
    <row r="344" spans="3:14" ht="12.5" x14ac:dyDescent="0.25">
      <c r="C344" s="53"/>
      <c r="N344" s="53"/>
    </row>
    <row r="345" spans="3:14" ht="12.5" x14ac:dyDescent="0.25">
      <c r="C345" s="53"/>
      <c r="N345" s="53"/>
    </row>
    <row r="346" spans="3:14" ht="12.5" x14ac:dyDescent="0.25">
      <c r="C346" s="53"/>
      <c r="N346" s="53"/>
    </row>
    <row r="347" spans="3:14" ht="12.5" x14ac:dyDescent="0.25">
      <c r="C347" s="53"/>
      <c r="N347" s="53"/>
    </row>
    <row r="348" spans="3:14" ht="12.5" x14ac:dyDescent="0.25">
      <c r="C348" s="53"/>
      <c r="N348" s="53"/>
    </row>
    <row r="349" spans="3:14" ht="12.5" x14ac:dyDescent="0.25">
      <c r="C349" s="53"/>
      <c r="N349" s="53"/>
    </row>
    <row r="350" spans="3:14" ht="12.5" x14ac:dyDescent="0.25">
      <c r="C350" s="53"/>
      <c r="N350" s="53"/>
    </row>
    <row r="351" spans="3:14" ht="12.5" x14ac:dyDescent="0.25">
      <c r="C351" s="53"/>
      <c r="N351" s="53"/>
    </row>
    <row r="352" spans="3:14" ht="12.5" x14ac:dyDescent="0.25">
      <c r="C352" s="53"/>
      <c r="N352" s="53"/>
    </row>
    <row r="353" spans="3:14" ht="12.5" x14ac:dyDescent="0.25">
      <c r="C353" s="53"/>
      <c r="N353" s="53"/>
    </row>
    <row r="354" spans="3:14" ht="12.5" x14ac:dyDescent="0.25">
      <c r="C354" s="53"/>
      <c r="N354" s="53"/>
    </row>
    <row r="355" spans="3:14" ht="12.5" x14ac:dyDescent="0.25">
      <c r="C355" s="53"/>
      <c r="N355" s="53"/>
    </row>
    <row r="356" spans="3:14" ht="12.5" x14ac:dyDescent="0.25">
      <c r="C356" s="53"/>
      <c r="N356" s="53"/>
    </row>
    <row r="357" spans="3:14" ht="12.5" x14ac:dyDescent="0.25">
      <c r="C357" s="53"/>
      <c r="N357" s="53"/>
    </row>
    <row r="358" spans="3:14" ht="12.5" x14ac:dyDescent="0.25">
      <c r="C358" s="53"/>
      <c r="N358" s="53"/>
    </row>
    <row r="359" spans="3:14" ht="12.5" x14ac:dyDescent="0.25">
      <c r="C359" s="53"/>
      <c r="N359" s="53"/>
    </row>
    <row r="360" spans="3:14" ht="12.5" x14ac:dyDescent="0.25">
      <c r="C360" s="53"/>
      <c r="N360" s="53"/>
    </row>
    <row r="361" spans="3:14" ht="12.5" x14ac:dyDescent="0.25">
      <c r="C361" s="53"/>
      <c r="N361" s="53"/>
    </row>
    <row r="362" spans="3:14" ht="12.5" x14ac:dyDescent="0.25">
      <c r="C362" s="53"/>
      <c r="N362" s="53"/>
    </row>
    <row r="363" spans="3:14" ht="12.5" x14ac:dyDescent="0.25">
      <c r="C363" s="53"/>
      <c r="N363" s="53"/>
    </row>
    <row r="364" spans="3:14" ht="12.5" x14ac:dyDescent="0.25">
      <c r="C364" s="53"/>
      <c r="N364" s="53"/>
    </row>
    <row r="365" spans="3:14" ht="12.5" x14ac:dyDescent="0.25">
      <c r="C365" s="53"/>
      <c r="N365" s="53"/>
    </row>
    <row r="366" spans="3:14" ht="12.5" x14ac:dyDescent="0.25">
      <c r="C366" s="53"/>
      <c r="N366" s="53"/>
    </row>
    <row r="367" spans="3:14" ht="12.5" x14ac:dyDescent="0.25">
      <c r="C367" s="53"/>
      <c r="N367" s="53"/>
    </row>
    <row r="368" spans="3:14" ht="12.5" x14ac:dyDescent="0.25">
      <c r="C368" s="53"/>
      <c r="N368" s="53"/>
    </row>
    <row r="369" spans="3:14" ht="12.5" x14ac:dyDescent="0.25">
      <c r="C369" s="53"/>
      <c r="N369" s="53"/>
    </row>
    <row r="370" spans="3:14" ht="12.5" x14ac:dyDescent="0.25">
      <c r="C370" s="53"/>
      <c r="N370" s="53"/>
    </row>
    <row r="371" spans="3:14" ht="12.5" x14ac:dyDescent="0.25">
      <c r="C371" s="53"/>
      <c r="N371" s="53"/>
    </row>
    <row r="372" spans="3:14" ht="12.5" x14ac:dyDescent="0.25">
      <c r="C372" s="53"/>
      <c r="N372" s="53"/>
    </row>
    <row r="373" spans="3:14" ht="12.5" x14ac:dyDescent="0.25">
      <c r="C373" s="53"/>
      <c r="N373" s="53"/>
    </row>
    <row r="374" spans="3:14" ht="12.5" x14ac:dyDescent="0.25">
      <c r="C374" s="53"/>
      <c r="N374" s="53"/>
    </row>
    <row r="375" spans="3:14" ht="12.5" x14ac:dyDescent="0.25">
      <c r="C375" s="53"/>
      <c r="N375" s="53"/>
    </row>
    <row r="376" spans="3:14" ht="12.5" x14ac:dyDescent="0.25">
      <c r="C376" s="53"/>
      <c r="N376" s="53"/>
    </row>
    <row r="377" spans="3:14" ht="12.5" x14ac:dyDescent="0.25">
      <c r="C377" s="53"/>
      <c r="N377" s="53"/>
    </row>
    <row r="378" spans="3:14" ht="12.5" x14ac:dyDescent="0.25">
      <c r="C378" s="53"/>
      <c r="N378" s="53"/>
    </row>
    <row r="379" spans="3:14" ht="12.5" x14ac:dyDescent="0.25">
      <c r="C379" s="53"/>
      <c r="N379" s="53"/>
    </row>
    <row r="380" spans="3:14" ht="12.5" x14ac:dyDescent="0.25">
      <c r="C380" s="53"/>
      <c r="N380" s="53"/>
    </row>
    <row r="381" spans="3:14" ht="12.5" x14ac:dyDescent="0.25">
      <c r="C381" s="53"/>
      <c r="N381" s="53"/>
    </row>
    <row r="382" spans="3:14" ht="12.5" x14ac:dyDescent="0.25">
      <c r="C382" s="53"/>
      <c r="N382" s="53"/>
    </row>
    <row r="383" spans="3:14" ht="12.5" x14ac:dyDescent="0.25">
      <c r="C383" s="53"/>
      <c r="N383" s="53"/>
    </row>
    <row r="384" spans="3:14" ht="12.5" x14ac:dyDescent="0.25">
      <c r="C384" s="53"/>
      <c r="N384" s="53"/>
    </row>
    <row r="385" spans="3:14" ht="12.5" x14ac:dyDescent="0.25">
      <c r="C385" s="53"/>
      <c r="N385" s="53"/>
    </row>
    <row r="386" spans="3:14" ht="12.5" x14ac:dyDescent="0.25">
      <c r="C386" s="53"/>
      <c r="N386" s="53"/>
    </row>
    <row r="387" spans="3:14" ht="12.5" x14ac:dyDescent="0.25">
      <c r="C387" s="53"/>
      <c r="N387" s="53"/>
    </row>
    <row r="388" spans="3:14" ht="12.5" x14ac:dyDescent="0.25">
      <c r="C388" s="53"/>
      <c r="N388" s="53"/>
    </row>
    <row r="389" spans="3:14" ht="12.5" x14ac:dyDescent="0.25">
      <c r="C389" s="53"/>
      <c r="N389" s="53"/>
    </row>
    <row r="390" spans="3:14" ht="12.5" x14ac:dyDescent="0.25">
      <c r="C390" s="53"/>
      <c r="N390" s="53"/>
    </row>
    <row r="391" spans="3:14" ht="12.5" x14ac:dyDescent="0.25">
      <c r="C391" s="53"/>
      <c r="N391" s="53"/>
    </row>
    <row r="392" spans="3:14" ht="12.5" x14ac:dyDescent="0.25">
      <c r="C392" s="53"/>
      <c r="N392" s="53"/>
    </row>
    <row r="393" spans="3:14" ht="12.5" x14ac:dyDescent="0.25">
      <c r="C393" s="53"/>
      <c r="N393" s="53"/>
    </row>
    <row r="394" spans="3:14" ht="12.5" x14ac:dyDescent="0.25">
      <c r="C394" s="53"/>
      <c r="N394" s="53"/>
    </row>
    <row r="395" spans="3:14" ht="12.5" x14ac:dyDescent="0.25">
      <c r="C395" s="53"/>
      <c r="N395" s="53"/>
    </row>
    <row r="396" spans="3:14" ht="12.5" x14ac:dyDescent="0.25">
      <c r="C396" s="53"/>
      <c r="N396" s="53"/>
    </row>
    <row r="397" spans="3:14" ht="12.5" x14ac:dyDescent="0.25">
      <c r="C397" s="53"/>
      <c r="N397" s="53"/>
    </row>
    <row r="398" spans="3:14" ht="12.5" x14ac:dyDescent="0.25">
      <c r="C398" s="53"/>
      <c r="N398" s="53"/>
    </row>
    <row r="399" spans="3:14" ht="12.5" x14ac:dyDescent="0.25">
      <c r="C399" s="53"/>
      <c r="N399" s="53"/>
    </row>
    <row r="400" spans="3:14" ht="12.5" x14ac:dyDescent="0.25">
      <c r="C400" s="53"/>
      <c r="N400" s="53"/>
    </row>
    <row r="401" spans="3:14" ht="12.5" x14ac:dyDescent="0.25">
      <c r="C401" s="53"/>
      <c r="N401" s="53"/>
    </row>
    <row r="402" spans="3:14" ht="12.5" x14ac:dyDescent="0.25">
      <c r="C402" s="53"/>
      <c r="N402" s="53"/>
    </row>
    <row r="403" spans="3:14" ht="12.5" x14ac:dyDescent="0.25">
      <c r="C403" s="53"/>
      <c r="N403" s="53"/>
    </row>
    <row r="404" spans="3:14" ht="12.5" x14ac:dyDescent="0.25">
      <c r="C404" s="53"/>
      <c r="N404" s="53"/>
    </row>
    <row r="405" spans="3:14" ht="12.5" x14ac:dyDescent="0.25">
      <c r="C405" s="53"/>
      <c r="N405" s="53"/>
    </row>
    <row r="406" spans="3:14" ht="12.5" x14ac:dyDescent="0.25">
      <c r="C406" s="53"/>
      <c r="N406" s="53"/>
    </row>
    <row r="407" spans="3:14" ht="12.5" x14ac:dyDescent="0.25">
      <c r="C407" s="53"/>
      <c r="N407" s="53"/>
    </row>
    <row r="408" spans="3:14" ht="12.5" x14ac:dyDescent="0.25">
      <c r="C408" s="53"/>
      <c r="N408" s="53"/>
    </row>
    <row r="409" spans="3:14" ht="12.5" x14ac:dyDescent="0.25">
      <c r="C409" s="53"/>
      <c r="N409" s="53"/>
    </row>
    <row r="410" spans="3:14" ht="12.5" x14ac:dyDescent="0.25">
      <c r="C410" s="53"/>
      <c r="N410" s="53"/>
    </row>
    <row r="411" spans="3:14" ht="12.5" x14ac:dyDescent="0.25">
      <c r="C411" s="53"/>
      <c r="N411" s="53"/>
    </row>
    <row r="412" spans="3:14" ht="12.5" x14ac:dyDescent="0.25">
      <c r="C412" s="53"/>
      <c r="N412" s="53"/>
    </row>
    <row r="413" spans="3:14" ht="12.5" x14ac:dyDescent="0.25">
      <c r="C413" s="53"/>
      <c r="N413" s="53"/>
    </row>
    <row r="414" spans="3:14" ht="12.5" x14ac:dyDescent="0.25">
      <c r="C414" s="53"/>
      <c r="N414" s="53"/>
    </row>
    <row r="415" spans="3:14" ht="12.5" x14ac:dyDescent="0.25">
      <c r="C415" s="53"/>
      <c r="N415" s="53"/>
    </row>
    <row r="416" spans="3:14" ht="12.5" x14ac:dyDescent="0.25">
      <c r="C416" s="53"/>
      <c r="N416" s="53"/>
    </row>
    <row r="417" spans="3:14" ht="12.5" x14ac:dyDescent="0.25">
      <c r="C417" s="53"/>
      <c r="N417" s="53"/>
    </row>
    <row r="418" spans="3:14" ht="12.5" x14ac:dyDescent="0.25">
      <c r="C418" s="53"/>
      <c r="N418" s="53"/>
    </row>
    <row r="419" spans="3:14" ht="12.5" x14ac:dyDescent="0.25">
      <c r="C419" s="53"/>
      <c r="N419" s="53"/>
    </row>
    <row r="420" spans="3:14" ht="12.5" x14ac:dyDescent="0.25">
      <c r="C420" s="53"/>
      <c r="N420" s="53"/>
    </row>
    <row r="421" spans="3:14" ht="12.5" x14ac:dyDescent="0.25">
      <c r="C421" s="53"/>
      <c r="N421" s="53"/>
    </row>
    <row r="422" spans="3:14" ht="12.5" x14ac:dyDescent="0.25">
      <c r="C422" s="53"/>
      <c r="N422" s="53"/>
    </row>
    <row r="423" spans="3:14" ht="12.5" x14ac:dyDescent="0.25">
      <c r="C423" s="53"/>
      <c r="N423" s="53"/>
    </row>
    <row r="424" spans="3:14" ht="12.5" x14ac:dyDescent="0.25">
      <c r="C424" s="53"/>
      <c r="N424" s="53"/>
    </row>
    <row r="425" spans="3:14" ht="12.5" x14ac:dyDescent="0.25">
      <c r="C425" s="53"/>
      <c r="N425" s="53"/>
    </row>
    <row r="426" spans="3:14" ht="12.5" x14ac:dyDescent="0.25">
      <c r="C426" s="53"/>
      <c r="N426" s="53"/>
    </row>
    <row r="427" spans="3:14" ht="12.5" x14ac:dyDescent="0.25">
      <c r="C427" s="53"/>
      <c r="N427" s="53"/>
    </row>
    <row r="428" spans="3:14" ht="12.5" x14ac:dyDescent="0.25">
      <c r="C428" s="53"/>
      <c r="N428" s="53"/>
    </row>
    <row r="429" spans="3:14" ht="12.5" x14ac:dyDescent="0.25">
      <c r="C429" s="53"/>
      <c r="N429" s="53"/>
    </row>
    <row r="430" spans="3:14" ht="12.5" x14ac:dyDescent="0.25">
      <c r="C430" s="53"/>
      <c r="N430" s="53"/>
    </row>
    <row r="431" spans="3:14" ht="12.5" x14ac:dyDescent="0.25">
      <c r="C431" s="53"/>
      <c r="N431" s="53"/>
    </row>
    <row r="432" spans="3:14" ht="12.5" x14ac:dyDescent="0.25">
      <c r="C432" s="53"/>
      <c r="N432" s="53"/>
    </row>
    <row r="433" spans="3:14" ht="12.5" x14ac:dyDescent="0.25">
      <c r="C433" s="53"/>
      <c r="N433" s="53"/>
    </row>
    <row r="434" spans="3:14" ht="12.5" x14ac:dyDescent="0.25">
      <c r="C434" s="53"/>
      <c r="N434" s="53"/>
    </row>
    <row r="435" spans="3:14" ht="12.5" x14ac:dyDescent="0.25">
      <c r="C435" s="53"/>
      <c r="N435" s="53"/>
    </row>
    <row r="436" spans="3:14" ht="12.5" x14ac:dyDescent="0.25">
      <c r="C436" s="53"/>
      <c r="N436" s="53"/>
    </row>
    <row r="437" spans="3:14" ht="12.5" x14ac:dyDescent="0.25">
      <c r="C437" s="53"/>
      <c r="N437" s="53"/>
    </row>
    <row r="438" spans="3:14" ht="12.5" x14ac:dyDescent="0.25">
      <c r="C438" s="53"/>
      <c r="N438" s="53"/>
    </row>
    <row r="439" spans="3:14" ht="12.5" x14ac:dyDescent="0.25">
      <c r="C439" s="53"/>
      <c r="N439" s="53"/>
    </row>
    <row r="440" spans="3:14" ht="12.5" x14ac:dyDescent="0.25">
      <c r="C440" s="53"/>
      <c r="N440" s="53"/>
    </row>
    <row r="441" spans="3:14" ht="12.5" x14ac:dyDescent="0.25">
      <c r="C441" s="53"/>
      <c r="N441" s="53"/>
    </row>
    <row r="442" spans="3:14" ht="12.5" x14ac:dyDescent="0.25">
      <c r="C442" s="53"/>
      <c r="N442" s="53"/>
    </row>
    <row r="443" spans="3:14" ht="12.5" x14ac:dyDescent="0.25">
      <c r="C443" s="53"/>
      <c r="N443" s="53"/>
    </row>
    <row r="444" spans="3:14" ht="12.5" x14ac:dyDescent="0.25">
      <c r="C444" s="53"/>
      <c r="N444" s="53"/>
    </row>
    <row r="445" spans="3:14" ht="12.5" x14ac:dyDescent="0.25">
      <c r="C445" s="53"/>
      <c r="N445" s="53"/>
    </row>
    <row r="446" spans="3:14" ht="12.5" x14ac:dyDescent="0.25">
      <c r="C446" s="53"/>
      <c r="N446" s="53"/>
    </row>
    <row r="447" spans="3:14" ht="12.5" x14ac:dyDescent="0.25">
      <c r="C447" s="53"/>
      <c r="N447" s="53"/>
    </row>
    <row r="448" spans="3:14" ht="12.5" x14ac:dyDescent="0.25">
      <c r="C448" s="53"/>
      <c r="N448" s="53"/>
    </row>
    <row r="449" spans="3:14" ht="12.5" x14ac:dyDescent="0.25">
      <c r="C449" s="53"/>
      <c r="N449" s="53"/>
    </row>
    <row r="450" spans="3:14" ht="12.5" x14ac:dyDescent="0.25">
      <c r="C450" s="53"/>
      <c r="N450" s="53"/>
    </row>
    <row r="451" spans="3:14" ht="12.5" x14ac:dyDescent="0.25">
      <c r="C451" s="53"/>
      <c r="N451" s="53"/>
    </row>
    <row r="452" spans="3:14" ht="12.5" x14ac:dyDescent="0.25">
      <c r="C452" s="53"/>
      <c r="N452" s="53"/>
    </row>
    <row r="453" spans="3:14" ht="12.5" x14ac:dyDescent="0.25">
      <c r="C453" s="53"/>
      <c r="N453" s="53"/>
    </row>
    <row r="454" spans="3:14" ht="12.5" x14ac:dyDescent="0.25">
      <c r="C454" s="53"/>
      <c r="N454" s="53"/>
    </row>
    <row r="455" spans="3:14" ht="12.5" x14ac:dyDescent="0.25">
      <c r="C455" s="53"/>
      <c r="N455" s="53"/>
    </row>
    <row r="456" spans="3:14" ht="12.5" x14ac:dyDescent="0.25">
      <c r="C456" s="53"/>
      <c r="N456" s="53"/>
    </row>
    <row r="457" spans="3:14" ht="12.5" x14ac:dyDescent="0.25">
      <c r="C457" s="53"/>
      <c r="N457" s="53"/>
    </row>
    <row r="458" spans="3:14" ht="12.5" x14ac:dyDescent="0.25">
      <c r="C458" s="53"/>
      <c r="N458" s="53"/>
    </row>
    <row r="459" spans="3:14" ht="12.5" x14ac:dyDescent="0.25">
      <c r="C459" s="53"/>
      <c r="N459" s="53"/>
    </row>
    <row r="460" spans="3:14" ht="12.5" x14ac:dyDescent="0.25">
      <c r="C460" s="53"/>
      <c r="N460" s="53"/>
    </row>
    <row r="461" spans="3:14" ht="12.5" x14ac:dyDescent="0.25">
      <c r="C461" s="53"/>
      <c r="N461" s="53"/>
    </row>
    <row r="462" spans="3:14" ht="12.5" x14ac:dyDescent="0.25">
      <c r="C462" s="53"/>
      <c r="N462" s="53"/>
    </row>
    <row r="463" spans="3:14" ht="12.5" x14ac:dyDescent="0.25">
      <c r="C463" s="53"/>
      <c r="N463" s="53"/>
    </row>
    <row r="464" spans="3:14" ht="12.5" x14ac:dyDescent="0.25">
      <c r="C464" s="53"/>
      <c r="N464" s="53"/>
    </row>
    <row r="465" spans="3:14" ht="12.5" x14ac:dyDescent="0.25">
      <c r="C465" s="53"/>
      <c r="N465" s="53"/>
    </row>
    <row r="466" spans="3:14" ht="12.5" x14ac:dyDescent="0.25">
      <c r="C466" s="53"/>
      <c r="N466" s="53"/>
    </row>
    <row r="467" spans="3:14" ht="12.5" x14ac:dyDescent="0.25">
      <c r="C467" s="53"/>
      <c r="N467" s="53"/>
    </row>
    <row r="468" spans="3:14" ht="12.5" x14ac:dyDescent="0.25">
      <c r="C468" s="53"/>
      <c r="N468" s="53"/>
    </row>
    <row r="469" spans="3:14" ht="12.5" x14ac:dyDescent="0.25">
      <c r="C469" s="53"/>
      <c r="N469" s="53"/>
    </row>
    <row r="470" spans="3:14" ht="12.5" x14ac:dyDescent="0.25">
      <c r="C470" s="53"/>
      <c r="N470" s="53"/>
    </row>
    <row r="471" spans="3:14" ht="12.5" x14ac:dyDescent="0.25">
      <c r="C471" s="53"/>
      <c r="N471" s="53"/>
    </row>
    <row r="472" spans="3:14" ht="12.5" x14ac:dyDescent="0.25">
      <c r="C472" s="53"/>
      <c r="N472" s="53"/>
    </row>
    <row r="473" spans="3:14" ht="12.5" x14ac:dyDescent="0.25">
      <c r="C473" s="53"/>
      <c r="N473" s="53"/>
    </row>
    <row r="474" spans="3:14" ht="12.5" x14ac:dyDescent="0.25">
      <c r="C474" s="53"/>
      <c r="N474" s="53"/>
    </row>
    <row r="475" spans="3:14" ht="12.5" x14ac:dyDescent="0.25">
      <c r="C475" s="53"/>
      <c r="N475" s="53"/>
    </row>
    <row r="476" spans="3:14" ht="12.5" x14ac:dyDescent="0.25">
      <c r="C476" s="53"/>
      <c r="N476" s="53"/>
    </row>
    <row r="477" spans="3:14" ht="12.5" x14ac:dyDescent="0.25">
      <c r="C477" s="53"/>
      <c r="N477" s="53"/>
    </row>
    <row r="478" spans="3:14" ht="12.5" x14ac:dyDescent="0.25">
      <c r="C478" s="53"/>
      <c r="N478" s="53"/>
    </row>
    <row r="479" spans="3:14" ht="12.5" x14ac:dyDescent="0.25">
      <c r="C479" s="53"/>
      <c r="N479" s="53"/>
    </row>
    <row r="480" spans="3:14" ht="12.5" x14ac:dyDescent="0.25">
      <c r="C480" s="53"/>
      <c r="N480" s="53"/>
    </row>
    <row r="481" spans="3:14" ht="12.5" x14ac:dyDescent="0.25">
      <c r="C481" s="53"/>
      <c r="N481" s="53"/>
    </row>
    <row r="482" spans="3:14" ht="12.5" x14ac:dyDescent="0.25">
      <c r="C482" s="53"/>
      <c r="N482" s="53"/>
    </row>
    <row r="483" spans="3:14" ht="12.5" x14ac:dyDescent="0.25">
      <c r="C483" s="53"/>
      <c r="N483" s="53"/>
    </row>
    <row r="484" spans="3:14" ht="12.5" x14ac:dyDescent="0.25">
      <c r="C484" s="53"/>
      <c r="N484" s="53"/>
    </row>
    <row r="485" spans="3:14" ht="12.5" x14ac:dyDescent="0.25">
      <c r="C485" s="53"/>
      <c r="N485" s="53"/>
    </row>
    <row r="486" spans="3:14" ht="12.5" x14ac:dyDescent="0.25">
      <c r="C486" s="53"/>
      <c r="N486" s="53"/>
    </row>
    <row r="487" spans="3:14" ht="12.5" x14ac:dyDescent="0.25">
      <c r="C487" s="53"/>
      <c r="N487" s="53"/>
    </row>
    <row r="488" spans="3:14" ht="12.5" x14ac:dyDescent="0.25">
      <c r="C488" s="53"/>
      <c r="N488" s="53"/>
    </row>
    <row r="489" spans="3:14" ht="12.5" x14ac:dyDescent="0.25">
      <c r="C489" s="53"/>
      <c r="N489" s="53"/>
    </row>
    <row r="490" spans="3:14" ht="12.5" x14ac:dyDescent="0.25">
      <c r="C490" s="53"/>
      <c r="N490" s="53"/>
    </row>
    <row r="491" spans="3:14" ht="12.5" x14ac:dyDescent="0.25">
      <c r="C491" s="53"/>
      <c r="N491" s="53"/>
    </row>
    <row r="492" spans="3:14" ht="12.5" x14ac:dyDescent="0.25">
      <c r="C492" s="53"/>
      <c r="N492" s="53"/>
    </row>
    <row r="493" spans="3:14" ht="12.5" x14ac:dyDescent="0.25">
      <c r="C493" s="53"/>
      <c r="N493" s="53"/>
    </row>
    <row r="494" spans="3:14" ht="12.5" x14ac:dyDescent="0.25">
      <c r="C494" s="53"/>
      <c r="N494" s="53"/>
    </row>
    <row r="495" spans="3:14" ht="12.5" x14ac:dyDescent="0.25">
      <c r="C495" s="53"/>
      <c r="N495" s="53"/>
    </row>
    <row r="496" spans="3:14" ht="12.5" x14ac:dyDescent="0.25">
      <c r="C496" s="53"/>
      <c r="N496" s="53"/>
    </row>
    <row r="497" spans="3:14" ht="12.5" x14ac:dyDescent="0.25">
      <c r="C497" s="53"/>
      <c r="N497" s="53"/>
    </row>
    <row r="498" spans="3:14" ht="12.5" x14ac:dyDescent="0.25">
      <c r="C498" s="53"/>
      <c r="N498" s="53"/>
    </row>
    <row r="499" spans="3:14" ht="12.5" x14ac:dyDescent="0.25">
      <c r="C499" s="53"/>
      <c r="N499" s="53"/>
    </row>
    <row r="500" spans="3:14" ht="12.5" x14ac:dyDescent="0.25">
      <c r="C500" s="53"/>
      <c r="N500" s="53"/>
    </row>
    <row r="501" spans="3:14" ht="12.5" x14ac:dyDescent="0.25">
      <c r="C501" s="53"/>
      <c r="N501" s="53"/>
    </row>
    <row r="502" spans="3:14" ht="12.5" x14ac:dyDescent="0.25">
      <c r="C502" s="53"/>
      <c r="N502" s="53"/>
    </row>
    <row r="503" spans="3:14" ht="12.5" x14ac:dyDescent="0.25">
      <c r="C503" s="53"/>
      <c r="N503" s="53"/>
    </row>
    <row r="504" spans="3:14" ht="12.5" x14ac:dyDescent="0.25">
      <c r="C504" s="53"/>
      <c r="N504" s="53"/>
    </row>
    <row r="505" spans="3:14" ht="12.5" x14ac:dyDescent="0.25">
      <c r="C505" s="53"/>
      <c r="N505" s="53"/>
    </row>
    <row r="506" spans="3:14" ht="12.5" x14ac:dyDescent="0.25">
      <c r="C506" s="53"/>
      <c r="N506" s="53"/>
    </row>
    <row r="507" spans="3:14" ht="12.5" x14ac:dyDescent="0.25">
      <c r="C507" s="53"/>
      <c r="N507" s="53"/>
    </row>
    <row r="508" spans="3:14" ht="12.5" x14ac:dyDescent="0.25">
      <c r="C508" s="53"/>
      <c r="N508" s="53"/>
    </row>
    <row r="509" spans="3:14" ht="12.5" x14ac:dyDescent="0.25">
      <c r="C509" s="53"/>
      <c r="N509" s="53"/>
    </row>
    <row r="510" spans="3:14" ht="12.5" x14ac:dyDescent="0.25">
      <c r="C510" s="53"/>
      <c r="N510" s="53"/>
    </row>
    <row r="511" spans="3:14" ht="12.5" x14ac:dyDescent="0.25">
      <c r="C511" s="53"/>
      <c r="N511" s="53"/>
    </row>
    <row r="512" spans="3:14" ht="12.5" x14ac:dyDescent="0.25">
      <c r="C512" s="53"/>
      <c r="N512" s="53"/>
    </row>
    <row r="513" spans="3:14" ht="12.5" x14ac:dyDescent="0.25">
      <c r="C513" s="53"/>
      <c r="N513" s="53"/>
    </row>
    <row r="514" spans="3:14" ht="12.5" x14ac:dyDescent="0.25">
      <c r="C514" s="53"/>
      <c r="N514" s="53"/>
    </row>
    <row r="515" spans="3:14" ht="12.5" x14ac:dyDescent="0.25">
      <c r="C515" s="53"/>
      <c r="N515" s="53"/>
    </row>
    <row r="516" spans="3:14" ht="12.5" x14ac:dyDescent="0.25">
      <c r="C516" s="53"/>
      <c r="N516" s="53"/>
    </row>
    <row r="517" spans="3:14" ht="12.5" x14ac:dyDescent="0.25">
      <c r="C517" s="53"/>
      <c r="N517" s="53"/>
    </row>
    <row r="518" spans="3:14" ht="12.5" x14ac:dyDescent="0.25">
      <c r="C518" s="53"/>
      <c r="N518" s="53"/>
    </row>
    <row r="519" spans="3:14" ht="12.5" x14ac:dyDescent="0.25">
      <c r="C519" s="53"/>
      <c r="N519" s="53"/>
    </row>
    <row r="520" spans="3:14" ht="12.5" x14ac:dyDescent="0.25">
      <c r="C520" s="53"/>
      <c r="N520" s="53"/>
    </row>
    <row r="521" spans="3:14" ht="12.5" x14ac:dyDescent="0.25">
      <c r="C521" s="53"/>
      <c r="N521" s="53"/>
    </row>
    <row r="522" spans="3:14" ht="12.5" x14ac:dyDescent="0.25">
      <c r="C522" s="53"/>
      <c r="N522" s="53"/>
    </row>
    <row r="523" spans="3:14" ht="12.5" x14ac:dyDescent="0.25">
      <c r="C523" s="53"/>
      <c r="N523" s="53"/>
    </row>
    <row r="524" spans="3:14" ht="12.5" x14ac:dyDescent="0.25">
      <c r="C524" s="53"/>
      <c r="N524" s="53"/>
    </row>
    <row r="525" spans="3:14" ht="12.5" x14ac:dyDescent="0.25">
      <c r="C525" s="53"/>
      <c r="N525" s="53"/>
    </row>
    <row r="526" spans="3:14" ht="12.5" x14ac:dyDescent="0.25">
      <c r="C526" s="53"/>
      <c r="N526" s="53"/>
    </row>
    <row r="527" spans="3:14" ht="12.5" x14ac:dyDescent="0.25">
      <c r="C527" s="53"/>
      <c r="N527" s="53"/>
    </row>
    <row r="528" spans="3:14" ht="12.5" x14ac:dyDescent="0.25">
      <c r="C528" s="53"/>
      <c r="N528" s="53"/>
    </row>
    <row r="529" spans="3:14" ht="12.5" x14ac:dyDescent="0.25">
      <c r="C529" s="53"/>
      <c r="N529" s="53"/>
    </row>
    <row r="530" spans="3:14" ht="12.5" x14ac:dyDescent="0.25">
      <c r="C530" s="53"/>
      <c r="N530" s="53"/>
    </row>
    <row r="531" spans="3:14" ht="12.5" x14ac:dyDescent="0.25">
      <c r="C531" s="53"/>
      <c r="N531" s="53"/>
    </row>
    <row r="532" spans="3:14" ht="12.5" x14ac:dyDescent="0.25">
      <c r="C532" s="53"/>
      <c r="N532" s="53"/>
    </row>
    <row r="533" spans="3:14" ht="12.5" x14ac:dyDescent="0.25">
      <c r="C533" s="53"/>
      <c r="N533" s="53"/>
    </row>
    <row r="534" spans="3:14" ht="12.5" x14ac:dyDescent="0.25">
      <c r="C534" s="53"/>
      <c r="N534" s="53"/>
    </row>
    <row r="535" spans="3:14" ht="12.5" x14ac:dyDescent="0.25">
      <c r="C535" s="53"/>
      <c r="N535" s="53"/>
    </row>
    <row r="536" spans="3:14" ht="12.5" x14ac:dyDescent="0.25">
      <c r="C536" s="53"/>
      <c r="N536" s="53"/>
    </row>
    <row r="537" spans="3:14" ht="12.5" x14ac:dyDescent="0.25">
      <c r="C537" s="53"/>
      <c r="N537" s="53"/>
    </row>
    <row r="538" spans="3:14" ht="12.5" x14ac:dyDescent="0.25">
      <c r="C538" s="53"/>
      <c r="N538" s="53"/>
    </row>
    <row r="539" spans="3:14" ht="12.5" x14ac:dyDescent="0.25">
      <c r="C539" s="53"/>
      <c r="N539" s="53"/>
    </row>
    <row r="540" spans="3:14" ht="12.5" x14ac:dyDescent="0.25">
      <c r="C540" s="53"/>
      <c r="N540" s="53"/>
    </row>
    <row r="541" spans="3:14" ht="12.5" x14ac:dyDescent="0.25">
      <c r="C541" s="53"/>
      <c r="N541" s="53"/>
    </row>
    <row r="542" spans="3:14" ht="12.5" x14ac:dyDescent="0.25">
      <c r="C542" s="53"/>
      <c r="N542" s="53"/>
    </row>
    <row r="543" spans="3:14" ht="12.5" x14ac:dyDescent="0.25">
      <c r="C543" s="53"/>
      <c r="N543" s="53"/>
    </row>
    <row r="544" spans="3:14" ht="12.5" x14ac:dyDescent="0.25">
      <c r="C544" s="53"/>
      <c r="N544" s="53"/>
    </row>
    <row r="545" spans="3:14" ht="12.5" x14ac:dyDescent="0.25">
      <c r="C545" s="53"/>
      <c r="N545" s="53"/>
    </row>
    <row r="546" spans="3:14" ht="12.5" x14ac:dyDescent="0.25">
      <c r="C546" s="53"/>
      <c r="N546" s="53"/>
    </row>
    <row r="547" spans="3:14" ht="12.5" x14ac:dyDescent="0.25">
      <c r="C547" s="53"/>
      <c r="N547" s="53"/>
    </row>
    <row r="548" spans="3:14" ht="12.5" x14ac:dyDescent="0.25">
      <c r="C548" s="53"/>
      <c r="N548" s="53"/>
    </row>
    <row r="549" spans="3:14" ht="12.5" x14ac:dyDescent="0.25">
      <c r="C549" s="53"/>
      <c r="N549" s="53"/>
    </row>
    <row r="550" spans="3:14" ht="12.5" x14ac:dyDescent="0.25">
      <c r="C550" s="53"/>
      <c r="N550" s="53"/>
    </row>
    <row r="551" spans="3:14" ht="12.5" x14ac:dyDescent="0.25">
      <c r="C551" s="53"/>
      <c r="N551" s="53"/>
    </row>
    <row r="552" spans="3:14" ht="12.5" x14ac:dyDescent="0.25">
      <c r="C552" s="53"/>
      <c r="N552" s="53"/>
    </row>
    <row r="553" spans="3:14" ht="12.5" x14ac:dyDescent="0.25">
      <c r="C553" s="53"/>
      <c r="N553" s="53"/>
    </row>
    <row r="554" spans="3:14" ht="12.5" x14ac:dyDescent="0.25">
      <c r="C554" s="53"/>
      <c r="N554" s="53"/>
    </row>
    <row r="555" spans="3:14" ht="12.5" x14ac:dyDescent="0.25">
      <c r="C555" s="53"/>
      <c r="N555" s="53"/>
    </row>
    <row r="556" spans="3:14" ht="12.5" x14ac:dyDescent="0.25">
      <c r="C556" s="53"/>
      <c r="N556" s="53"/>
    </row>
    <row r="557" spans="3:14" ht="12.5" x14ac:dyDescent="0.25">
      <c r="C557" s="53"/>
      <c r="N557" s="53"/>
    </row>
    <row r="558" spans="3:14" ht="12.5" x14ac:dyDescent="0.25">
      <c r="C558" s="53"/>
      <c r="N558" s="53"/>
    </row>
    <row r="559" spans="3:14" ht="12.5" x14ac:dyDescent="0.25">
      <c r="C559" s="53"/>
      <c r="N559" s="53"/>
    </row>
    <row r="560" spans="3:14" ht="12.5" x14ac:dyDescent="0.25">
      <c r="C560" s="53"/>
      <c r="N560" s="53"/>
    </row>
    <row r="561" spans="3:14" ht="12.5" x14ac:dyDescent="0.25">
      <c r="C561" s="53"/>
      <c r="N561" s="53"/>
    </row>
    <row r="562" spans="3:14" ht="12.5" x14ac:dyDescent="0.25">
      <c r="C562" s="53"/>
      <c r="N562" s="53"/>
    </row>
    <row r="563" spans="3:14" ht="12.5" x14ac:dyDescent="0.25">
      <c r="C563" s="53"/>
      <c r="N563" s="53"/>
    </row>
    <row r="564" spans="3:14" ht="12.5" x14ac:dyDescent="0.25">
      <c r="C564" s="53"/>
      <c r="N564" s="53"/>
    </row>
    <row r="565" spans="3:14" ht="12.5" x14ac:dyDescent="0.25">
      <c r="C565" s="53"/>
      <c r="N565" s="53"/>
    </row>
    <row r="566" spans="3:14" ht="12.5" x14ac:dyDescent="0.25">
      <c r="C566" s="53"/>
      <c r="N566" s="53"/>
    </row>
    <row r="567" spans="3:14" ht="12.5" x14ac:dyDescent="0.25">
      <c r="C567" s="53"/>
      <c r="N567" s="53"/>
    </row>
    <row r="568" spans="3:14" ht="12.5" x14ac:dyDescent="0.25">
      <c r="C568" s="53"/>
      <c r="N568" s="53"/>
    </row>
    <row r="569" spans="3:14" ht="12.5" x14ac:dyDescent="0.25">
      <c r="C569" s="53"/>
      <c r="N569" s="53"/>
    </row>
    <row r="570" spans="3:14" ht="12.5" x14ac:dyDescent="0.25">
      <c r="C570" s="53"/>
      <c r="N570" s="53"/>
    </row>
    <row r="571" spans="3:14" ht="12.5" x14ac:dyDescent="0.25">
      <c r="C571" s="53"/>
      <c r="N571" s="53"/>
    </row>
    <row r="572" spans="3:14" ht="12.5" x14ac:dyDescent="0.25">
      <c r="C572" s="53"/>
      <c r="N572" s="53"/>
    </row>
    <row r="573" spans="3:14" ht="12.5" x14ac:dyDescent="0.25">
      <c r="C573" s="53"/>
      <c r="N573" s="53"/>
    </row>
    <row r="574" spans="3:14" ht="12.5" x14ac:dyDescent="0.25">
      <c r="C574" s="53"/>
      <c r="N574" s="53"/>
    </row>
    <row r="575" spans="3:14" ht="12.5" x14ac:dyDescent="0.25">
      <c r="C575" s="53"/>
      <c r="N575" s="53"/>
    </row>
    <row r="576" spans="3:14" ht="12.5" x14ac:dyDescent="0.25">
      <c r="C576" s="53"/>
      <c r="N576" s="53"/>
    </row>
    <row r="577" spans="3:14" ht="12.5" x14ac:dyDescent="0.25">
      <c r="C577" s="53"/>
      <c r="N577" s="53"/>
    </row>
    <row r="578" spans="3:14" ht="12.5" x14ac:dyDescent="0.25">
      <c r="C578" s="53"/>
      <c r="N578" s="53"/>
    </row>
    <row r="579" spans="3:14" ht="12.5" x14ac:dyDescent="0.25">
      <c r="C579" s="53"/>
      <c r="N579" s="53"/>
    </row>
    <row r="580" spans="3:14" ht="12.5" x14ac:dyDescent="0.25">
      <c r="C580" s="53"/>
      <c r="N580" s="53"/>
    </row>
    <row r="581" spans="3:14" ht="12.5" x14ac:dyDescent="0.25">
      <c r="C581" s="53"/>
      <c r="N581" s="53"/>
    </row>
    <row r="582" spans="3:14" ht="12.5" x14ac:dyDescent="0.25">
      <c r="C582" s="53"/>
      <c r="N582" s="53"/>
    </row>
    <row r="583" spans="3:14" ht="12.5" x14ac:dyDescent="0.25">
      <c r="C583" s="53"/>
      <c r="N583" s="53"/>
    </row>
    <row r="584" spans="3:14" ht="12.5" x14ac:dyDescent="0.25">
      <c r="C584" s="53"/>
      <c r="N584" s="53"/>
    </row>
    <row r="585" spans="3:14" ht="12.5" x14ac:dyDescent="0.25">
      <c r="C585" s="53"/>
      <c r="N585" s="53"/>
    </row>
    <row r="586" spans="3:14" ht="12.5" x14ac:dyDescent="0.25">
      <c r="C586" s="53"/>
      <c r="N586" s="53"/>
    </row>
    <row r="587" spans="3:14" ht="12.5" x14ac:dyDescent="0.25">
      <c r="C587" s="53"/>
      <c r="N587" s="53"/>
    </row>
    <row r="588" spans="3:14" ht="12.5" x14ac:dyDescent="0.25">
      <c r="C588" s="53"/>
      <c r="N588" s="53"/>
    </row>
    <row r="589" spans="3:14" ht="12.5" x14ac:dyDescent="0.25">
      <c r="C589" s="53"/>
      <c r="N589" s="53"/>
    </row>
    <row r="590" spans="3:14" ht="12.5" x14ac:dyDescent="0.25">
      <c r="C590" s="53"/>
      <c r="N590" s="53"/>
    </row>
    <row r="591" spans="3:14" ht="12.5" x14ac:dyDescent="0.25">
      <c r="C591" s="53"/>
      <c r="N591" s="53"/>
    </row>
    <row r="592" spans="3:14" ht="12.5" x14ac:dyDescent="0.25">
      <c r="C592" s="53"/>
      <c r="N592" s="53"/>
    </row>
    <row r="593" spans="3:14" ht="12.5" x14ac:dyDescent="0.25">
      <c r="C593" s="53"/>
      <c r="N593" s="53"/>
    </row>
    <row r="594" spans="3:14" ht="12.5" x14ac:dyDescent="0.25">
      <c r="C594" s="53"/>
      <c r="N594" s="53"/>
    </row>
    <row r="595" spans="3:14" ht="12.5" x14ac:dyDescent="0.25">
      <c r="C595" s="53"/>
      <c r="N595" s="53"/>
    </row>
    <row r="596" spans="3:14" ht="12.5" x14ac:dyDescent="0.25">
      <c r="C596" s="53"/>
      <c r="N596" s="53"/>
    </row>
    <row r="597" spans="3:14" ht="12.5" x14ac:dyDescent="0.25">
      <c r="C597" s="53"/>
      <c r="N597" s="53"/>
    </row>
    <row r="598" spans="3:14" ht="12.5" x14ac:dyDescent="0.25">
      <c r="C598" s="53"/>
      <c r="N598" s="53"/>
    </row>
    <row r="599" spans="3:14" ht="12.5" x14ac:dyDescent="0.25">
      <c r="C599" s="53"/>
      <c r="N599" s="53"/>
    </row>
    <row r="600" spans="3:14" ht="12.5" x14ac:dyDescent="0.25">
      <c r="C600" s="53"/>
      <c r="N600" s="53"/>
    </row>
    <row r="601" spans="3:14" ht="12.5" x14ac:dyDescent="0.25">
      <c r="C601" s="53"/>
      <c r="N601" s="53"/>
    </row>
    <row r="602" spans="3:14" ht="12.5" x14ac:dyDescent="0.25">
      <c r="C602" s="53"/>
      <c r="N602" s="53"/>
    </row>
    <row r="603" spans="3:14" ht="12.5" x14ac:dyDescent="0.25">
      <c r="C603" s="53"/>
      <c r="N603" s="53"/>
    </row>
    <row r="604" spans="3:14" ht="12.5" x14ac:dyDescent="0.25">
      <c r="C604" s="53"/>
      <c r="N604" s="53"/>
    </row>
    <row r="605" spans="3:14" ht="12.5" x14ac:dyDescent="0.25">
      <c r="C605" s="53"/>
      <c r="N605" s="53"/>
    </row>
    <row r="606" spans="3:14" ht="12.5" x14ac:dyDescent="0.25">
      <c r="C606" s="53"/>
      <c r="N606" s="53"/>
    </row>
    <row r="607" spans="3:14" ht="12.5" x14ac:dyDescent="0.25">
      <c r="C607" s="53"/>
      <c r="N607" s="53"/>
    </row>
    <row r="608" spans="3:14" ht="12.5" x14ac:dyDescent="0.25">
      <c r="C608" s="53"/>
      <c r="N608" s="53"/>
    </row>
    <row r="609" spans="3:14" ht="12.5" x14ac:dyDescent="0.25">
      <c r="C609" s="53"/>
      <c r="N609" s="53"/>
    </row>
    <row r="610" spans="3:14" ht="12.5" x14ac:dyDescent="0.25">
      <c r="C610" s="53"/>
      <c r="N610" s="53"/>
    </row>
    <row r="611" spans="3:14" ht="12.5" x14ac:dyDescent="0.25">
      <c r="C611" s="53"/>
      <c r="N611" s="53"/>
    </row>
    <row r="612" spans="3:14" ht="12.5" x14ac:dyDescent="0.25">
      <c r="C612" s="53"/>
      <c r="N612" s="53"/>
    </row>
    <row r="613" spans="3:14" ht="12.5" x14ac:dyDescent="0.25">
      <c r="C613" s="53"/>
      <c r="N613" s="53"/>
    </row>
    <row r="614" spans="3:14" ht="12.5" x14ac:dyDescent="0.25">
      <c r="C614" s="53"/>
      <c r="N614" s="53"/>
    </row>
    <row r="615" spans="3:14" ht="12.5" x14ac:dyDescent="0.25">
      <c r="C615" s="53"/>
      <c r="N615" s="53"/>
    </row>
    <row r="616" spans="3:14" ht="12.5" x14ac:dyDescent="0.25">
      <c r="C616" s="53"/>
      <c r="N616" s="53"/>
    </row>
    <row r="617" spans="3:14" ht="12.5" x14ac:dyDescent="0.25">
      <c r="C617" s="53"/>
      <c r="N617" s="53"/>
    </row>
    <row r="618" spans="3:14" ht="12.5" x14ac:dyDescent="0.25">
      <c r="C618" s="53"/>
      <c r="N618" s="53"/>
    </row>
    <row r="619" spans="3:14" ht="12.5" x14ac:dyDescent="0.25">
      <c r="C619" s="53"/>
      <c r="N619" s="53"/>
    </row>
    <row r="620" spans="3:14" ht="12.5" x14ac:dyDescent="0.25">
      <c r="C620" s="53"/>
      <c r="N620" s="53"/>
    </row>
    <row r="621" spans="3:14" ht="12.5" x14ac:dyDescent="0.25">
      <c r="C621" s="53"/>
      <c r="N621" s="53"/>
    </row>
    <row r="622" spans="3:14" ht="12.5" x14ac:dyDescent="0.25">
      <c r="C622" s="53"/>
      <c r="N622" s="53"/>
    </row>
    <row r="623" spans="3:14" ht="12.5" x14ac:dyDescent="0.25">
      <c r="C623" s="53"/>
      <c r="N623" s="53"/>
    </row>
    <row r="624" spans="3:14" ht="12.5" x14ac:dyDescent="0.25">
      <c r="C624" s="53"/>
      <c r="N624" s="53"/>
    </row>
    <row r="625" spans="3:14" ht="12.5" x14ac:dyDescent="0.25">
      <c r="C625" s="53"/>
      <c r="N625" s="53"/>
    </row>
    <row r="626" spans="3:14" ht="12.5" x14ac:dyDescent="0.25">
      <c r="C626" s="53"/>
      <c r="N626" s="53"/>
    </row>
    <row r="627" spans="3:14" ht="12.5" x14ac:dyDescent="0.25">
      <c r="C627" s="53"/>
      <c r="N627" s="53"/>
    </row>
    <row r="628" spans="3:14" ht="12.5" x14ac:dyDescent="0.25">
      <c r="C628" s="53"/>
      <c r="N628" s="53"/>
    </row>
    <row r="629" spans="3:14" ht="12.5" x14ac:dyDescent="0.25">
      <c r="C629" s="53"/>
      <c r="N629" s="53"/>
    </row>
    <row r="630" spans="3:14" ht="12.5" x14ac:dyDescent="0.25">
      <c r="C630" s="53"/>
      <c r="N630" s="53"/>
    </row>
    <row r="631" spans="3:14" ht="12.5" x14ac:dyDescent="0.25">
      <c r="C631" s="53"/>
      <c r="N631" s="53"/>
    </row>
    <row r="632" spans="3:14" ht="12.5" x14ac:dyDescent="0.25">
      <c r="C632" s="53"/>
      <c r="N632" s="53"/>
    </row>
    <row r="633" spans="3:14" ht="12.5" x14ac:dyDescent="0.25">
      <c r="C633" s="53"/>
      <c r="N633" s="53"/>
    </row>
    <row r="634" spans="3:14" ht="12.5" x14ac:dyDescent="0.25">
      <c r="C634" s="53"/>
      <c r="N634" s="53"/>
    </row>
    <row r="635" spans="3:14" ht="12.5" x14ac:dyDescent="0.25">
      <c r="C635" s="53"/>
      <c r="N635" s="53"/>
    </row>
    <row r="636" spans="3:14" ht="12.5" x14ac:dyDescent="0.25">
      <c r="C636" s="53"/>
      <c r="N636" s="53"/>
    </row>
    <row r="637" spans="3:14" ht="12.5" x14ac:dyDescent="0.25">
      <c r="C637" s="53"/>
      <c r="N637" s="53"/>
    </row>
    <row r="638" spans="3:14" ht="12.5" x14ac:dyDescent="0.25">
      <c r="C638" s="53"/>
      <c r="N638" s="53"/>
    </row>
    <row r="639" spans="3:14" ht="12.5" x14ac:dyDescent="0.25">
      <c r="C639" s="53"/>
      <c r="N639" s="53"/>
    </row>
    <row r="640" spans="3:14" ht="12.5" x14ac:dyDescent="0.25">
      <c r="C640" s="53"/>
      <c r="N640" s="53"/>
    </row>
    <row r="641" spans="3:14" ht="12.5" x14ac:dyDescent="0.25">
      <c r="C641" s="53"/>
      <c r="N641" s="53"/>
    </row>
    <row r="642" spans="3:14" ht="12.5" x14ac:dyDescent="0.25">
      <c r="C642" s="53"/>
      <c r="N642" s="53"/>
    </row>
    <row r="643" spans="3:14" ht="12.5" x14ac:dyDescent="0.25">
      <c r="C643" s="53"/>
      <c r="N643" s="53"/>
    </row>
    <row r="644" spans="3:14" ht="12.5" x14ac:dyDescent="0.25">
      <c r="C644" s="53"/>
      <c r="N644" s="53"/>
    </row>
    <row r="645" spans="3:14" ht="12.5" x14ac:dyDescent="0.25">
      <c r="C645" s="53"/>
      <c r="N645" s="53"/>
    </row>
    <row r="646" spans="3:14" ht="12.5" x14ac:dyDescent="0.25">
      <c r="C646" s="53"/>
      <c r="N646" s="53"/>
    </row>
    <row r="647" spans="3:14" ht="12.5" x14ac:dyDescent="0.25">
      <c r="C647" s="53"/>
      <c r="N647" s="53"/>
    </row>
    <row r="648" spans="3:14" ht="12.5" x14ac:dyDescent="0.25">
      <c r="C648" s="53"/>
      <c r="N648" s="53"/>
    </row>
    <row r="649" spans="3:14" ht="12.5" x14ac:dyDescent="0.25">
      <c r="C649" s="53"/>
      <c r="N649" s="53"/>
    </row>
    <row r="650" spans="3:14" ht="12.5" x14ac:dyDescent="0.25">
      <c r="C650" s="53"/>
      <c r="N650" s="53"/>
    </row>
    <row r="651" spans="3:14" ht="12.5" x14ac:dyDescent="0.25">
      <c r="C651" s="53"/>
      <c r="N651" s="53"/>
    </row>
    <row r="652" spans="3:14" ht="12.5" x14ac:dyDescent="0.25">
      <c r="C652" s="53"/>
      <c r="N652" s="53"/>
    </row>
    <row r="653" spans="3:14" ht="12.5" x14ac:dyDescent="0.25">
      <c r="C653" s="53"/>
      <c r="N653" s="53"/>
    </row>
    <row r="654" spans="3:14" ht="12.5" x14ac:dyDescent="0.25">
      <c r="C654" s="53"/>
      <c r="N654" s="53"/>
    </row>
    <row r="655" spans="3:14" ht="12.5" x14ac:dyDescent="0.25">
      <c r="C655" s="53"/>
      <c r="N655" s="53"/>
    </row>
    <row r="656" spans="3:14" ht="12.5" x14ac:dyDescent="0.25">
      <c r="C656" s="53"/>
      <c r="N656" s="53"/>
    </row>
    <row r="657" spans="3:14" ht="12.5" x14ac:dyDescent="0.25">
      <c r="C657" s="53"/>
      <c r="N657" s="53"/>
    </row>
    <row r="658" spans="3:14" ht="12.5" x14ac:dyDescent="0.25">
      <c r="C658" s="53"/>
      <c r="N658" s="53"/>
    </row>
    <row r="659" spans="3:14" ht="12.5" x14ac:dyDescent="0.25">
      <c r="C659" s="53"/>
      <c r="N659" s="53"/>
    </row>
    <row r="660" spans="3:14" ht="12.5" x14ac:dyDescent="0.25">
      <c r="C660" s="53"/>
      <c r="N660" s="53"/>
    </row>
    <row r="661" spans="3:14" ht="12.5" x14ac:dyDescent="0.25">
      <c r="C661" s="53"/>
      <c r="N661" s="53"/>
    </row>
    <row r="662" spans="3:14" ht="12.5" x14ac:dyDescent="0.25">
      <c r="C662" s="53"/>
      <c r="N662" s="53"/>
    </row>
    <row r="663" spans="3:14" ht="12.5" x14ac:dyDescent="0.25">
      <c r="C663" s="53"/>
      <c r="N663" s="53"/>
    </row>
    <row r="664" spans="3:14" ht="12.5" x14ac:dyDescent="0.25">
      <c r="C664" s="53"/>
      <c r="N664" s="53"/>
    </row>
    <row r="665" spans="3:14" ht="12.5" x14ac:dyDescent="0.25">
      <c r="C665" s="53"/>
      <c r="N665" s="53"/>
    </row>
    <row r="666" spans="3:14" ht="12.5" x14ac:dyDescent="0.25">
      <c r="C666" s="53"/>
      <c r="N666" s="53"/>
    </row>
    <row r="667" spans="3:14" ht="12.5" x14ac:dyDescent="0.25">
      <c r="C667" s="53"/>
      <c r="N667" s="53"/>
    </row>
    <row r="668" spans="3:14" ht="12.5" x14ac:dyDescent="0.25">
      <c r="C668" s="53"/>
      <c r="N668" s="53"/>
    </row>
    <row r="669" spans="3:14" ht="12.5" x14ac:dyDescent="0.25">
      <c r="C669" s="53"/>
      <c r="N669" s="53"/>
    </row>
    <row r="670" spans="3:14" ht="12.5" x14ac:dyDescent="0.25">
      <c r="C670" s="53"/>
      <c r="N670" s="53"/>
    </row>
    <row r="671" spans="3:14" ht="12.5" x14ac:dyDescent="0.25">
      <c r="C671" s="53"/>
      <c r="N671" s="53"/>
    </row>
    <row r="672" spans="3:14" ht="12.5" x14ac:dyDescent="0.25">
      <c r="C672" s="53"/>
      <c r="N672" s="53"/>
    </row>
    <row r="673" spans="3:14" ht="12.5" x14ac:dyDescent="0.25">
      <c r="C673" s="53"/>
      <c r="N673" s="53"/>
    </row>
    <row r="674" spans="3:14" ht="12.5" x14ac:dyDescent="0.25">
      <c r="C674" s="53"/>
      <c r="N674" s="53"/>
    </row>
    <row r="675" spans="3:14" ht="12.5" x14ac:dyDescent="0.25">
      <c r="C675" s="53"/>
      <c r="N675" s="53"/>
    </row>
    <row r="676" spans="3:14" ht="12.5" x14ac:dyDescent="0.25">
      <c r="C676" s="53"/>
      <c r="N676" s="53"/>
    </row>
    <row r="677" spans="3:14" ht="12.5" x14ac:dyDescent="0.25">
      <c r="C677" s="53"/>
      <c r="N677" s="53"/>
    </row>
    <row r="678" spans="3:14" ht="12.5" x14ac:dyDescent="0.25">
      <c r="C678" s="53"/>
      <c r="N678" s="53"/>
    </row>
    <row r="679" spans="3:14" ht="12.5" x14ac:dyDescent="0.25">
      <c r="C679" s="53"/>
      <c r="N679" s="53"/>
    </row>
    <row r="680" spans="3:14" ht="12.5" x14ac:dyDescent="0.25">
      <c r="C680" s="53"/>
      <c r="N680" s="53"/>
    </row>
    <row r="681" spans="3:14" ht="12.5" x14ac:dyDescent="0.25">
      <c r="C681" s="53"/>
      <c r="N681" s="53"/>
    </row>
    <row r="682" spans="3:14" ht="12.5" x14ac:dyDescent="0.25">
      <c r="C682" s="53"/>
      <c r="N682" s="53"/>
    </row>
    <row r="683" spans="3:14" ht="12.5" x14ac:dyDescent="0.25">
      <c r="C683" s="53"/>
      <c r="N683" s="53"/>
    </row>
    <row r="684" spans="3:14" ht="12.5" x14ac:dyDescent="0.25">
      <c r="C684" s="53"/>
      <c r="N684" s="53"/>
    </row>
    <row r="685" spans="3:14" ht="12.5" x14ac:dyDescent="0.25">
      <c r="C685" s="53"/>
      <c r="N685" s="53"/>
    </row>
    <row r="686" spans="3:14" ht="12.5" x14ac:dyDescent="0.25">
      <c r="C686" s="53"/>
      <c r="N686" s="53"/>
    </row>
    <row r="687" spans="3:14" ht="12.5" x14ac:dyDescent="0.25">
      <c r="C687" s="53"/>
      <c r="N687" s="53"/>
    </row>
    <row r="688" spans="3:14" ht="12.5" x14ac:dyDescent="0.25">
      <c r="C688" s="53"/>
      <c r="N688" s="53"/>
    </row>
    <row r="689" spans="3:14" ht="12.5" x14ac:dyDescent="0.25">
      <c r="C689" s="53"/>
      <c r="N689" s="53"/>
    </row>
    <row r="690" spans="3:14" ht="12.5" x14ac:dyDescent="0.25">
      <c r="C690" s="53"/>
      <c r="N690" s="53"/>
    </row>
    <row r="691" spans="3:14" ht="12.5" x14ac:dyDescent="0.25">
      <c r="C691" s="53"/>
      <c r="N691" s="53"/>
    </row>
    <row r="692" spans="3:14" ht="12.5" x14ac:dyDescent="0.25">
      <c r="C692" s="53"/>
      <c r="N692" s="53"/>
    </row>
    <row r="693" spans="3:14" ht="12.5" x14ac:dyDescent="0.25">
      <c r="C693" s="53"/>
      <c r="N693" s="53"/>
    </row>
    <row r="694" spans="3:14" ht="12.5" x14ac:dyDescent="0.25">
      <c r="C694" s="53"/>
      <c r="N694" s="53"/>
    </row>
    <row r="695" spans="3:14" ht="12.5" x14ac:dyDescent="0.25">
      <c r="C695" s="53"/>
      <c r="N695" s="53"/>
    </row>
    <row r="696" spans="3:14" ht="12.5" x14ac:dyDescent="0.25">
      <c r="C696" s="53"/>
      <c r="N696" s="53"/>
    </row>
    <row r="697" spans="3:14" ht="12.5" x14ac:dyDescent="0.25">
      <c r="C697" s="53"/>
      <c r="N697" s="53"/>
    </row>
    <row r="698" spans="3:14" ht="12.5" x14ac:dyDescent="0.25">
      <c r="C698" s="53"/>
      <c r="N698" s="53"/>
    </row>
    <row r="699" spans="3:14" ht="12.5" x14ac:dyDescent="0.25">
      <c r="C699" s="53"/>
      <c r="N699" s="53"/>
    </row>
    <row r="700" spans="3:14" ht="12.5" x14ac:dyDescent="0.25">
      <c r="C700" s="53"/>
      <c r="N700" s="53"/>
    </row>
    <row r="701" spans="3:14" ht="12.5" x14ac:dyDescent="0.25">
      <c r="C701" s="53"/>
      <c r="N701" s="53"/>
    </row>
    <row r="702" spans="3:14" ht="12.5" x14ac:dyDescent="0.25">
      <c r="C702" s="53"/>
      <c r="N702" s="53"/>
    </row>
    <row r="703" spans="3:14" ht="12.5" x14ac:dyDescent="0.25">
      <c r="C703" s="53"/>
      <c r="N703" s="53"/>
    </row>
    <row r="704" spans="3:14" ht="12.5" x14ac:dyDescent="0.25">
      <c r="C704" s="53"/>
      <c r="N704" s="53"/>
    </row>
    <row r="705" spans="3:14" ht="12.5" x14ac:dyDescent="0.25">
      <c r="C705" s="53"/>
      <c r="N705" s="53"/>
    </row>
    <row r="706" spans="3:14" ht="12.5" x14ac:dyDescent="0.25">
      <c r="C706" s="53"/>
      <c r="N706" s="53"/>
    </row>
    <row r="707" spans="3:14" ht="12.5" x14ac:dyDescent="0.25">
      <c r="C707" s="53"/>
      <c r="N707" s="53"/>
    </row>
    <row r="708" spans="3:14" ht="12.5" x14ac:dyDescent="0.25">
      <c r="C708" s="53"/>
      <c r="N708" s="53"/>
    </row>
    <row r="709" spans="3:14" ht="12.5" x14ac:dyDescent="0.25">
      <c r="C709" s="53"/>
      <c r="N709" s="53"/>
    </row>
    <row r="710" spans="3:14" ht="12.5" x14ac:dyDescent="0.25">
      <c r="C710" s="53"/>
      <c r="N710" s="53"/>
    </row>
    <row r="711" spans="3:14" ht="12.5" x14ac:dyDescent="0.25">
      <c r="C711" s="53"/>
      <c r="N711" s="53"/>
    </row>
    <row r="712" spans="3:14" ht="12.5" x14ac:dyDescent="0.25">
      <c r="C712" s="53"/>
      <c r="N712" s="53"/>
    </row>
    <row r="713" spans="3:14" ht="12.5" x14ac:dyDescent="0.25">
      <c r="C713" s="53"/>
      <c r="N713" s="53"/>
    </row>
    <row r="714" spans="3:14" ht="12.5" x14ac:dyDescent="0.25">
      <c r="C714" s="53"/>
      <c r="N714" s="53"/>
    </row>
    <row r="715" spans="3:14" ht="12.5" x14ac:dyDescent="0.25">
      <c r="C715" s="53"/>
      <c r="N715" s="53"/>
    </row>
    <row r="716" spans="3:14" ht="12.5" x14ac:dyDescent="0.25">
      <c r="C716" s="53"/>
      <c r="N716" s="53"/>
    </row>
    <row r="717" spans="3:14" ht="12.5" x14ac:dyDescent="0.25">
      <c r="C717" s="53"/>
      <c r="N717" s="53"/>
    </row>
    <row r="718" spans="3:14" ht="12.5" x14ac:dyDescent="0.25">
      <c r="C718" s="53"/>
      <c r="N718" s="53"/>
    </row>
    <row r="719" spans="3:14" ht="12.5" x14ac:dyDescent="0.25">
      <c r="C719" s="53"/>
      <c r="N719" s="53"/>
    </row>
    <row r="720" spans="3:14" ht="12.5" x14ac:dyDescent="0.25">
      <c r="C720" s="53"/>
      <c r="N720" s="53"/>
    </row>
    <row r="721" spans="3:14" ht="12.5" x14ac:dyDescent="0.25">
      <c r="C721" s="53"/>
      <c r="N721" s="53"/>
    </row>
    <row r="722" spans="3:14" ht="12.5" x14ac:dyDescent="0.25">
      <c r="C722" s="53"/>
      <c r="N722" s="53"/>
    </row>
    <row r="723" spans="3:14" ht="12.5" x14ac:dyDescent="0.25">
      <c r="C723" s="53"/>
      <c r="N723" s="53"/>
    </row>
    <row r="724" spans="3:14" ht="12.5" x14ac:dyDescent="0.25">
      <c r="C724" s="53"/>
      <c r="N724" s="53"/>
    </row>
    <row r="725" spans="3:14" ht="12.5" x14ac:dyDescent="0.25">
      <c r="C725" s="53"/>
      <c r="N725" s="53"/>
    </row>
    <row r="726" spans="3:14" ht="12.5" x14ac:dyDescent="0.25">
      <c r="C726" s="53"/>
      <c r="N726" s="53"/>
    </row>
    <row r="727" spans="3:14" ht="12.5" x14ac:dyDescent="0.25">
      <c r="C727" s="53"/>
      <c r="N727" s="53"/>
    </row>
    <row r="728" spans="3:14" ht="12.5" x14ac:dyDescent="0.25">
      <c r="C728" s="53"/>
      <c r="N728" s="53"/>
    </row>
    <row r="729" spans="3:14" ht="12.5" x14ac:dyDescent="0.25">
      <c r="C729" s="53"/>
      <c r="N729" s="53"/>
    </row>
    <row r="730" spans="3:14" ht="12.5" x14ac:dyDescent="0.25">
      <c r="C730" s="53"/>
      <c r="N730" s="53"/>
    </row>
    <row r="731" spans="3:14" ht="12.5" x14ac:dyDescent="0.25">
      <c r="C731" s="53"/>
      <c r="N731" s="53"/>
    </row>
    <row r="732" spans="3:14" ht="12.5" x14ac:dyDescent="0.25">
      <c r="C732" s="53"/>
      <c r="N732" s="53"/>
    </row>
    <row r="733" spans="3:14" ht="12.5" x14ac:dyDescent="0.25">
      <c r="C733" s="53"/>
      <c r="N733" s="53"/>
    </row>
    <row r="734" spans="3:14" ht="12.5" x14ac:dyDescent="0.25">
      <c r="C734" s="53"/>
      <c r="N734" s="53"/>
    </row>
    <row r="735" spans="3:14" ht="12.5" x14ac:dyDescent="0.25">
      <c r="C735" s="53"/>
      <c r="N735" s="53"/>
    </row>
    <row r="736" spans="3:14" ht="12.5" x14ac:dyDescent="0.25">
      <c r="C736" s="53"/>
      <c r="N736" s="53"/>
    </row>
    <row r="737" spans="3:14" ht="12.5" x14ac:dyDescent="0.25">
      <c r="C737" s="53"/>
      <c r="N737" s="53"/>
    </row>
    <row r="738" spans="3:14" ht="12.5" x14ac:dyDescent="0.25">
      <c r="C738" s="53"/>
      <c r="N738" s="53"/>
    </row>
    <row r="739" spans="3:14" ht="12.5" x14ac:dyDescent="0.25">
      <c r="C739" s="53"/>
      <c r="N739" s="53"/>
    </row>
    <row r="740" spans="3:14" ht="12.5" x14ac:dyDescent="0.25">
      <c r="C740" s="53"/>
      <c r="N740" s="53"/>
    </row>
    <row r="741" spans="3:14" ht="12.5" x14ac:dyDescent="0.25">
      <c r="C741" s="53"/>
      <c r="N741" s="53"/>
    </row>
    <row r="742" spans="3:14" ht="12.5" x14ac:dyDescent="0.25">
      <c r="C742" s="53"/>
      <c r="N742" s="53"/>
    </row>
    <row r="743" spans="3:14" ht="12.5" x14ac:dyDescent="0.25">
      <c r="C743" s="53"/>
      <c r="N743" s="53"/>
    </row>
    <row r="744" spans="3:14" ht="12.5" x14ac:dyDescent="0.25">
      <c r="C744" s="53"/>
      <c r="N744" s="53"/>
    </row>
    <row r="745" spans="3:14" ht="12.5" x14ac:dyDescent="0.25">
      <c r="C745" s="53"/>
      <c r="N745" s="53"/>
    </row>
    <row r="746" spans="3:14" ht="12.5" x14ac:dyDescent="0.25">
      <c r="C746" s="53"/>
      <c r="N746" s="53"/>
    </row>
    <row r="747" spans="3:14" ht="12.5" x14ac:dyDescent="0.25">
      <c r="C747" s="53"/>
      <c r="N747" s="53"/>
    </row>
    <row r="748" spans="3:14" ht="12.5" x14ac:dyDescent="0.25">
      <c r="C748" s="53"/>
      <c r="N748" s="53"/>
    </row>
    <row r="749" spans="3:14" ht="12.5" x14ac:dyDescent="0.25">
      <c r="C749" s="53"/>
      <c r="N749" s="53"/>
    </row>
    <row r="750" spans="3:14" ht="12.5" x14ac:dyDescent="0.25">
      <c r="C750" s="53"/>
      <c r="N750" s="53"/>
    </row>
    <row r="751" spans="3:14" ht="12.5" x14ac:dyDescent="0.25">
      <c r="C751" s="53"/>
      <c r="N751" s="53"/>
    </row>
    <row r="752" spans="3:14" ht="12.5" x14ac:dyDescent="0.25">
      <c r="C752" s="53"/>
      <c r="N752" s="53"/>
    </row>
    <row r="753" spans="3:14" ht="12.5" x14ac:dyDescent="0.25">
      <c r="C753" s="53"/>
      <c r="N753" s="53"/>
    </row>
    <row r="754" spans="3:14" ht="12.5" x14ac:dyDescent="0.25">
      <c r="C754" s="53"/>
      <c r="N754" s="53"/>
    </row>
    <row r="755" spans="3:14" ht="12.5" x14ac:dyDescent="0.25">
      <c r="C755" s="53"/>
      <c r="N755" s="53"/>
    </row>
    <row r="756" spans="3:14" ht="12.5" x14ac:dyDescent="0.25">
      <c r="C756" s="53"/>
      <c r="N756" s="53"/>
    </row>
    <row r="757" spans="3:14" ht="12.5" x14ac:dyDescent="0.25">
      <c r="C757" s="53"/>
      <c r="N757" s="53"/>
    </row>
    <row r="758" spans="3:14" ht="12.5" x14ac:dyDescent="0.25">
      <c r="C758" s="53"/>
      <c r="N758" s="53"/>
    </row>
    <row r="759" spans="3:14" ht="12.5" x14ac:dyDescent="0.25">
      <c r="C759" s="53"/>
      <c r="N759" s="53"/>
    </row>
    <row r="760" spans="3:14" ht="12.5" x14ac:dyDescent="0.25">
      <c r="C760" s="53"/>
      <c r="N760" s="53"/>
    </row>
    <row r="761" spans="3:14" ht="12.5" x14ac:dyDescent="0.25">
      <c r="C761" s="53"/>
      <c r="N761" s="53"/>
    </row>
    <row r="762" spans="3:14" ht="12.5" x14ac:dyDescent="0.25">
      <c r="C762" s="53"/>
      <c r="N762" s="53"/>
    </row>
    <row r="763" spans="3:14" ht="12.5" x14ac:dyDescent="0.25">
      <c r="C763" s="53"/>
      <c r="N763" s="53"/>
    </row>
    <row r="764" spans="3:14" ht="12.5" x14ac:dyDescent="0.25">
      <c r="C764" s="53"/>
      <c r="N764" s="53"/>
    </row>
    <row r="765" spans="3:14" ht="12.5" x14ac:dyDescent="0.25">
      <c r="C765" s="53"/>
      <c r="N765" s="53"/>
    </row>
    <row r="766" spans="3:14" ht="12.5" x14ac:dyDescent="0.25">
      <c r="C766" s="53"/>
      <c r="N766" s="53"/>
    </row>
    <row r="767" spans="3:14" ht="12.5" x14ac:dyDescent="0.25">
      <c r="C767" s="53"/>
      <c r="N767" s="53"/>
    </row>
    <row r="768" spans="3:14" ht="12.5" x14ac:dyDescent="0.25">
      <c r="C768" s="53"/>
      <c r="N768" s="53"/>
    </row>
    <row r="769" spans="3:14" ht="12.5" x14ac:dyDescent="0.25">
      <c r="C769" s="53"/>
      <c r="N769" s="53"/>
    </row>
    <row r="770" spans="3:14" ht="12.5" x14ac:dyDescent="0.25">
      <c r="C770" s="53"/>
      <c r="N770" s="53"/>
    </row>
    <row r="771" spans="3:14" ht="12.5" x14ac:dyDescent="0.25">
      <c r="C771" s="53"/>
      <c r="N771" s="53"/>
    </row>
    <row r="772" spans="3:14" ht="12.5" x14ac:dyDescent="0.25">
      <c r="C772" s="53"/>
      <c r="N772" s="53"/>
    </row>
    <row r="773" spans="3:14" ht="12.5" x14ac:dyDescent="0.25">
      <c r="C773" s="53"/>
      <c r="N773" s="53"/>
    </row>
    <row r="774" spans="3:14" ht="12.5" x14ac:dyDescent="0.25">
      <c r="C774" s="53"/>
      <c r="N774" s="53"/>
    </row>
    <row r="775" spans="3:14" ht="12.5" x14ac:dyDescent="0.25">
      <c r="C775" s="53"/>
      <c r="N775" s="53"/>
    </row>
    <row r="776" spans="3:14" ht="12.5" x14ac:dyDescent="0.25">
      <c r="C776" s="53"/>
      <c r="N776" s="53"/>
    </row>
    <row r="777" spans="3:14" ht="12.5" x14ac:dyDescent="0.25">
      <c r="C777" s="53"/>
      <c r="N777" s="53"/>
    </row>
    <row r="778" spans="3:14" ht="12.5" x14ac:dyDescent="0.25">
      <c r="C778" s="53"/>
      <c r="N778" s="53"/>
    </row>
    <row r="779" spans="3:14" ht="12.5" x14ac:dyDescent="0.25">
      <c r="C779" s="53"/>
      <c r="N779" s="53"/>
    </row>
    <row r="780" spans="3:14" ht="12.5" x14ac:dyDescent="0.25">
      <c r="C780" s="53"/>
      <c r="N780" s="53"/>
    </row>
    <row r="781" spans="3:14" ht="12.5" x14ac:dyDescent="0.25">
      <c r="C781" s="53"/>
      <c r="N781" s="53"/>
    </row>
    <row r="782" spans="3:14" ht="12.5" x14ac:dyDescent="0.25">
      <c r="C782" s="53"/>
      <c r="N782" s="53"/>
    </row>
    <row r="783" spans="3:14" ht="12.5" x14ac:dyDescent="0.25">
      <c r="C783" s="53"/>
      <c r="N783" s="53"/>
    </row>
    <row r="784" spans="3:14" ht="12.5" x14ac:dyDescent="0.25">
      <c r="C784" s="53"/>
      <c r="N784" s="53"/>
    </row>
    <row r="785" spans="3:14" ht="12.5" x14ac:dyDescent="0.25">
      <c r="C785" s="53"/>
      <c r="N785" s="53"/>
    </row>
    <row r="786" spans="3:14" ht="12.5" x14ac:dyDescent="0.25">
      <c r="C786" s="53"/>
      <c r="N786" s="53"/>
    </row>
    <row r="787" spans="3:14" ht="12.5" x14ac:dyDescent="0.25">
      <c r="C787" s="53"/>
      <c r="N787" s="53"/>
    </row>
    <row r="788" spans="3:14" ht="12.5" x14ac:dyDescent="0.25">
      <c r="C788" s="53"/>
      <c r="N788" s="53"/>
    </row>
    <row r="789" spans="3:14" ht="12.5" x14ac:dyDescent="0.25">
      <c r="C789" s="53"/>
      <c r="N789" s="53"/>
    </row>
    <row r="790" spans="3:14" ht="12.5" x14ac:dyDescent="0.25">
      <c r="C790" s="53"/>
      <c r="N790" s="53"/>
    </row>
    <row r="791" spans="3:14" ht="12.5" x14ac:dyDescent="0.25">
      <c r="C791" s="53"/>
      <c r="N791" s="53"/>
    </row>
    <row r="792" spans="3:14" ht="12.5" x14ac:dyDescent="0.25">
      <c r="C792" s="53"/>
      <c r="N792" s="53"/>
    </row>
    <row r="793" spans="3:14" ht="12.5" x14ac:dyDescent="0.25">
      <c r="C793" s="53"/>
      <c r="N793" s="53"/>
    </row>
    <row r="794" spans="3:14" ht="12.5" x14ac:dyDescent="0.25">
      <c r="C794" s="53"/>
      <c r="N794" s="53"/>
    </row>
    <row r="795" spans="3:14" ht="12.5" x14ac:dyDescent="0.25">
      <c r="C795" s="53"/>
      <c r="N795" s="53"/>
    </row>
    <row r="796" spans="3:14" ht="12.5" x14ac:dyDescent="0.25">
      <c r="C796" s="53"/>
      <c r="N796" s="53"/>
    </row>
    <row r="797" spans="3:14" ht="12.5" x14ac:dyDescent="0.25">
      <c r="C797" s="53"/>
      <c r="N797" s="53"/>
    </row>
    <row r="798" spans="3:14" ht="12.5" x14ac:dyDescent="0.25">
      <c r="C798" s="53"/>
      <c r="N798" s="53"/>
    </row>
    <row r="799" spans="3:14" ht="12.5" x14ac:dyDescent="0.25">
      <c r="C799" s="53"/>
      <c r="N799" s="53"/>
    </row>
    <row r="800" spans="3:14" ht="12.5" x14ac:dyDescent="0.25">
      <c r="C800" s="53"/>
      <c r="N800" s="53"/>
    </row>
    <row r="801" spans="3:14" ht="12.5" x14ac:dyDescent="0.25">
      <c r="C801" s="53"/>
      <c r="N801" s="53"/>
    </row>
    <row r="802" spans="3:14" ht="12.5" x14ac:dyDescent="0.25">
      <c r="C802" s="53"/>
      <c r="N802" s="53"/>
    </row>
    <row r="803" spans="3:14" ht="12.5" x14ac:dyDescent="0.25">
      <c r="C803" s="53"/>
      <c r="N803" s="53"/>
    </row>
    <row r="804" spans="3:14" ht="12.5" x14ac:dyDescent="0.25">
      <c r="C804" s="53"/>
      <c r="N804" s="53"/>
    </row>
    <row r="805" spans="3:14" ht="12.5" x14ac:dyDescent="0.25">
      <c r="C805" s="53"/>
      <c r="N805" s="53"/>
    </row>
    <row r="806" spans="3:14" ht="12.5" x14ac:dyDescent="0.25">
      <c r="C806" s="53"/>
      <c r="N806" s="53"/>
    </row>
    <row r="807" spans="3:14" ht="12.5" x14ac:dyDescent="0.25">
      <c r="C807" s="53"/>
      <c r="N807" s="53"/>
    </row>
    <row r="808" spans="3:14" ht="12.5" x14ac:dyDescent="0.25">
      <c r="C808" s="53"/>
      <c r="N808" s="53"/>
    </row>
    <row r="809" spans="3:14" ht="12.5" x14ac:dyDescent="0.25">
      <c r="C809" s="53"/>
      <c r="N809" s="53"/>
    </row>
    <row r="810" spans="3:14" ht="12.5" x14ac:dyDescent="0.25">
      <c r="C810" s="53"/>
      <c r="N810" s="53"/>
    </row>
    <row r="811" spans="3:14" ht="12.5" x14ac:dyDescent="0.25">
      <c r="C811" s="53"/>
      <c r="N811" s="53"/>
    </row>
    <row r="812" spans="3:14" ht="12.5" x14ac:dyDescent="0.25">
      <c r="C812" s="53"/>
      <c r="N812" s="53"/>
    </row>
    <row r="813" spans="3:14" ht="12.5" x14ac:dyDescent="0.25">
      <c r="C813" s="53"/>
      <c r="N813" s="53"/>
    </row>
    <row r="814" spans="3:14" ht="12.5" x14ac:dyDescent="0.25">
      <c r="C814" s="53"/>
      <c r="N814" s="53"/>
    </row>
    <row r="815" spans="3:14" ht="12.5" x14ac:dyDescent="0.25">
      <c r="C815" s="53"/>
      <c r="N815" s="53"/>
    </row>
    <row r="816" spans="3:14" ht="12.5" x14ac:dyDescent="0.25">
      <c r="C816" s="53"/>
      <c r="N816" s="53"/>
    </row>
    <row r="817" spans="3:14" ht="12.5" x14ac:dyDescent="0.25">
      <c r="C817" s="53"/>
      <c r="N817" s="53"/>
    </row>
    <row r="818" spans="3:14" ht="12.5" x14ac:dyDescent="0.25">
      <c r="C818" s="53"/>
      <c r="N818" s="53"/>
    </row>
    <row r="819" spans="3:14" ht="12.5" x14ac:dyDescent="0.25">
      <c r="C819" s="53"/>
      <c r="N819" s="53"/>
    </row>
    <row r="820" spans="3:14" ht="12.5" x14ac:dyDescent="0.25">
      <c r="C820" s="53"/>
      <c r="N820" s="53"/>
    </row>
    <row r="821" spans="3:14" ht="12.5" x14ac:dyDescent="0.25">
      <c r="C821" s="53"/>
      <c r="N821" s="53"/>
    </row>
    <row r="822" spans="3:14" ht="12.5" x14ac:dyDescent="0.25">
      <c r="C822" s="53"/>
      <c r="N822" s="53"/>
    </row>
    <row r="823" spans="3:14" ht="12.5" x14ac:dyDescent="0.25">
      <c r="C823" s="53"/>
      <c r="N823" s="53"/>
    </row>
    <row r="824" spans="3:14" ht="12.5" x14ac:dyDescent="0.25">
      <c r="C824" s="53"/>
      <c r="N824" s="53"/>
    </row>
    <row r="825" spans="3:14" ht="12.5" x14ac:dyDescent="0.25">
      <c r="C825" s="53"/>
      <c r="N825" s="53"/>
    </row>
    <row r="826" spans="3:14" ht="12.5" x14ac:dyDescent="0.25">
      <c r="C826" s="53"/>
      <c r="N826" s="53"/>
    </row>
    <row r="827" spans="3:14" ht="12.5" x14ac:dyDescent="0.25">
      <c r="C827" s="53"/>
      <c r="N827" s="53"/>
    </row>
    <row r="828" spans="3:14" ht="12.5" x14ac:dyDescent="0.25">
      <c r="C828" s="53"/>
      <c r="N828" s="53"/>
    </row>
    <row r="829" spans="3:14" ht="12.5" x14ac:dyDescent="0.25">
      <c r="C829" s="53"/>
      <c r="N829" s="53"/>
    </row>
    <row r="830" spans="3:14" ht="12.5" x14ac:dyDescent="0.25">
      <c r="C830" s="53"/>
      <c r="N830" s="53"/>
    </row>
    <row r="831" spans="3:14" ht="12.5" x14ac:dyDescent="0.25">
      <c r="C831" s="53"/>
      <c r="N831" s="53"/>
    </row>
    <row r="832" spans="3:14" ht="12.5" x14ac:dyDescent="0.25">
      <c r="C832" s="53"/>
      <c r="N832" s="53"/>
    </row>
    <row r="833" spans="3:14" ht="12.5" x14ac:dyDescent="0.25">
      <c r="C833" s="53"/>
      <c r="N833" s="53"/>
    </row>
    <row r="834" spans="3:14" ht="12.5" x14ac:dyDescent="0.25">
      <c r="C834" s="53"/>
      <c r="N834" s="53"/>
    </row>
    <row r="835" spans="3:14" ht="12.5" x14ac:dyDescent="0.25">
      <c r="C835" s="53"/>
      <c r="N835" s="53"/>
    </row>
    <row r="836" spans="3:14" ht="12.5" x14ac:dyDescent="0.25">
      <c r="C836" s="53"/>
      <c r="N836" s="53"/>
    </row>
    <row r="837" spans="3:14" ht="12.5" x14ac:dyDescent="0.25">
      <c r="C837" s="53"/>
      <c r="N837" s="53"/>
    </row>
    <row r="838" spans="3:14" ht="12.5" x14ac:dyDescent="0.25">
      <c r="C838" s="53"/>
      <c r="N838" s="53"/>
    </row>
    <row r="839" spans="3:14" ht="12.5" x14ac:dyDescent="0.25">
      <c r="C839" s="53"/>
      <c r="N839" s="53"/>
    </row>
    <row r="840" spans="3:14" ht="12.5" x14ac:dyDescent="0.25">
      <c r="C840" s="53"/>
      <c r="N840" s="53"/>
    </row>
    <row r="841" spans="3:14" ht="12.5" x14ac:dyDescent="0.25">
      <c r="C841" s="53"/>
      <c r="N841" s="53"/>
    </row>
    <row r="842" spans="3:14" ht="12.5" x14ac:dyDescent="0.25">
      <c r="C842" s="53"/>
      <c r="N842" s="53"/>
    </row>
    <row r="843" spans="3:14" ht="12.5" x14ac:dyDescent="0.25">
      <c r="C843" s="53"/>
      <c r="N843" s="53"/>
    </row>
    <row r="844" spans="3:14" ht="12.5" x14ac:dyDescent="0.25">
      <c r="C844" s="53"/>
      <c r="N844" s="53"/>
    </row>
    <row r="845" spans="3:14" ht="12.5" x14ac:dyDescent="0.25">
      <c r="C845" s="53"/>
      <c r="N845" s="53"/>
    </row>
    <row r="846" spans="3:14" ht="12.5" x14ac:dyDescent="0.25">
      <c r="C846" s="53"/>
      <c r="N846" s="53"/>
    </row>
    <row r="847" spans="3:14" ht="12.5" x14ac:dyDescent="0.25">
      <c r="C847" s="53"/>
      <c r="N847" s="53"/>
    </row>
    <row r="848" spans="3:14" ht="12.5" x14ac:dyDescent="0.25">
      <c r="C848" s="53"/>
      <c r="N848" s="53"/>
    </row>
    <row r="849" spans="3:14" ht="12.5" x14ac:dyDescent="0.25">
      <c r="C849" s="53"/>
      <c r="N849" s="53"/>
    </row>
    <row r="850" spans="3:14" ht="12.5" x14ac:dyDescent="0.25">
      <c r="C850" s="53"/>
      <c r="N850" s="53"/>
    </row>
    <row r="851" spans="3:14" ht="12.5" x14ac:dyDescent="0.25">
      <c r="C851" s="53"/>
      <c r="N851" s="53"/>
    </row>
    <row r="852" spans="3:14" ht="12.5" x14ac:dyDescent="0.25">
      <c r="C852" s="53"/>
      <c r="N852" s="53"/>
    </row>
    <row r="853" spans="3:14" ht="12.5" x14ac:dyDescent="0.25">
      <c r="C853" s="53"/>
      <c r="N853" s="53"/>
    </row>
    <row r="854" spans="3:14" ht="12.5" x14ac:dyDescent="0.25">
      <c r="C854" s="53"/>
      <c r="N854" s="53"/>
    </row>
    <row r="855" spans="3:14" ht="12.5" x14ac:dyDescent="0.25">
      <c r="C855" s="53"/>
      <c r="N855" s="53"/>
    </row>
    <row r="856" spans="3:14" ht="12.5" x14ac:dyDescent="0.25">
      <c r="C856" s="53"/>
      <c r="N856" s="53"/>
    </row>
    <row r="857" spans="3:14" ht="12.5" x14ac:dyDescent="0.25">
      <c r="C857" s="53"/>
      <c r="N857" s="53"/>
    </row>
    <row r="858" spans="3:14" ht="12.5" x14ac:dyDescent="0.25">
      <c r="C858" s="53"/>
      <c r="N858" s="53"/>
    </row>
    <row r="859" spans="3:14" ht="12.5" x14ac:dyDescent="0.25">
      <c r="C859" s="53"/>
      <c r="N859" s="53"/>
    </row>
    <row r="860" spans="3:14" ht="12.5" x14ac:dyDescent="0.25">
      <c r="C860" s="53"/>
      <c r="N860" s="53"/>
    </row>
    <row r="861" spans="3:14" ht="12.5" x14ac:dyDescent="0.25">
      <c r="C861" s="53"/>
      <c r="N861" s="53"/>
    </row>
    <row r="862" spans="3:14" ht="12.5" x14ac:dyDescent="0.25">
      <c r="C862" s="53"/>
      <c r="N862" s="53"/>
    </row>
    <row r="863" spans="3:14" ht="12.5" x14ac:dyDescent="0.25">
      <c r="C863" s="53"/>
      <c r="N863" s="53"/>
    </row>
    <row r="864" spans="3:14" ht="12.5" x14ac:dyDescent="0.25">
      <c r="C864" s="53"/>
      <c r="N864" s="53"/>
    </row>
    <row r="865" spans="3:14" ht="12.5" x14ac:dyDescent="0.25">
      <c r="C865" s="53"/>
      <c r="N865" s="53"/>
    </row>
    <row r="866" spans="3:14" ht="12.5" x14ac:dyDescent="0.25">
      <c r="C866" s="53"/>
      <c r="N866" s="53"/>
    </row>
    <row r="867" spans="3:14" ht="12.5" x14ac:dyDescent="0.25">
      <c r="C867" s="53"/>
      <c r="N867" s="53"/>
    </row>
    <row r="868" spans="3:14" ht="12.5" x14ac:dyDescent="0.25">
      <c r="C868" s="53"/>
      <c r="N868" s="53"/>
    </row>
    <row r="869" spans="3:14" ht="12.5" x14ac:dyDescent="0.25">
      <c r="C869" s="53"/>
      <c r="N869" s="53"/>
    </row>
    <row r="870" spans="3:14" ht="12.5" x14ac:dyDescent="0.25">
      <c r="C870" s="53"/>
      <c r="N870" s="53"/>
    </row>
    <row r="871" spans="3:14" ht="12.5" x14ac:dyDescent="0.25">
      <c r="C871" s="53"/>
      <c r="N871" s="53"/>
    </row>
    <row r="872" spans="3:14" ht="12.5" x14ac:dyDescent="0.25">
      <c r="C872" s="53"/>
      <c r="N872" s="53"/>
    </row>
    <row r="873" spans="3:14" ht="12.5" x14ac:dyDescent="0.25">
      <c r="C873" s="53"/>
      <c r="N873" s="53"/>
    </row>
    <row r="874" spans="3:14" ht="12.5" x14ac:dyDescent="0.25">
      <c r="C874" s="53"/>
      <c r="N874" s="53"/>
    </row>
    <row r="875" spans="3:14" ht="12.5" x14ac:dyDescent="0.25">
      <c r="C875" s="53"/>
      <c r="N875" s="53"/>
    </row>
    <row r="876" spans="3:14" ht="12.5" x14ac:dyDescent="0.25">
      <c r="C876" s="53"/>
      <c r="N876" s="53"/>
    </row>
    <row r="877" spans="3:14" ht="12.5" x14ac:dyDescent="0.25">
      <c r="C877" s="53"/>
      <c r="N877" s="53"/>
    </row>
    <row r="878" spans="3:14" ht="12.5" x14ac:dyDescent="0.25">
      <c r="C878" s="53"/>
      <c r="N878" s="53"/>
    </row>
    <row r="879" spans="3:14" ht="12.5" x14ac:dyDescent="0.25">
      <c r="C879" s="53"/>
      <c r="N879" s="53"/>
    </row>
    <row r="880" spans="3:14" ht="12.5" x14ac:dyDescent="0.25">
      <c r="C880" s="53"/>
      <c r="N880" s="53"/>
    </row>
    <row r="881" spans="3:14" ht="12.5" x14ac:dyDescent="0.25">
      <c r="C881" s="53"/>
      <c r="N881" s="53"/>
    </row>
    <row r="882" spans="3:14" ht="12.5" x14ac:dyDescent="0.25">
      <c r="C882" s="53"/>
      <c r="N882" s="53"/>
    </row>
    <row r="883" spans="3:14" ht="12.5" x14ac:dyDescent="0.25">
      <c r="C883" s="53"/>
      <c r="N883" s="53"/>
    </row>
    <row r="884" spans="3:14" ht="12.5" x14ac:dyDescent="0.25">
      <c r="C884" s="53"/>
      <c r="N884" s="53"/>
    </row>
    <row r="885" spans="3:14" ht="12.5" x14ac:dyDescent="0.25">
      <c r="C885" s="53"/>
      <c r="N885" s="53"/>
    </row>
    <row r="886" spans="3:14" ht="12.5" x14ac:dyDescent="0.25">
      <c r="C886" s="53"/>
      <c r="N886" s="53"/>
    </row>
    <row r="887" spans="3:14" ht="12.5" x14ac:dyDescent="0.25">
      <c r="C887" s="53"/>
      <c r="N887" s="53"/>
    </row>
    <row r="888" spans="3:14" ht="12.5" x14ac:dyDescent="0.25">
      <c r="C888" s="53"/>
      <c r="N888" s="53"/>
    </row>
    <row r="889" spans="3:14" ht="12.5" x14ac:dyDescent="0.25">
      <c r="C889" s="53"/>
      <c r="N889" s="53"/>
    </row>
    <row r="890" spans="3:14" ht="12.5" x14ac:dyDescent="0.25">
      <c r="C890" s="53"/>
      <c r="N890" s="53"/>
    </row>
    <row r="891" spans="3:14" ht="12.5" x14ac:dyDescent="0.25">
      <c r="C891" s="53"/>
      <c r="N891" s="53"/>
    </row>
    <row r="892" spans="3:14" ht="12.5" x14ac:dyDescent="0.25">
      <c r="C892" s="53"/>
      <c r="N892" s="53"/>
    </row>
    <row r="893" spans="3:14" ht="12.5" x14ac:dyDescent="0.25">
      <c r="C893" s="53"/>
      <c r="N893" s="53"/>
    </row>
    <row r="894" spans="3:14" ht="12.5" x14ac:dyDescent="0.25">
      <c r="C894" s="53"/>
      <c r="N894" s="53"/>
    </row>
    <row r="895" spans="3:14" ht="12.5" x14ac:dyDescent="0.25">
      <c r="C895" s="53"/>
      <c r="N895" s="53"/>
    </row>
    <row r="896" spans="3:14" ht="12.5" x14ac:dyDescent="0.25">
      <c r="C896" s="53"/>
      <c r="N896" s="53"/>
    </row>
    <row r="897" spans="3:14" ht="12.5" x14ac:dyDescent="0.25">
      <c r="C897" s="53"/>
      <c r="N897" s="53"/>
    </row>
    <row r="898" spans="3:14" ht="12.5" x14ac:dyDescent="0.25">
      <c r="C898" s="53"/>
      <c r="N898" s="53"/>
    </row>
    <row r="899" spans="3:14" ht="12.5" x14ac:dyDescent="0.25">
      <c r="C899" s="53"/>
      <c r="N899" s="53"/>
    </row>
    <row r="900" spans="3:14" ht="12.5" x14ac:dyDescent="0.25">
      <c r="C900" s="53"/>
      <c r="N900" s="53"/>
    </row>
    <row r="901" spans="3:14" ht="12.5" x14ac:dyDescent="0.25">
      <c r="C901" s="53"/>
      <c r="N901" s="53"/>
    </row>
    <row r="902" spans="3:14" ht="12.5" x14ac:dyDescent="0.25">
      <c r="C902" s="53"/>
      <c r="N902" s="53"/>
    </row>
    <row r="903" spans="3:14" ht="12.5" x14ac:dyDescent="0.25">
      <c r="C903" s="53"/>
      <c r="N903" s="53"/>
    </row>
    <row r="904" spans="3:14" ht="12.5" x14ac:dyDescent="0.25">
      <c r="C904" s="53"/>
      <c r="N904" s="53"/>
    </row>
    <row r="905" spans="3:14" ht="12.5" x14ac:dyDescent="0.25">
      <c r="C905" s="53"/>
      <c r="N905" s="53"/>
    </row>
    <row r="906" spans="3:14" ht="12.5" x14ac:dyDescent="0.25">
      <c r="C906" s="53"/>
      <c r="N906" s="53"/>
    </row>
    <row r="907" spans="3:14" ht="12.5" x14ac:dyDescent="0.25">
      <c r="C907" s="53"/>
      <c r="N907" s="53"/>
    </row>
    <row r="908" spans="3:14" ht="12.5" x14ac:dyDescent="0.25">
      <c r="C908" s="53"/>
      <c r="N908" s="53"/>
    </row>
    <row r="909" spans="3:14" ht="12.5" x14ac:dyDescent="0.25">
      <c r="C909" s="53"/>
      <c r="N909" s="53"/>
    </row>
    <row r="910" spans="3:14" ht="12.5" x14ac:dyDescent="0.25">
      <c r="C910" s="53"/>
      <c r="N910" s="53"/>
    </row>
    <row r="911" spans="3:14" ht="12.5" x14ac:dyDescent="0.25">
      <c r="C911" s="53"/>
      <c r="N911" s="53"/>
    </row>
    <row r="912" spans="3:14" ht="12.5" x14ac:dyDescent="0.25">
      <c r="C912" s="53"/>
      <c r="N912" s="53"/>
    </row>
    <row r="913" spans="3:14" ht="12.5" x14ac:dyDescent="0.25">
      <c r="C913" s="53"/>
      <c r="N913" s="53"/>
    </row>
    <row r="914" spans="3:14" ht="12.5" x14ac:dyDescent="0.25">
      <c r="C914" s="53"/>
      <c r="N914" s="53"/>
    </row>
    <row r="915" spans="3:14" ht="12.5" x14ac:dyDescent="0.25">
      <c r="C915" s="53"/>
      <c r="N915" s="53"/>
    </row>
    <row r="916" spans="3:14" ht="12.5" x14ac:dyDescent="0.25">
      <c r="C916" s="53"/>
      <c r="N916" s="53"/>
    </row>
    <row r="917" spans="3:14" ht="12.5" x14ac:dyDescent="0.25">
      <c r="C917" s="53"/>
      <c r="N917" s="53"/>
    </row>
    <row r="918" spans="3:14" ht="12.5" x14ac:dyDescent="0.25">
      <c r="C918" s="53"/>
      <c r="N918" s="53"/>
    </row>
    <row r="919" spans="3:14" ht="12.5" x14ac:dyDescent="0.25">
      <c r="C919" s="53"/>
      <c r="N919" s="53"/>
    </row>
    <row r="920" spans="3:14" ht="12.5" x14ac:dyDescent="0.25">
      <c r="C920" s="53"/>
      <c r="N920" s="53"/>
    </row>
    <row r="921" spans="3:14" ht="12.5" x14ac:dyDescent="0.25">
      <c r="C921" s="53"/>
      <c r="N921" s="53"/>
    </row>
    <row r="922" spans="3:14" ht="12.5" x14ac:dyDescent="0.25">
      <c r="C922" s="53"/>
      <c r="N922" s="53"/>
    </row>
    <row r="923" spans="3:14" ht="12.5" x14ac:dyDescent="0.25">
      <c r="C923" s="53"/>
      <c r="N923" s="53"/>
    </row>
    <row r="924" spans="3:14" ht="12.5" x14ac:dyDescent="0.25">
      <c r="C924" s="53"/>
      <c r="N924" s="53"/>
    </row>
    <row r="925" spans="3:14" ht="12.5" x14ac:dyDescent="0.25">
      <c r="C925" s="53"/>
      <c r="N925" s="53"/>
    </row>
    <row r="926" spans="3:14" ht="12.5" x14ac:dyDescent="0.25">
      <c r="C926" s="53"/>
      <c r="N926" s="53"/>
    </row>
    <row r="927" spans="3:14" ht="12.5" x14ac:dyDescent="0.25">
      <c r="C927" s="53"/>
      <c r="N927" s="53"/>
    </row>
    <row r="928" spans="3:14" ht="12.5" x14ac:dyDescent="0.25">
      <c r="C928" s="53"/>
      <c r="N928" s="53"/>
    </row>
    <row r="929" spans="3:14" ht="12.5" x14ac:dyDescent="0.25">
      <c r="C929" s="53"/>
      <c r="N929" s="53"/>
    </row>
    <row r="930" spans="3:14" ht="12.5" x14ac:dyDescent="0.25">
      <c r="C930" s="53"/>
      <c r="N930" s="53"/>
    </row>
    <row r="931" spans="3:14" ht="12.5" x14ac:dyDescent="0.25">
      <c r="C931" s="53"/>
      <c r="N931" s="53"/>
    </row>
    <row r="932" spans="3:14" ht="12.5" x14ac:dyDescent="0.25">
      <c r="C932" s="53"/>
      <c r="N932" s="53"/>
    </row>
    <row r="933" spans="3:14" ht="12.5" x14ac:dyDescent="0.25">
      <c r="C933" s="53"/>
      <c r="N933" s="53"/>
    </row>
    <row r="934" spans="3:14" ht="12.5" x14ac:dyDescent="0.25">
      <c r="C934" s="53"/>
      <c r="N934" s="53"/>
    </row>
    <row r="935" spans="3:14" ht="12.5" x14ac:dyDescent="0.25">
      <c r="C935" s="53"/>
      <c r="N935" s="53"/>
    </row>
    <row r="936" spans="3:14" ht="12.5" x14ac:dyDescent="0.25">
      <c r="C936" s="53"/>
      <c r="N936" s="53"/>
    </row>
    <row r="937" spans="3:14" ht="12.5" x14ac:dyDescent="0.25">
      <c r="C937" s="53"/>
      <c r="N937" s="53"/>
    </row>
    <row r="938" spans="3:14" ht="12.5" x14ac:dyDescent="0.25">
      <c r="C938" s="53"/>
      <c r="N938" s="53"/>
    </row>
    <row r="939" spans="3:14" ht="12.5" x14ac:dyDescent="0.25">
      <c r="C939" s="53"/>
      <c r="N939" s="53"/>
    </row>
    <row r="940" spans="3:14" ht="12.5" x14ac:dyDescent="0.25">
      <c r="C940" s="53"/>
      <c r="N940" s="53"/>
    </row>
    <row r="941" spans="3:14" ht="12.5" x14ac:dyDescent="0.25">
      <c r="C941" s="53"/>
      <c r="N941" s="53"/>
    </row>
    <row r="942" spans="3:14" ht="12.5" x14ac:dyDescent="0.25">
      <c r="C942" s="53"/>
      <c r="N942" s="53"/>
    </row>
    <row r="943" spans="3:14" ht="12.5" x14ac:dyDescent="0.25">
      <c r="C943" s="53"/>
      <c r="N943" s="53"/>
    </row>
    <row r="944" spans="3:14" ht="12.5" x14ac:dyDescent="0.25">
      <c r="C944" s="53"/>
      <c r="N944" s="53"/>
    </row>
    <row r="945" spans="3:14" ht="12.5" x14ac:dyDescent="0.25">
      <c r="C945" s="53"/>
      <c r="N945" s="53"/>
    </row>
    <row r="946" spans="3:14" ht="12.5" x14ac:dyDescent="0.25">
      <c r="C946" s="53"/>
      <c r="N946" s="53"/>
    </row>
    <row r="947" spans="3:14" ht="12.5" x14ac:dyDescent="0.25">
      <c r="C947" s="53"/>
      <c r="N947" s="53"/>
    </row>
    <row r="948" spans="3:14" ht="12.5" x14ac:dyDescent="0.25">
      <c r="C948" s="53"/>
      <c r="N948" s="53"/>
    </row>
    <row r="949" spans="3:14" ht="12.5" x14ac:dyDescent="0.25">
      <c r="C949" s="53"/>
      <c r="N949" s="53"/>
    </row>
    <row r="950" spans="3:14" ht="12.5" x14ac:dyDescent="0.25">
      <c r="C950" s="53"/>
      <c r="N950" s="53"/>
    </row>
    <row r="951" spans="3:14" ht="12.5" x14ac:dyDescent="0.25">
      <c r="C951" s="53"/>
      <c r="N951" s="53"/>
    </row>
    <row r="952" spans="3:14" ht="12.5" x14ac:dyDescent="0.25">
      <c r="C952" s="53"/>
      <c r="N952" s="53"/>
    </row>
    <row r="953" spans="3:14" ht="12.5" x14ac:dyDescent="0.25">
      <c r="C953" s="53"/>
      <c r="N953" s="53"/>
    </row>
    <row r="954" spans="3:14" ht="12.5" x14ac:dyDescent="0.25">
      <c r="C954" s="53"/>
      <c r="N954" s="53"/>
    </row>
    <row r="955" spans="3:14" ht="12.5" x14ac:dyDescent="0.25">
      <c r="C955" s="53"/>
      <c r="N955" s="53"/>
    </row>
    <row r="956" spans="3:14" ht="12.5" x14ac:dyDescent="0.25">
      <c r="C956" s="53"/>
      <c r="N956" s="53"/>
    </row>
    <row r="957" spans="3:14" ht="12.5" x14ac:dyDescent="0.25">
      <c r="C957" s="53"/>
      <c r="N957" s="53"/>
    </row>
    <row r="958" spans="3:14" ht="12.5" x14ac:dyDescent="0.25">
      <c r="C958" s="53"/>
      <c r="N958" s="53"/>
    </row>
    <row r="959" spans="3:14" ht="12.5" x14ac:dyDescent="0.25">
      <c r="C959" s="53"/>
      <c r="N959" s="53"/>
    </row>
    <row r="960" spans="3:14" ht="12.5" x14ac:dyDescent="0.25">
      <c r="C960" s="53"/>
      <c r="N960" s="53"/>
    </row>
    <row r="961" spans="3:14" ht="12.5" x14ac:dyDescent="0.25">
      <c r="C961" s="53"/>
      <c r="N961" s="53"/>
    </row>
    <row r="962" spans="3:14" ht="12.5" x14ac:dyDescent="0.25">
      <c r="C962" s="53"/>
      <c r="N962" s="53"/>
    </row>
    <row r="963" spans="3:14" ht="12.5" x14ac:dyDescent="0.25">
      <c r="C963" s="53"/>
      <c r="N963" s="53"/>
    </row>
    <row r="964" spans="3:14" ht="12.5" x14ac:dyDescent="0.25">
      <c r="C964" s="53"/>
      <c r="N964" s="53"/>
    </row>
    <row r="965" spans="3:14" ht="12.5" x14ac:dyDescent="0.25">
      <c r="C965" s="53"/>
      <c r="N965" s="53"/>
    </row>
    <row r="966" spans="3:14" ht="12.5" x14ac:dyDescent="0.25">
      <c r="C966" s="53"/>
      <c r="N966" s="53"/>
    </row>
    <row r="967" spans="3:14" ht="12.5" x14ac:dyDescent="0.25">
      <c r="C967" s="53"/>
      <c r="N967" s="53"/>
    </row>
    <row r="968" spans="3:14" ht="12.5" x14ac:dyDescent="0.25">
      <c r="C968" s="53"/>
      <c r="N968" s="53"/>
    </row>
    <row r="969" spans="3:14" ht="12.5" x14ac:dyDescent="0.25">
      <c r="C969" s="53"/>
      <c r="N969" s="53"/>
    </row>
    <row r="970" spans="3:14" ht="12.5" x14ac:dyDescent="0.25">
      <c r="C970" s="53"/>
      <c r="N970" s="53"/>
    </row>
    <row r="971" spans="3:14" ht="12.5" x14ac:dyDescent="0.25">
      <c r="C971" s="53"/>
      <c r="N971" s="53"/>
    </row>
    <row r="972" spans="3:14" ht="12.5" x14ac:dyDescent="0.25">
      <c r="C972" s="53"/>
      <c r="N972" s="53"/>
    </row>
    <row r="973" spans="3:14" ht="12.5" x14ac:dyDescent="0.25">
      <c r="C973" s="53"/>
      <c r="N973" s="53"/>
    </row>
    <row r="974" spans="3:14" ht="12.5" x14ac:dyDescent="0.25">
      <c r="C974" s="53"/>
      <c r="N974" s="53"/>
    </row>
    <row r="975" spans="3:14" ht="12.5" x14ac:dyDescent="0.25">
      <c r="C975" s="53"/>
      <c r="N975" s="53"/>
    </row>
    <row r="976" spans="3:14" ht="12.5" x14ac:dyDescent="0.25">
      <c r="C976" s="53"/>
      <c r="N976" s="53"/>
    </row>
    <row r="977" spans="3:14" ht="12.5" x14ac:dyDescent="0.25">
      <c r="C977" s="53"/>
      <c r="N977" s="53"/>
    </row>
    <row r="978" spans="3:14" ht="12.5" x14ac:dyDescent="0.25">
      <c r="C978" s="53"/>
      <c r="N978" s="53"/>
    </row>
    <row r="979" spans="3:14" ht="12.5" x14ac:dyDescent="0.25">
      <c r="C979" s="53"/>
      <c r="N979" s="53"/>
    </row>
    <row r="980" spans="3:14" ht="12.5" x14ac:dyDescent="0.25">
      <c r="C980" s="53"/>
      <c r="N980" s="53"/>
    </row>
    <row r="981" spans="3:14" ht="12.5" x14ac:dyDescent="0.25">
      <c r="C981" s="53"/>
      <c r="N981" s="53"/>
    </row>
    <row r="982" spans="3:14" ht="12.5" x14ac:dyDescent="0.25">
      <c r="C982" s="53"/>
      <c r="N982" s="53"/>
    </row>
    <row r="983" spans="3:14" ht="12.5" x14ac:dyDescent="0.25">
      <c r="C983" s="53"/>
      <c r="N983" s="53"/>
    </row>
    <row r="984" spans="3:14" ht="12.5" x14ac:dyDescent="0.25">
      <c r="C984" s="53"/>
      <c r="N984" s="53"/>
    </row>
    <row r="985" spans="3:14" ht="12.5" x14ac:dyDescent="0.25">
      <c r="C985" s="53"/>
      <c r="N985" s="53"/>
    </row>
    <row r="986" spans="3:14" ht="12.5" x14ac:dyDescent="0.25">
      <c r="C986" s="53"/>
      <c r="N986" s="53"/>
    </row>
    <row r="987" spans="3:14" ht="12.5" x14ac:dyDescent="0.25">
      <c r="C987" s="53"/>
      <c r="N987" s="53"/>
    </row>
    <row r="988" spans="3:14" ht="12.5" x14ac:dyDescent="0.25">
      <c r="C988" s="53"/>
      <c r="N988" s="53"/>
    </row>
    <row r="989" spans="3:14" ht="12.5" x14ac:dyDescent="0.25">
      <c r="C989" s="53"/>
      <c r="N989" s="53"/>
    </row>
    <row r="990" spans="3:14" ht="12.5" x14ac:dyDescent="0.25">
      <c r="C990" s="53"/>
      <c r="N990" s="53"/>
    </row>
    <row r="991" spans="3:14" ht="12.5" x14ac:dyDescent="0.25">
      <c r="C991" s="53"/>
      <c r="N991" s="53"/>
    </row>
    <row r="992" spans="3:14" ht="12.5" x14ac:dyDescent="0.25">
      <c r="C992" s="53"/>
      <c r="N992" s="53"/>
    </row>
    <row r="993" spans="3:14" ht="12.5" x14ac:dyDescent="0.25">
      <c r="C993" s="53"/>
      <c r="N993" s="53"/>
    </row>
    <row r="994" spans="3:14" ht="12.5" x14ac:dyDescent="0.25">
      <c r="C994" s="53"/>
      <c r="N994" s="53"/>
    </row>
    <row r="995" spans="3:14" ht="12.5" x14ac:dyDescent="0.25">
      <c r="C995" s="53"/>
      <c r="N995" s="53"/>
    </row>
    <row r="996" spans="3:14" ht="12.5" x14ac:dyDescent="0.25">
      <c r="C996" s="53"/>
      <c r="N996" s="53"/>
    </row>
    <row r="997" spans="3:14" ht="12.5" x14ac:dyDescent="0.25">
      <c r="C997" s="53"/>
      <c r="N997" s="53"/>
    </row>
    <row r="998" spans="3:14" ht="12.5" x14ac:dyDescent="0.25">
      <c r="C998" s="53"/>
      <c r="N998" s="53"/>
    </row>
    <row r="999" spans="3:14" ht="12.5" x14ac:dyDescent="0.25">
      <c r="C999" s="53"/>
      <c r="N999" s="53"/>
    </row>
    <row r="1000" spans="3:14" ht="12.5" x14ac:dyDescent="0.25">
      <c r="C1000" s="53"/>
      <c r="N1000" s="53"/>
    </row>
    <row r="1001" spans="3:14" ht="12.5" x14ac:dyDescent="0.25">
      <c r="C1001" s="53"/>
      <c r="N1001" s="53"/>
    </row>
    <row r="1002" spans="3:14" ht="12.5" x14ac:dyDescent="0.25">
      <c r="C1002" s="53"/>
      <c r="N1002" s="53"/>
    </row>
    <row r="1003" spans="3:14" ht="12.5" x14ac:dyDescent="0.25">
      <c r="C1003" s="53"/>
      <c r="N1003" s="53"/>
    </row>
    <row r="1004" spans="3:14" ht="12.5" x14ac:dyDescent="0.25">
      <c r="C1004" s="53"/>
      <c r="N1004" s="53"/>
    </row>
    <row r="1005" spans="3:14" ht="12.5" x14ac:dyDescent="0.25">
      <c r="C1005" s="53"/>
      <c r="N1005" s="53"/>
    </row>
    <row r="1006" spans="3:14" ht="12.5" x14ac:dyDescent="0.25">
      <c r="C1006" s="53"/>
      <c r="N1006" s="53"/>
    </row>
    <row r="1007" spans="3:14" ht="12.5" x14ac:dyDescent="0.25">
      <c r="C1007" s="53"/>
      <c r="N1007" s="53"/>
    </row>
    <row r="1008" spans="3:14" ht="12.5" x14ac:dyDescent="0.25">
      <c r="C1008" s="53"/>
      <c r="N1008" s="53"/>
    </row>
    <row r="1009" spans="3:14" ht="12.5" x14ac:dyDescent="0.25">
      <c r="C1009" s="53"/>
      <c r="N1009" s="53"/>
    </row>
    <row r="1010" spans="3:14" ht="12.5" x14ac:dyDescent="0.25">
      <c r="C1010" s="53"/>
      <c r="N1010" s="53"/>
    </row>
    <row r="1011" spans="3:14" ht="12.5" x14ac:dyDescent="0.25">
      <c r="C1011" s="53"/>
      <c r="N1011" s="53"/>
    </row>
    <row r="1012" spans="3:14" ht="12.5" x14ac:dyDescent="0.25">
      <c r="C1012" s="53"/>
      <c r="N1012" s="53"/>
    </row>
    <row r="1013" spans="3:14" ht="12.5" x14ac:dyDescent="0.25">
      <c r="C1013" s="53"/>
      <c r="N1013" s="53"/>
    </row>
    <row r="1014" spans="3:14" ht="12.5" x14ac:dyDescent="0.25">
      <c r="C1014" s="53"/>
      <c r="N1014" s="53"/>
    </row>
    <row r="1015" spans="3:14" ht="12.5" x14ac:dyDescent="0.25">
      <c r="C1015" s="53"/>
      <c r="N1015" s="53"/>
    </row>
    <row r="1016" spans="3:14" ht="12.5" x14ac:dyDescent="0.25">
      <c r="C1016" s="53"/>
      <c r="N1016" s="53"/>
    </row>
    <row r="1017" spans="3:14" ht="12.5" x14ac:dyDescent="0.25">
      <c r="C1017" s="53"/>
      <c r="N1017" s="5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E1017"/>
  <sheetViews>
    <sheetView showGridLines="0" workbookViewId="0">
      <pane xSplit="14" ySplit="5" topLeftCell="O6" activePane="bottomRight" state="frozen"/>
      <selection pane="topRight" activeCell="O1" sqref="O1"/>
      <selection pane="bottomLeft" activeCell="A6" sqref="A6"/>
      <selection pane="bottomRight" activeCell="O6" sqref="O6"/>
    </sheetView>
  </sheetViews>
  <sheetFormatPr defaultColWidth="12.6328125" defaultRowHeight="15.75" customHeight="1" x14ac:dyDescent="0.25"/>
  <cols>
    <col min="1" max="1" width="3.7265625" customWidth="1"/>
    <col min="2" max="2" width="25.36328125" customWidth="1"/>
    <col min="3" max="3" width="1.453125" customWidth="1"/>
    <col min="4" max="8" width="8.36328125" customWidth="1"/>
    <col min="9" max="11" width="7" customWidth="1"/>
    <col min="12" max="13" width="7.36328125" customWidth="1"/>
    <col min="14" max="14" width="1.7265625" customWidth="1"/>
  </cols>
  <sheetData>
    <row r="1" spans="2:135" ht="12.5" x14ac:dyDescent="0.25">
      <c r="P1" s="53">
        <v>1</v>
      </c>
      <c r="Q1" s="53">
        <f t="shared" ref="Q1:ED1" si="0">P1+1</f>
        <v>2</v>
      </c>
      <c r="R1" s="53">
        <f t="shared" si="0"/>
        <v>3</v>
      </c>
      <c r="S1" s="53">
        <f t="shared" si="0"/>
        <v>4</v>
      </c>
      <c r="T1" s="53">
        <f t="shared" si="0"/>
        <v>5</v>
      </c>
      <c r="U1" s="53">
        <f t="shared" si="0"/>
        <v>6</v>
      </c>
      <c r="V1" s="53">
        <f t="shared" si="0"/>
        <v>7</v>
      </c>
      <c r="W1" s="53">
        <f t="shared" si="0"/>
        <v>8</v>
      </c>
      <c r="X1" s="53">
        <f t="shared" si="0"/>
        <v>9</v>
      </c>
      <c r="Y1" s="53">
        <f t="shared" si="0"/>
        <v>10</v>
      </c>
      <c r="Z1" s="53">
        <f t="shared" si="0"/>
        <v>11</v>
      </c>
      <c r="AA1" s="53">
        <f t="shared" si="0"/>
        <v>12</v>
      </c>
      <c r="AB1" s="53">
        <f t="shared" si="0"/>
        <v>13</v>
      </c>
      <c r="AC1" s="53">
        <f t="shared" si="0"/>
        <v>14</v>
      </c>
      <c r="AD1" s="53">
        <f t="shared" si="0"/>
        <v>15</v>
      </c>
      <c r="AE1" s="53">
        <f t="shared" si="0"/>
        <v>16</v>
      </c>
      <c r="AF1" s="53">
        <f t="shared" si="0"/>
        <v>17</v>
      </c>
      <c r="AG1" s="53">
        <f t="shared" si="0"/>
        <v>18</v>
      </c>
      <c r="AH1" s="53">
        <f t="shared" si="0"/>
        <v>19</v>
      </c>
      <c r="AI1" s="53">
        <f t="shared" si="0"/>
        <v>20</v>
      </c>
      <c r="AJ1" s="53">
        <f t="shared" si="0"/>
        <v>21</v>
      </c>
      <c r="AK1" s="53">
        <f t="shared" si="0"/>
        <v>22</v>
      </c>
      <c r="AL1" s="53">
        <f t="shared" si="0"/>
        <v>23</v>
      </c>
      <c r="AM1" s="53">
        <f t="shared" si="0"/>
        <v>24</v>
      </c>
      <c r="AN1" s="53">
        <f t="shared" si="0"/>
        <v>25</v>
      </c>
      <c r="AO1" s="53">
        <f t="shared" si="0"/>
        <v>26</v>
      </c>
      <c r="AP1" s="53">
        <f t="shared" si="0"/>
        <v>27</v>
      </c>
      <c r="AQ1" s="53">
        <f t="shared" si="0"/>
        <v>28</v>
      </c>
      <c r="AR1" s="53">
        <f t="shared" si="0"/>
        <v>29</v>
      </c>
      <c r="AS1" s="53">
        <f t="shared" si="0"/>
        <v>30</v>
      </c>
      <c r="AT1" s="53">
        <f t="shared" si="0"/>
        <v>31</v>
      </c>
      <c r="AU1" s="53">
        <f t="shared" si="0"/>
        <v>32</v>
      </c>
      <c r="AV1" s="53">
        <f t="shared" si="0"/>
        <v>33</v>
      </c>
      <c r="AW1" s="53">
        <f t="shared" si="0"/>
        <v>34</v>
      </c>
      <c r="AX1" s="53">
        <f t="shared" si="0"/>
        <v>35</v>
      </c>
      <c r="AY1" s="53">
        <f t="shared" si="0"/>
        <v>36</v>
      </c>
      <c r="AZ1" s="53">
        <f t="shared" si="0"/>
        <v>37</v>
      </c>
      <c r="BA1" s="53">
        <f t="shared" si="0"/>
        <v>38</v>
      </c>
      <c r="BB1" s="53">
        <f t="shared" si="0"/>
        <v>39</v>
      </c>
      <c r="BC1" s="53">
        <f t="shared" si="0"/>
        <v>40</v>
      </c>
      <c r="BD1" s="53">
        <f t="shared" si="0"/>
        <v>41</v>
      </c>
      <c r="BE1" s="53">
        <f t="shared" si="0"/>
        <v>42</v>
      </c>
      <c r="BF1" s="53">
        <f t="shared" si="0"/>
        <v>43</v>
      </c>
      <c r="BG1" s="53">
        <f t="shared" si="0"/>
        <v>44</v>
      </c>
      <c r="BH1" s="53">
        <f t="shared" si="0"/>
        <v>45</v>
      </c>
      <c r="BI1" s="53">
        <f t="shared" si="0"/>
        <v>46</v>
      </c>
      <c r="BJ1" s="53">
        <f t="shared" si="0"/>
        <v>47</v>
      </c>
      <c r="BK1" s="53">
        <f t="shared" si="0"/>
        <v>48</v>
      </c>
      <c r="BL1" s="53">
        <f t="shared" si="0"/>
        <v>49</v>
      </c>
      <c r="BM1" s="53">
        <f t="shared" si="0"/>
        <v>50</v>
      </c>
      <c r="BN1" s="53">
        <f t="shared" si="0"/>
        <v>51</v>
      </c>
      <c r="BO1" s="53">
        <f t="shared" si="0"/>
        <v>52</v>
      </c>
      <c r="BP1" s="53">
        <f t="shared" si="0"/>
        <v>53</v>
      </c>
      <c r="BQ1" s="53">
        <f t="shared" si="0"/>
        <v>54</v>
      </c>
      <c r="BR1" s="53">
        <f t="shared" si="0"/>
        <v>55</v>
      </c>
      <c r="BS1" s="53">
        <f t="shared" si="0"/>
        <v>56</v>
      </c>
      <c r="BT1" s="53">
        <f t="shared" si="0"/>
        <v>57</v>
      </c>
      <c r="BU1" s="53">
        <f t="shared" si="0"/>
        <v>58</v>
      </c>
      <c r="BV1" s="53">
        <f t="shared" si="0"/>
        <v>59</v>
      </c>
      <c r="BW1" s="53">
        <f t="shared" si="0"/>
        <v>60</v>
      </c>
      <c r="BX1" s="53">
        <f t="shared" si="0"/>
        <v>61</v>
      </c>
      <c r="BY1" s="53">
        <f t="shared" si="0"/>
        <v>62</v>
      </c>
      <c r="BZ1" s="53">
        <f t="shared" si="0"/>
        <v>63</v>
      </c>
      <c r="CA1" s="53">
        <f t="shared" si="0"/>
        <v>64</v>
      </c>
      <c r="CB1" s="53">
        <f t="shared" si="0"/>
        <v>65</v>
      </c>
      <c r="CC1" s="53">
        <f t="shared" si="0"/>
        <v>66</v>
      </c>
      <c r="CD1" s="53">
        <f t="shared" si="0"/>
        <v>67</v>
      </c>
      <c r="CE1" s="53">
        <f t="shared" si="0"/>
        <v>68</v>
      </c>
      <c r="CF1" s="53">
        <f t="shared" si="0"/>
        <v>69</v>
      </c>
      <c r="CG1" s="53">
        <f t="shared" si="0"/>
        <v>70</v>
      </c>
      <c r="CH1" s="53">
        <f t="shared" si="0"/>
        <v>71</v>
      </c>
      <c r="CI1" s="53">
        <f t="shared" si="0"/>
        <v>72</v>
      </c>
      <c r="CJ1" s="53">
        <f t="shared" si="0"/>
        <v>73</v>
      </c>
      <c r="CK1" s="53">
        <f t="shared" si="0"/>
        <v>74</v>
      </c>
      <c r="CL1" s="53">
        <f t="shared" si="0"/>
        <v>75</v>
      </c>
      <c r="CM1" s="53">
        <f t="shared" si="0"/>
        <v>76</v>
      </c>
      <c r="CN1" s="53">
        <f t="shared" si="0"/>
        <v>77</v>
      </c>
      <c r="CO1" s="53">
        <f t="shared" si="0"/>
        <v>78</v>
      </c>
      <c r="CP1" s="53">
        <f t="shared" si="0"/>
        <v>79</v>
      </c>
      <c r="CQ1" s="53">
        <f t="shared" si="0"/>
        <v>80</v>
      </c>
      <c r="CR1" s="53">
        <f t="shared" si="0"/>
        <v>81</v>
      </c>
      <c r="CS1" s="53">
        <f t="shared" si="0"/>
        <v>82</v>
      </c>
      <c r="CT1" s="53">
        <f t="shared" si="0"/>
        <v>83</v>
      </c>
      <c r="CU1" s="53">
        <f t="shared" si="0"/>
        <v>84</v>
      </c>
      <c r="CV1" s="53">
        <f t="shared" si="0"/>
        <v>85</v>
      </c>
      <c r="CW1" s="53">
        <f t="shared" si="0"/>
        <v>86</v>
      </c>
      <c r="CX1" s="53">
        <f t="shared" si="0"/>
        <v>87</v>
      </c>
      <c r="CY1" s="53">
        <f t="shared" si="0"/>
        <v>88</v>
      </c>
      <c r="CZ1" s="53">
        <f t="shared" si="0"/>
        <v>89</v>
      </c>
      <c r="DA1" s="53">
        <f t="shared" si="0"/>
        <v>90</v>
      </c>
      <c r="DB1" s="53">
        <f t="shared" si="0"/>
        <v>91</v>
      </c>
      <c r="DC1" s="53">
        <f t="shared" si="0"/>
        <v>92</v>
      </c>
      <c r="DD1" s="53">
        <f t="shared" si="0"/>
        <v>93</v>
      </c>
      <c r="DE1" s="53">
        <f t="shared" si="0"/>
        <v>94</v>
      </c>
      <c r="DF1" s="53">
        <f t="shared" si="0"/>
        <v>95</v>
      </c>
      <c r="DG1" s="53">
        <f t="shared" si="0"/>
        <v>96</v>
      </c>
      <c r="DH1" s="53">
        <f t="shared" si="0"/>
        <v>97</v>
      </c>
      <c r="DI1" s="53">
        <f t="shared" si="0"/>
        <v>98</v>
      </c>
      <c r="DJ1" s="53">
        <f t="shared" si="0"/>
        <v>99</v>
      </c>
      <c r="DK1" s="53">
        <f t="shared" si="0"/>
        <v>100</v>
      </c>
      <c r="DL1" s="53">
        <f t="shared" si="0"/>
        <v>101</v>
      </c>
      <c r="DM1" s="53">
        <f t="shared" si="0"/>
        <v>102</v>
      </c>
      <c r="DN1" s="53">
        <f t="shared" si="0"/>
        <v>103</v>
      </c>
      <c r="DO1" s="53">
        <f t="shared" si="0"/>
        <v>104</v>
      </c>
      <c r="DP1" s="53">
        <f t="shared" si="0"/>
        <v>105</v>
      </c>
      <c r="DQ1" s="53">
        <f t="shared" si="0"/>
        <v>106</v>
      </c>
      <c r="DR1" s="53">
        <f t="shared" si="0"/>
        <v>107</v>
      </c>
      <c r="DS1" s="53">
        <f t="shared" si="0"/>
        <v>108</v>
      </c>
      <c r="DT1" s="53">
        <f t="shared" si="0"/>
        <v>109</v>
      </c>
      <c r="DU1" s="53">
        <f t="shared" si="0"/>
        <v>110</v>
      </c>
      <c r="DV1" s="53">
        <f t="shared" si="0"/>
        <v>111</v>
      </c>
      <c r="DW1" s="53">
        <f t="shared" si="0"/>
        <v>112</v>
      </c>
      <c r="DX1" s="53">
        <f t="shared" si="0"/>
        <v>113</v>
      </c>
      <c r="DY1" s="53">
        <f t="shared" si="0"/>
        <v>114</v>
      </c>
      <c r="DZ1" s="53">
        <f t="shared" si="0"/>
        <v>115</v>
      </c>
      <c r="EA1" s="53">
        <f t="shared" si="0"/>
        <v>116</v>
      </c>
      <c r="EB1" s="53">
        <f t="shared" si="0"/>
        <v>117</v>
      </c>
      <c r="EC1" s="53">
        <f t="shared" si="0"/>
        <v>118</v>
      </c>
      <c r="ED1" s="53">
        <f t="shared" si="0"/>
        <v>119</v>
      </c>
      <c r="EE1" s="53"/>
    </row>
    <row r="2" spans="2:135" ht="12.5" x14ac:dyDescent="0.25"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>
        <v>1</v>
      </c>
      <c r="P2" s="53">
        <f t="shared" ref="P2:ED2" si="1">O2+1</f>
        <v>2</v>
      </c>
      <c r="Q2" s="53">
        <f t="shared" si="1"/>
        <v>3</v>
      </c>
      <c r="R2" s="53">
        <f t="shared" si="1"/>
        <v>4</v>
      </c>
      <c r="S2" s="53">
        <f t="shared" si="1"/>
        <v>5</v>
      </c>
      <c r="T2" s="53">
        <f t="shared" si="1"/>
        <v>6</v>
      </c>
      <c r="U2" s="53">
        <f t="shared" si="1"/>
        <v>7</v>
      </c>
      <c r="V2" s="53">
        <f t="shared" si="1"/>
        <v>8</v>
      </c>
      <c r="W2" s="53">
        <f t="shared" si="1"/>
        <v>9</v>
      </c>
      <c r="X2" s="53">
        <f t="shared" si="1"/>
        <v>10</v>
      </c>
      <c r="Y2" s="53">
        <f t="shared" si="1"/>
        <v>11</v>
      </c>
      <c r="Z2" s="53">
        <f t="shared" si="1"/>
        <v>12</v>
      </c>
      <c r="AA2" s="53">
        <f t="shared" si="1"/>
        <v>13</v>
      </c>
      <c r="AB2" s="53">
        <f t="shared" si="1"/>
        <v>14</v>
      </c>
      <c r="AC2" s="53">
        <f t="shared" si="1"/>
        <v>15</v>
      </c>
      <c r="AD2" s="53">
        <f t="shared" si="1"/>
        <v>16</v>
      </c>
      <c r="AE2" s="53">
        <f t="shared" si="1"/>
        <v>17</v>
      </c>
      <c r="AF2" s="53">
        <f t="shared" si="1"/>
        <v>18</v>
      </c>
      <c r="AG2" s="53">
        <f t="shared" si="1"/>
        <v>19</v>
      </c>
      <c r="AH2" s="53">
        <f t="shared" si="1"/>
        <v>20</v>
      </c>
      <c r="AI2" s="53">
        <f t="shared" si="1"/>
        <v>21</v>
      </c>
      <c r="AJ2" s="53">
        <f t="shared" si="1"/>
        <v>22</v>
      </c>
      <c r="AK2" s="53">
        <f t="shared" si="1"/>
        <v>23</v>
      </c>
      <c r="AL2" s="53">
        <f t="shared" si="1"/>
        <v>24</v>
      </c>
      <c r="AM2" s="53">
        <f t="shared" si="1"/>
        <v>25</v>
      </c>
      <c r="AN2" s="53">
        <f t="shared" si="1"/>
        <v>26</v>
      </c>
      <c r="AO2" s="53">
        <f t="shared" si="1"/>
        <v>27</v>
      </c>
      <c r="AP2" s="53">
        <f t="shared" si="1"/>
        <v>28</v>
      </c>
      <c r="AQ2" s="53">
        <f t="shared" si="1"/>
        <v>29</v>
      </c>
      <c r="AR2" s="53">
        <f t="shared" si="1"/>
        <v>30</v>
      </c>
      <c r="AS2" s="53">
        <f t="shared" si="1"/>
        <v>31</v>
      </c>
      <c r="AT2" s="53">
        <f t="shared" si="1"/>
        <v>32</v>
      </c>
      <c r="AU2" s="53">
        <f t="shared" si="1"/>
        <v>33</v>
      </c>
      <c r="AV2" s="53">
        <f t="shared" si="1"/>
        <v>34</v>
      </c>
      <c r="AW2" s="53">
        <f t="shared" si="1"/>
        <v>35</v>
      </c>
      <c r="AX2" s="53">
        <f t="shared" si="1"/>
        <v>36</v>
      </c>
      <c r="AY2" s="53">
        <f t="shared" si="1"/>
        <v>37</v>
      </c>
      <c r="AZ2" s="53">
        <f t="shared" si="1"/>
        <v>38</v>
      </c>
      <c r="BA2" s="53">
        <f t="shared" si="1"/>
        <v>39</v>
      </c>
      <c r="BB2" s="53">
        <f t="shared" si="1"/>
        <v>40</v>
      </c>
      <c r="BC2" s="53">
        <f t="shared" si="1"/>
        <v>41</v>
      </c>
      <c r="BD2" s="53">
        <f t="shared" si="1"/>
        <v>42</v>
      </c>
      <c r="BE2" s="53">
        <f t="shared" si="1"/>
        <v>43</v>
      </c>
      <c r="BF2" s="53">
        <f t="shared" si="1"/>
        <v>44</v>
      </c>
      <c r="BG2" s="53">
        <f t="shared" si="1"/>
        <v>45</v>
      </c>
      <c r="BH2" s="53">
        <f t="shared" si="1"/>
        <v>46</v>
      </c>
      <c r="BI2" s="53">
        <f t="shared" si="1"/>
        <v>47</v>
      </c>
      <c r="BJ2" s="53">
        <f t="shared" si="1"/>
        <v>48</v>
      </c>
      <c r="BK2" s="53">
        <f t="shared" si="1"/>
        <v>49</v>
      </c>
      <c r="BL2" s="53">
        <f t="shared" si="1"/>
        <v>50</v>
      </c>
      <c r="BM2" s="53">
        <f t="shared" si="1"/>
        <v>51</v>
      </c>
      <c r="BN2" s="53">
        <f t="shared" si="1"/>
        <v>52</v>
      </c>
      <c r="BO2" s="53">
        <f t="shared" si="1"/>
        <v>53</v>
      </c>
      <c r="BP2" s="53">
        <f t="shared" si="1"/>
        <v>54</v>
      </c>
      <c r="BQ2" s="53">
        <f t="shared" si="1"/>
        <v>55</v>
      </c>
      <c r="BR2" s="53">
        <f t="shared" si="1"/>
        <v>56</v>
      </c>
      <c r="BS2" s="53">
        <f t="shared" si="1"/>
        <v>57</v>
      </c>
      <c r="BT2" s="53">
        <f t="shared" si="1"/>
        <v>58</v>
      </c>
      <c r="BU2" s="53">
        <f t="shared" si="1"/>
        <v>59</v>
      </c>
      <c r="BV2" s="53">
        <f t="shared" si="1"/>
        <v>60</v>
      </c>
      <c r="BW2" s="53">
        <f t="shared" si="1"/>
        <v>61</v>
      </c>
      <c r="BX2" s="53">
        <f t="shared" si="1"/>
        <v>62</v>
      </c>
      <c r="BY2" s="53">
        <f t="shared" si="1"/>
        <v>63</v>
      </c>
      <c r="BZ2" s="53">
        <f t="shared" si="1"/>
        <v>64</v>
      </c>
      <c r="CA2" s="53">
        <f t="shared" si="1"/>
        <v>65</v>
      </c>
      <c r="CB2" s="53">
        <f t="shared" si="1"/>
        <v>66</v>
      </c>
      <c r="CC2" s="53">
        <f t="shared" si="1"/>
        <v>67</v>
      </c>
      <c r="CD2" s="53">
        <f t="shared" si="1"/>
        <v>68</v>
      </c>
      <c r="CE2" s="53">
        <f t="shared" si="1"/>
        <v>69</v>
      </c>
      <c r="CF2" s="53">
        <f t="shared" si="1"/>
        <v>70</v>
      </c>
      <c r="CG2" s="53">
        <f t="shared" si="1"/>
        <v>71</v>
      </c>
      <c r="CH2" s="53">
        <f t="shared" si="1"/>
        <v>72</v>
      </c>
      <c r="CI2" s="53">
        <f t="shared" si="1"/>
        <v>73</v>
      </c>
      <c r="CJ2" s="53">
        <f t="shared" si="1"/>
        <v>74</v>
      </c>
      <c r="CK2" s="53">
        <f t="shared" si="1"/>
        <v>75</v>
      </c>
      <c r="CL2" s="53">
        <f t="shared" si="1"/>
        <v>76</v>
      </c>
      <c r="CM2" s="53">
        <f t="shared" si="1"/>
        <v>77</v>
      </c>
      <c r="CN2" s="53">
        <f t="shared" si="1"/>
        <v>78</v>
      </c>
      <c r="CO2" s="53">
        <f t="shared" si="1"/>
        <v>79</v>
      </c>
      <c r="CP2" s="53">
        <f t="shared" si="1"/>
        <v>80</v>
      </c>
      <c r="CQ2" s="53">
        <f t="shared" si="1"/>
        <v>81</v>
      </c>
      <c r="CR2" s="53">
        <f t="shared" si="1"/>
        <v>82</v>
      </c>
      <c r="CS2" s="53">
        <f t="shared" si="1"/>
        <v>83</v>
      </c>
      <c r="CT2" s="53">
        <f t="shared" si="1"/>
        <v>84</v>
      </c>
      <c r="CU2" s="53">
        <f t="shared" si="1"/>
        <v>85</v>
      </c>
      <c r="CV2" s="53">
        <f t="shared" si="1"/>
        <v>86</v>
      </c>
      <c r="CW2" s="53">
        <f t="shared" si="1"/>
        <v>87</v>
      </c>
      <c r="CX2" s="53">
        <f t="shared" si="1"/>
        <v>88</v>
      </c>
      <c r="CY2" s="53">
        <f t="shared" si="1"/>
        <v>89</v>
      </c>
      <c r="CZ2" s="53">
        <f t="shared" si="1"/>
        <v>90</v>
      </c>
      <c r="DA2" s="53">
        <f t="shared" si="1"/>
        <v>91</v>
      </c>
      <c r="DB2" s="53">
        <f t="shared" si="1"/>
        <v>92</v>
      </c>
      <c r="DC2" s="53">
        <f t="shared" si="1"/>
        <v>93</v>
      </c>
      <c r="DD2" s="53">
        <f t="shared" si="1"/>
        <v>94</v>
      </c>
      <c r="DE2" s="53">
        <f t="shared" si="1"/>
        <v>95</v>
      </c>
      <c r="DF2" s="53">
        <f t="shared" si="1"/>
        <v>96</v>
      </c>
      <c r="DG2" s="53">
        <f t="shared" si="1"/>
        <v>97</v>
      </c>
      <c r="DH2" s="53">
        <f t="shared" si="1"/>
        <v>98</v>
      </c>
      <c r="DI2" s="53">
        <f t="shared" si="1"/>
        <v>99</v>
      </c>
      <c r="DJ2" s="53">
        <f t="shared" si="1"/>
        <v>100</v>
      </c>
      <c r="DK2" s="53">
        <f t="shared" si="1"/>
        <v>101</v>
      </c>
      <c r="DL2" s="53">
        <f t="shared" si="1"/>
        <v>102</v>
      </c>
      <c r="DM2" s="53">
        <f t="shared" si="1"/>
        <v>103</v>
      </c>
      <c r="DN2" s="53">
        <f t="shared" si="1"/>
        <v>104</v>
      </c>
      <c r="DO2" s="53">
        <f t="shared" si="1"/>
        <v>105</v>
      </c>
      <c r="DP2" s="53">
        <f t="shared" si="1"/>
        <v>106</v>
      </c>
      <c r="DQ2" s="53">
        <f t="shared" si="1"/>
        <v>107</v>
      </c>
      <c r="DR2" s="53">
        <f t="shared" si="1"/>
        <v>108</v>
      </c>
      <c r="DS2" s="53">
        <f t="shared" si="1"/>
        <v>109</v>
      </c>
      <c r="DT2" s="53">
        <f t="shared" si="1"/>
        <v>110</v>
      </c>
      <c r="DU2" s="53">
        <f t="shared" si="1"/>
        <v>111</v>
      </c>
      <c r="DV2" s="53">
        <f t="shared" si="1"/>
        <v>112</v>
      </c>
      <c r="DW2" s="53">
        <f t="shared" si="1"/>
        <v>113</v>
      </c>
      <c r="DX2" s="53">
        <f t="shared" si="1"/>
        <v>114</v>
      </c>
      <c r="DY2" s="53">
        <f t="shared" si="1"/>
        <v>115</v>
      </c>
      <c r="DZ2" s="53">
        <f t="shared" si="1"/>
        <v>116</v>
      </c>
      <c r="EA2" s="53">
        <f t="shared" si="1"/>
        <v>117</v>
      </c>
      <c r="EB2" s="53">
        <f t="shared" si="1"/>
        <v>118</v>
      </c>
      <c r="EC2" s="53">
        <f t="shared" si="1"/>
        <v>119</v>
      </c>
      <c r="ED2" s="53">
        <f t="shared" si="1"/>
        <v>120</v>
      </c>
    </row>
    <row r="3" spans="2:135" ht="13" x14ac:dyDescent="0.3">
      <c r="C3" s="53"/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3"/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  <c r="T3" s="5" t="s">
        <v>74</v>
      </c>
      <c r="U3" s="5" t="s">
        <v>75</v>
      </c>
      <c r="V3" s="5" t="s">
        <v>76</v>
      </c>
      <c r="W3" s="5" t="s">
        <v>77</v>
      </c>
      <c r="X3" s="5" t="s">
        <v>78</v>
      </c>
      <c r="Y3" s="5" t="s">
        <v>79</v>
      </c>
      <c r="Z3" s="5" t="s">
        <v>80</v>
      </c>
      <c r="AA3" s="5" t="s">
        <v>81</v>
      </c>
      <c r="AB3" s="5" t="s">
        <v>82</v>
      </c>
      <c r="AC3" s="5" t="s">
        <v>83</v>
      </c>
      <c r="AD3" s="5" t="s">
        <v>84</v>
      </c>
      <c r="AE3" s="5" t="s">
        <v>85</v>
      </c>
      <c r="AF3" s="5" t="s">
        <v>86</v>
      </c>
      <c r="AG3" s="5" t="s">
        <v>87</v>
      </c>
      <c r="AH3" s="5" t="s">
        <v>88</v>
      </c>
      <c r="AI3" s="5" t="s">
        <v>89</v>
      </c>
      <c r="AJ3" s="5" t="s">
        <v>90</v>
      </c>
      <c r="AK3" s="5" t="s">
        <v>91</v>
      </c>
      <c r="AL3" s="5" t="s">
        <v>92</v>
      </c>
      <c r="AM3" s="5" t="s">
        <v>93</v>
      </c>
      <c r="AN3" s="5" t="s">
        <v>94</v>
      </c>
      <c r="AO3" s="5" t="s">
        <v>95</v>
      </c>
      <c r="AP3" s="5" t="s">
        <v>96</v>
      </c>
      <c r="AQ3" s="5" t="s">
        <v>97</v>
      </c>
      <c r="AR3" s="5" t="s">
        <v>98</v>
      </c>
      <c r="AS3" s="5" t="s">
        <v>99</v>
      </c>
      <c r="AT3" s="5" t="s">
        <v>100</v>
      </c>
      <c r="AU3" s="5" t="s">
        <v>101</v>
      </c>
      <c r="AV3" s="5" t="s">
        <v>102</v>
      </c>
      <c r="AW3" s="5" t="s">
        <v>103</v>
      </c>
      <c r="AX3" s="5" t="s">
        <v>104</v>
      </c>
      <c r="AY3" s="5" t="s">
        <v>105</v>
      </c>
      <c r="AZ3" s="5" t="s">
        <v>106</v>
      </c>
      <c r="BA3" s="5" t="s">
        <v>107</v>
      </c>
      <c r="BB3" s="5" t="s">
        <v>108</v>
      </c>
      <c r="BC3" s="5" t="s">
        <v>109</v>
      </c>
      <c r="BD3" s="5" t="s">
        <v>110</v>
      </c>
      <c r="BE3" s="5" t="s">
        <v>111</v>
      </c>
      <c r="BF3" s="5" t="s">
        <v>112</v>
      </c>
      <c r="BG3" s="5" t="s">
        <v>113</v>
      </c>
      <c r="BH3" s="5" t="s">
        <v>114</v>
      </c>
      <c r="BI3" s="5" t="s">
        <v>115</v>
      </c>
      <c r="BJ3" s="5" t="s">
        <v>116</v>
      </c>
      <c r="BK3" s="5" t="s">
        <v>117</v>
      </c>
      <c r="BL3" s="5" t="s">
        <v>118</v>
      </c>
      <c r="BM3" s="5" t="s">
        <v>119</v>
      </c>
      <c r="BN3" s="5" t="s">
        <v>120</v>
      </c>
      <c r="BO3" s="5" t="s">
        <v>121</v>
      </c>
      <c r="BP3" s="5" t="s">
        <v>122</v>
      </c>
      <c r="BQ3" s="5" t="s">
        <v>123</v>
      </c>
      <c r="BR3" s="5" t="s">
        <v>124</v>
      </c>
      <c r="BS3" s="5" t="s">
        <v>125</v>
      </c>
      <c r="BT3" s="5" t="s">
        <v>126</v>
      </c>
      <c r="BU3" s="5" t="s">
        <v>127</v>
      </c>
      <c r="BV3" s="5" t="s">
        <v>128</v>
      </c>
      <c r="BW3" s="5" t="s">
        <v>129</v>
      </c>
      <c r="BX3" s="5" t="s">
        <v>130</v>
      </c>
      <c r="BY3" s="5" t="s">
        <v>131</v>
      </c>
      <c r="BZ3" s="5" t="s">
        <v>132</v>
      </c>
      <c r="CA3" s="5" t="s">
        <v>133</v>
      </c>
      <c r="CB3" s="5" t="s">
        <v>134</v>
      </c>
      <c r="CC3" s="5" t="s">
        <v>135</v>
      </c>
      <c r="CD3" s="5" t="s">
        <v>136</v>
      </c>
      <c r="CE3" s="5" t="s">
        <v>137</v>
      </c>
      <c r="CF3" s="5" t="s">
        <v>138</v>
      </c>
      <c r="CG3" s="5" t="s">
        <v>139</v>
      </c>
      <c r="CH3" s="5" t="s">
        <v>140</v>
      </c>
      <c r="CI3" s="5" t="s">
        <v>141</v>
      </c>
      <c r="CJ3" s="5" t="s">
        <v>142</v>
      </c>
      <c r="CK3" s="5" t="s">
        <v>143</v>
      </c>
      <c r="CL3" s="5" t="s">
        <v>144</v>
      </c>
      <c r="CM3" s="5" t="s">
        <v>145</v>
      </c>
      <c r="CN3" s="5" t="s">
        <v>146</v>
      </c>
      <c r="CO3" s="5" t="s">
        <v>147</v>
      </c>
      <c r="CP3" s="5" t="s">
        <v>148</v>
      </c>
      <c r="CQ3" s="5" t="s">
        <v>149</v>
      </c>
      <c r="CR3" s="5" t="s">
        <v>150</v>
      </c>
      <c r="CS3" s="5" t="s">
        <v>151</v>
      </c>
      <c r="CT3" s="5" t="s">
        <v>152</v>
      </c>
      <c r="CU3" s="5" t="s">
        <v>153</v>
      </c>
      <c r="CV3" s="5" t="s">
        <v>154</v>
      </c>
      <c r="CW3" s="5" t="s">
        <v>155</v>
      </c>
      <c r="CX3" s="5" t="s">
        <v>156</v>
      </c>
      <c r="CY3" s="5" t="s">
        <v>157</v>
      </c>
      <c r="CZ3" s="5" t="s">
        <v>158</v>
      </c>
      <c r="DA3" s="5" t="s">
        <v>159</v>
      </c>
      <c r="DB3" s="5" t="s">
        <v>160</v>
      </c>
      <c r="DC3" s="5" t="s">
        <v>161</v>
      </c>
      <c r="DD3" s="5" t="s">
        <v>162</v>
      </c>
      <c r="DE3" s="5" t="s">
        <v>163</v>
      </c>
      <c r="DF3" s="5" t="s">
        <v>164</v>
      </c>
      <c r="DG3" s="5" t="s">
        <v>165</v>
      </c>
      <c r="DH3" s="5" t="s">
        <v>166</v>
      </c>
      <c r="DI3" s="5" t="s">
        <v>167</v>
      </c>
      <c r="DJ3" s="5" t="s">
        <v>168</v>
      </c>
      <c r="DK3" s="5" t="s">
        <v>169</v>
      </c>
      <c r="DL3" s="5" t="s">
        <v>170</v>
      </c>
      <c r="DM3" s="5" t="s">
        <v>171</v>
      </c>
      <c r="DN3" s="5" t="s">
        <v>172</v>
      </c>
      <c r="DO3" s="5" t="s">
        <v>173</v>
      </c>
      <c r="DP3" s="5" t="s">
        <v>174</v>
      </c>
      <c r="DQ3" s="5" t="s">
        <v>175</v>
      </c>
      <c r="DR3" s="5" t="s">
        <v>176</v>
      </c>
      <c r="DS3" s="5" t="s">
        <v>177</v>
      </c>
      <c r="DT3" s="5" t="s">
        <v>178</v>
      </c>
      <c r="DU3" s="5" t="s">
        <v>179</v>
      </c>
      <c r="DV3" s="5" t="s">
        <v>180</v>
      </c>
      <c r="DW3" s="5" t="s">
        <v>181</v>
      </c>
      <c r="DX3" s="5" t="s">
        <v>182</v>
      </c>
      <c r="DY3" s="5" t="s">
        <v>183</v>
      </c>
      <c r="DZ3" s="5" t="s">
        <v>184</v>
      </c>
      <c r="EA3" s="5" t="s">
        <v>185</v>
      </c>
      <c r="EB3" s="5" t="s">
        <v>186</v>
      </c>
      <c r="EC3" s="5" t="s">
        <v>187</v>
      </c>
      <c r="ED3" s="5" t="s">
        <v>188</v>
      </c>
    </row>
    <row r="4" spans="2:135" ht="12.5" x14ac:dyDescent="0.25">
      <c r="C4" s="53"/>
      <c r="D4" s="53" t="s">
        <v>80</v>
      </c>
      <c r="E4" s="53" t="s">
        <v>92</v>
      </c>
      <c r="F4" s="53" t="s">
        <v>104</v>
      </c>
      <c r="G4" s="53" t="s">
        <v>116</v>
      </c>
      <c r="H4" s="53" t="s">
        <v>128</v>
      </c>
      <c r="I4" s="53" t="s">
        <v>140</v>
      </c>
      <c r="J4" s="53" t="s">
        <v>152</v>
      </c>
      <c r="K4" s="53" t="s">
        <v>164</v>
      </c>
      <c r="L4" s="53" t="s">
        <v>176</v>
      </c>
      <c r="M4" s="53" t="s">
        <v>188</v>
      </c>
      <c r="N4" s="53"/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53" t="s">
        <v>4</v>
      </c>
      <c r="V4" s="53" t="s">
        <v>4</v>
      </c>
      <c r="W4" s="53" t="s">
        <v>4</v>
      </c>
      <c r="X4" s="53" t="s">
        <v>4</v>
      </c>
      <c r="Y4" s="53" t="s">
        <v>4</v>
      </c>
      <c r="Z4" s="53" t="s">
        <v>4</v>
      </c>
      <c r="AA4" s="53" t="s">
        <v>5</v>
      </c>
      <c r="AB4" s="53" t="s">
        <v>5</v>
      </c>
      <c r="AC4" s="53" t="s">
        <v>5</v>
      </c>
      <c r="AD4" s="53" t="s">
        <v>5</v>
      </c>
      <c r="AE4" s="53" t="s">
        <v>5</v>
      </c>
      <c r="AF4" s="53" t="s">
        <v>5</v>
      </c>
      <c r="AG4" s="53" t="s">
        <v>5</v>
      </c>
      <c r="AH4" s="53" t="s">
        <v>5</v>
      </c>
      <c r="AI4" s="53" t="s">
        <v>5</v>
      </c>
      <c r="AJ4" s="53" t="s">
        <v>5</v>
      </c>
      <c r="AK4" s="53" t="s">
        <v>5</v>
      </c>
      <c r="AL4" s="53" t="s">
        <v>5</v>
      </c>
      <c r="AM4" s="53" t="s">
        <v>6</v>
      </c>
      <c r="AN4" s="53" t="s">
        <v>6</v>
      </c>
      <c r="AO4" s="53" t="s">
        <v>6</v>
      </c>
      <c r="AP4" s="53" t="s">
        <v>6</v>
      </c>
      <c r="AQ4" s="53" t="s">
        <v>6</v>
      </c>
      <c r="AR4" s="53" t="s">
        <v>6</v>
      </c>
      <c r="AS4" s="53" t="s">
        <v>6</v>
      </c>
      <c r="AT4" s="53" t="s">
        <v>6</v>
      </c>
      <c r="AU4" s="53" t="s">
        <v>6</v>
      </c>
      <c r="AV4" s="53" t="s">
        <v>6</v>
      </c>
      <c r="AW4" s="53" t="s">
        <v>6</v>
      </c>
      <c r="AX4" s="53" t="s">
        <v>6</v>
      </c>
      <c r="AY4" s="53" t="s">
        <v>7</v>
      </c>
      <c r="AZ4" s="53" t="s">
        <v>7</v>
      </c>
      <c r="BA4" s="53" t="s">
        <v>7</v>
      </c>
      <c r="BB4" s="53" t="s">
        <v>7</v>
      </c>
      <c r="BC4" s="53" t="s">
        <v>7</v>
      </c>
      <c r="BD4" s="53" t="s">
        <v>7</v>
      </c>
      <c r="BE4" s="53" t="s">
        <v>7</v>
      </c>
      <c r="BF4" s="53" t="s">
        <v>7</v>
      </c>
      <c r="BG4" s="53" t="s">
        <v>7</v>
      </c>
      <c r="BH4" s="53" t="s">
        <v>7</v>
      </c>
      <c r="BI4" s="53" t="s">
        <v>7</v>
      </c>
      <c r="BJ4" s="53" t="s">
        <v>7</v>
      </c>
      <c r="BK4" s="53" t="s">
        <v>8</v>
      </c>
      <c r="BL4" s="53" t="s">
        <v>8</v>
      </c>
      <c r="BM4" s="53" t="s">
        <v>8</v>
      </c>
      <c r="BN4" s="53" t="s">
        <v>8</v>
      </c>
      <c r="BO4" s="53" t="s">
        <v>8</v>
      </c>
      <c r="BP4" s="53" t="s">
        <v>8</v>
      </c>
      <c r="BQ4" s="53" t="s">
        <v>8</v>
      </c>
      <c r="BR4" s="53" t="s">
        <v>8</v>
      </c>
      <c r="BS4" s="53" t="s">
        <v>8</v>
      </c>
      <c r="BT4" s="53" t="s">
        <v>8</v>
      </c>
      <c r="BU4" s="53" t="s">
        <v>8</v>
      </c>
      <c r="BV4" s="53" t="s">
        <v>8</v>
      </c>
      <c r="BW4" s="53" t="s">
        <v>9</v>
      </c>
      <c r="BX4" s="53" t="s">
        <v>9</v>
      </c>
      <c r="BY4" s="53" t="s">
        <v>9</v>
      </c>
      <c r="BZ4" s="53" t="s">
        <v>9</v>
      </c>
      <c r="CA4" s="53" t="s">
        <v>9</v>
      </c>
      <c r="CB4" s="53" t="s">
        <v>9</v>
      </c>
      <c r="CC4" s="53" t="s">
        <v>9</v>
      </c>
      <c r="CD4" s="53" t="s">
        <v>9</v>
      </c>
      <c r="CE4" s="53" t="s">
        <v>9</v>
      </c>
      <c r="CF4" s="53" t="s">
        <v>9</v>
      </c>
      <c r="CG4" s="53" t="s">
        <v>9</v>
      </c>
      <c r="CH4" s="53" t="s">
        <v>9</v>
      </c>
      <c r="CI4" s="53" t="s">
        <v>10</v>
      </c>
      <c r="CJ4" s="53" t="s">
        <v>10</v>
      </c>
      <c r="CK4" s="53" t="s">
        <v>10</v>
      </c>
      <c r="CL4" s="53" t="s">
        <v>10</v>
      </c>
      <c r="CM4" s="53" t="s">
        <v>10</v>
      </c>
      <c r="CN4" s="53" t="s">
        <v>10</v>
      </c>
      <c r="CO4" s="53" t="s">
        <v>10</v>
      </c>
      <c r="CP4" s="53" t="s">
        <v>10</v>
      </c>
      <c r="CQ4" s="53" t="s">
        <v>10</v>
      </c>
      <c r="CR4" s="53" t="s">
        <v>10</v>
      </c>
      <c r="CS4" s="53" t="s">
        <v>10</v>
      </c>
      <c r="CT4" s="53" t="s">
        <v>10</v>
      </c>
      <c r="CU4" s="53" t="s">
        <v>11</v>
      </c>
      <c r="CV4" s="53" t="s">
        <v>11</v>
      </c>
      <c r="CW4" s="53" t="s">
        <v>11</v>
      </c>
      <c r="CX4" s="53" t="s">
        <v>11</v>
      </c>
      <c r="CY4" s="53" t="s">
        <v>11</v>
      </c>
      <c r="CZ4" s="53" t="s">
        <v>11</v>
      </c>
      <c r="DA4" s="53" t="s">
        <v>11</v>
      </c>
      <c r="DB4" s="53" t="s">
        <v>11</v>
      </c>
      <c r="DC4" s="53" t="s">
        <v>11</v>
      </c>
      <c r="DD4" s="53" t="s">
        <v>11</v>
      </c>
      <c r="DE4" s="53" t="s">
        <v>11</v>
      </c>
      <c r="DF4" s="53" t="s">
        <v>11</v>
      </c>
      <c r="DG4" s="53" t="s">
        <v>12</v>
      </c>
      <c r="DH4" s="53" t="s">
        <v>12</v>
      </c>
      <c r="DI4" s="53" t="s">
        <v>12</v>
      </c>
      <c r="DJ4" s="53" t="s">
        <v>12</v>
      </c>
      <c r="DK4" s="53" t="s">
        <v>12</v>
      </c>
      <c r="DL4" s="53" t="s">
        <v>12</v>
      </c>
      <c r="DM4" s="53" t="s">
        <v>12</v>
      </c>
      <c r="DN4" s="53" t="s">
        <v>12</v>
      </c>
      <c r="DO4" s="53" t="s">
        <v>12</v>
      </c>
      <c r="DP4" s="53" t="s">
        <v>12</v>
      </c>
      <c r="DQ4" s="53" t="s">
        <v>12</v>
      </c>
      <c r="DR4" s="53" t="s">
        <v>12</v>
      </c>
      <c r="DS4" s="53" t="s">
        <v>13</v>
      </c>
      <c r="DT4" s="53" t="s">
        <v>13</v>
      </c>
      <c r="DU4" s="53" t="s">
        <v>13</v>
      </c>
      <c r="DV4" s="53" t="s">
        <v>13</v>
      </c>
      <c r="DW4" s="53" t="s">
        <v>13</v>
      </c>
      <c r="DX4" s="53" t="s">
        <v>13</v>
      </c>
      <c r="DY4" s="53" t="s">
        <v>13</v>
      </c>
      <c r="DZ4" s="53" t="s">
        <v>13</v>
      </c>
      <c r="EA4" s="53" t="s">
        <v>13</v>
      </c>
      <c r="EB4" s="53" t="s">
        <v>13</v>
      </c>
      <c r="EC4" s="53" t="s">
        <v>13</v>
      </c>
      <c r="ED4" s="53" t="s">
        <v>13</v>
      </c>
    </row>
    <row r="5" spans="2:135" ht="12.5" x14ac:dyDescent="0.25">
      <c r="C5" s="53"/>
      <c r="N5" s="53"/>
    </row>
    <row r="6" spans="2:135" ht="6.75" customHeight="1" x14ac:dyDescent="0.25">
      <c r="C6" s="53"/>
      <c r="N6" s="53"/>
    </row>
    <row r="7" spans="2:135" ht="13" x14ac:dyDescent="0.3">
      <c r="B7" s="38" t="s">
        <v>189</v>
      </c>
      <c r="C7" s="53"/>
      <c r="D7" s="38" t="e">
        <f>IF(AND(SUMIFS($O7:$BV7,$O$3:$BV$3,D$4)=0,D$11&lt;&gt;0),MAX(O7:BV7),SUMIFS($O7:$BV7,$O$3:$BV$3,D$4))</f>
        <v>#DIV/0!</v>
      </c>
      <c r="E7" s="38" t="e">
        <f t="shared" ref="E7:H7" si="2">IF(AND(SUMIFS($O7:$BV7,$O$3:$BV$3,E$4)=0,E$11&lt;&gt;0),MAX(P7:EE7),SUMIFS($O7:$BV7,$O$3:$BV$3,E$4))</f>
        <v>#DIV/0!</v>
      </c>
      <c r="F7" s="38" t="e">
        <f t="shared" si="2"/>
        <v>#DIV/0!</v>
      </c>
      <c r="G7" s="38" t="e">
        <f t="shared" si="2"/>
        <v>#DIV/0!</v>
      </c>
      <c r="H7" s="38" t="e">
        <f t="shared" si="2"/>
        <v>#DIV/0!</v>
      </c>
      <c r="I7" s="38" t="e">
        <f t="shared" ref="I7:M7" si="3">IF(AND(SUMIFS($O7:$ED7,$O$3:$ED$3,I$4)=0,I$11&lt;&gt;0),MAX(T7:EI7),SUMIFS($O7:$ED7,$O$3:$ED$3,I$4))</f>
        <v>#DIV/0!</v>
      </c>
      <c r="J7" s="38" t="e">
        <f t="shared" si="3"/>
        <v>#DIV/0!</v>
      </c>
      <c r="K7" s="38" t="e">
        <f t="shared" si="3"/>
        <v>#DIV/0!</v>
      </c>
      <c r="L7" s="38" t="e">
        <f t="shared" si="3"/>
        <v>#DIV/0!</v>
      </c>
      <c r="M7" s="38" t="e">
        <f t="shared" si="3"/>
        <v>#DIV/0!</v>
      </c>
      <c r="N7" s="53"/>
      <c r="O7" s="61" t="e">
        <f>IF(Simulador!$G$10=Simulador!$G$12,
    IF(AND(O$2&lt;=Simulador!$G$11,ROUNDUP(Simulador!$G$10/Simulador!$G$11*O$2,0)&lt;=Simulador!$G$12),
        ROUNDUP(Simulador!$G$10/Simulador!$G$11*O$2,0),
        IF(O$2&lt;=Simulador!$G$8,Simulador!$G$12,0)
    ),
    IF(O$2&lt;=Simulador!$G$11,
        IF(ROUNDUP(Simulador!$G$10/Simulador!$G$11*O$2,0)&lt;=Simulador!$G$12,
            ROUNDUP(Simulador!$G$10/Simulador!$G$11*O$2,0),
            0
        ),
        IF(ROUNDUP(Simulador!$G$10+(Simulador!$G$12-Simulador!$G$10)/(Simulador!$G$8-Simulador!$G$11)*(O$2-Simulador!$G$11),0)&lt;=Simulador!$G$12,
            IF(O$2&lt;=Simulador!$G$8,
                ROUNDUP(Simulador!$G$10+(Simulador!$G$12-Simulador!$G$10)/(Simulador!$G$8-Simulador!$G$11)*(O$2-Simulador!$G$11),0),
                0
            ),
            0
        )
    )
)</f>
        <v>#DIV/0!</v>
      </c>
      <c r="P7" s="61" t="e">
        <f>IF(Simulador!$G$10=Simulador!$G$12,
    IF(AND(P$2&lt;=Simulador!$G$11,ROUNDUP(Simulador!$G$10/Simulador!$G$11*P$2,0)&lt;=Simulador!$G$12),
        ROUNDUP(Simulador!$G$10/Simulador!$G$11*P$2,0),
        IF(P$2&lt;=Simulador!$G$8,Simulador!$G$12,0)
    ),
    IF(P$2&lt;=Simulador!$G$11,
        IF(ROUNDUP(Simulador!$G$10/Simulador!$G$11*P$2,0)&lt;=Simulador!$G$12,
            ROUNDUP(Simulador!$G$10/Simulador!$G$11*P$2,0),
            0
        ),
        IF(ROUNDUP(Simulador!$G$10+(Simulador!$G$12-Simulador!$G$10)/(Simulador!$G$8-Simulador!$G$11)*(P$2-Simulador!$G$11),0)&lt;=Simulador!$G$12,
            IF(P$2&lt;=Simulador!$G$8,
                ROUNDUP(Simulador!$G$10+(Simulador!$G$12-Simulador!$G$10)/(Simulador!$G$8-Simulador!$G$11)*(P$2-Simulador!$G$11),0),
                0
            ),
            0
        )
    )
)</f>
        <v>#DIV/0!</v>
      </c>
      <c r="Q7" s="61" t="e">
        <f>IF(Simulador!$G$10=Simulador!$G$12,
    IF(AND(Q$2&lt;=Simulador!$G$11,ROUNDUP(Simulador!$G$10/Simulador!$G$11*Q$2,0)&lt;=Simulador!$G$12),
        ROUNDUP(Simulador!$G$10/Simulador!$G$11*Q$2,0),
        IF(Q$2&lt;=Simulador!$G$8,Simulador!$G$12,0)
    ),
    IF(Q$2&lt;=Simulador!$G$11,
        IF(ROUNDUP(Simulador!$G$10/Simulador!$G$11*Q$2,0)&lt;=Simulador!$G$12,
            ROUNDUP(Simulador!$G$10/Simulador!$G$11*Q$2,0),
            0
        ),
        IF(ROUNDUP(Simulador!$G$10+(Simulador!$G$12-Simulador!$G$10)/(Simulador!$G$8-Simulador!$G$11)*(Q$2-Simulador!$G$11),0)&lt;=Simulador!$G$12,
            IF(Q$2&lt;=Simulador!$G$8,
                ROUNDUP(Simulador!$G$10+(Simulador!$G$12-Simulador!$G$10)/(Simulador!$G$8-Simulador!$G$11)*(Q$2-Simulador!$G$11),0),
                0
            ),
            0
        )
    )
)</f>
        <v>#DIV/0!</v>
      </c>
      <c r="R7" s="61" t="e">
        <f>IF(Simulador!$G$10=Simulador!$G$12,
    IF(AND(R$2&lt;=Simulador!$G$11,ROUNDUP(Simulador!$G$10/Simulador!$G$11*R$2,0)&lt;=Simulador!$G$12),
        ROUNDUP(Simulador!$G$10/Simulador!$G$11*R$2,0),
        IF(R$2&lt;=Simulador!$G$8,Simulador!$G$12,0)
    ),
    IF(R$2&lt;=Simulador!$G$11,
        IF(ROUNDUP(Simulador!$G$10/Simulador!$G$11*R$2,0)&lt;=Simulador!$G$12,
            ROUNDUP(Simulador!$G$10/Simulador!$G$11*R$2,0),
            0
        ),
        IF(ROUNDUP(Simulador!$G$10+(Simulador!$G$12-Simulador!$G$10)/(Simulador!$G$8-Simulador!$G$11)*(R$2-Simulador!$G$11),0)&lt;=Simulador!$G$12,
            IF(R$2&lt;=Simulador!$G$8,
                ROUNDUP(Simulador!$G$10+(Simulador!$G$12-Simulador!$G$10)/(Simulador!$G$8-Simulador!$G$11)*(R$2-Simulador!$G$11),0),
                0
            ),
            0
        )
    )
)</f>
        <v>#DIV/0!</v>
      </c>
      <c r="S7" s="61" t="e">
        <f>IF(Simulador!$G$10=Simulador!$G$12,
    IF(AND(S$2&lt;=Simulador!$G$11,ROUNDUP(Simulador!$G$10/Simulador!$G$11*S$2,0)&lt;=Simulador!$G$12),
        ROUNDUP(Simulador!$G$10/Simulador!$G$11*S$2,0),
        IF(S$2&lt;=Simulador!$G$8,Simulador!$G$12,0)
    ),
    IF(S$2&lt;=Simulador!$G$11,
        IF(ROUNDUP(Simulador!$G$10/Simulador!$G$11*S$2,0)&lt;=Simulador!$G$12,
            ROUNDUP(Simulador!$G$10/Simulador!$G$11*S$2,0),
            0
        ),
        IF(ROUNDUP(Simulador!$G$10+(Simulador!$G$12-Simulador!$G$10)/(Simulador!$G$8-Simulador!$G$11)*(S$2-Simulador!$G$11),0)&lt;=Simulador!$G$12,
            IF(S$2&lt;=Simulador!$G$8,
                ROUNDUP(Simulador!$G$10+(Simulador!$G$12-Simulador!$G$10)/(Simulador!$G$8-Simulador!$G$11)*(S$2-Simulador!$G$11),0),
                0
            ),
            0
        )
    )
)</f>
        <v>#DIV/0!</v>
      </c>
      <c r="T7" s="61" t="e">
        <f>IF(Simulador!$G$10=Simulador!$G$12,
    IF(AND(T$2&lt;=Simulador!$G$11,ROUNDUP(Simulador!$G$10/Simulador!$G$11*T$2,0)&lt;=Simulador!$G$12),
        ROUNDUP(Simulador!$G$10/Simulador!$G$11*T$2,0),
        IF(T$2&lt;=Simulador!$G$8,Simulador!$G$12,0)
    ),
    IF(T$2&lt;=Simulador!$G$11,
        IF(ROUNDUP(Simulador!$G$10/Simulador!$G$11*T$2,0)&lt;=Simulador!$G$12,
            ROUNDUP(Simulador!$G$10/Simulador!$G$11*T$2,0),
            0
        ),
        IF(ROUNDUP(Simulador!$G$10+(Simulador!$G$12-Simulador!$G$10)/(Simulador!$G$8-Simulador!$G$11)*(T$2-Simulador!$G$11),0)&lt;=Simulador!$G$12,
            IF(T$2&lt;=Simulador!$G$8,
                ROUNDUP(Simulador!$G$10+(Simulador!$G$12-Simulador!$G$10)/(Simulador!$G$8-Simulador!$G$11)*(T$2-Simulador!$G$11),0),
                0
            ),
            0
        )
    )
)</f>
        <v>#DIV/0!</v>
      </c>
      <c r="U7" s="61" t="e">
        <f>IF(Simulador!$G$10=Simulador!$G$12,
    IF(AND(U$2&lt;=Simulador!$G$11,ROUNDUP(Simulador!$G$10/Simulador!$G$11*U$2,0)&lt;=Simulador!$G$12),
        ROUNDUP(Simulador!$G$10/Simulador!$G$11*U$2,0),
        IF(U$2&lt;=Simulador!$G$8,Simulador!$G$12,0)
    ),
    IF(U$2&lt;=Simulador!$G$11,
        IF(ROUNDUP(Simulador!$G$10/Simulador!$G$11*U$2,0)&lt;=Simulador!$G$12,
            ROUNDUP(Simulador!$G$10/Simulador!$G$11*U$2,0),
            0
        ),
        IF(ROUNDUP(Simulador!$G$10+(Simulador!$G$12-Simulador!$G$10)/(Simulador!$G$8-Simulador!$G$11)*(U$2-Simulador!$G$11),0)&lt;=Simulador!$G$12,
            IF(U$2&lt;=Simulador!$G$8,
                ROUNDUP(Simulador!$G$10+(Simulador!$G$12-Simulador!$G$10)/(Simulador!$G$8-Simulador!$G$11)*(U$2-Simulador!$G$11),0),
                0
            ),
            0
        )
    )
)</f>
        <v>#DIV/0!</v>
      </c>
      <c r="V7" s="61" t="e">
        <f>IF(Simulador!$G$10=Simulador!$G$12,
    IF(AND(V$2&lt;=Simulador!$G$11,ROUNDUP(Simulador!$G$10/Simulador!$G$11*V$2,0)&lt;=Simulador!$G$12),
        ROUNDUP(Simulador!$G$10/Simulador!$G$11*V$2,0),
        IF(V$2&lt;=Simulador!$G$8,Simulador!$G$12,0)
    ),
    IF(V$2&lt;=Simulador!$G$11,
        IF(ROUNDUP(Simulador!$G$10/Simulador!$G$11*V$2,0)&lt;=Simulador!$G$12,
            ROUNDUP(Simulador!$G$10/Simulador!$G$11*V$2,0),
            0
        ),
        IF(ROUNDUP(Simulador!$G$10+(Simulador!$G$12-Simulador!$G$10)/(Simulador!$G$8-Simulador!$G$11)*(V$2-Simulador!$G$11),0)&lt;=Simulador!$G$12,
            IF(V$2&lt;=Simulador!$G$8,
                ROUNDUP(Simulador!$G$10+(Simulador!$G$12-Simulador!$G$10)/(Simulador!$G$8-Simulador!$G$11)*(V$2-Simulador!$G$11),0),
                0
            ),
            0
        )
    )
)</f>
        <v>#DIV/0!</v>
      </c>
      <c r="W7" s="61" t="e">
        <f>IF(Simulador!$G$10=Simulador!$G$12,
    IF(AND(W$2&lt;=Simulador!$G$11,ROUNDUP(Simulador!$G$10/Simulador!$G$11*W$2,0)&lt;=Simulador!$G$12),
        ROUNDUP(Simulador!$G$10/Simulador!$G$11*W$2,0),
        IF(W$2&lt;=Simulador!$G$8,Simulador!$G$12,0)
    ),
    IF(W$2&lt;=Simulador!$G$11,
        IF(ROUNDUP(Simulador!$G$10/Simulador!$G$11*W$2,0)&lt;=Simulador!$G$12,
            ROUNDUP(Simulador!$G$10/Simulador!$G$11*W$2,0),
            0
        ),
        IF(ROUNDUP(Simulador!$G$10+(Simulador!$G$12-Simulador!$G$10)/(Simulador!$G$8-Simulador!$G$11)*(W$2-Simulador!$G$11),0)&lt;=Simulador!$G$12,
            IF(W$2&lt;=Simulador!$G$8,
                ROUNDUP(Simulador!$G$10+(Simulador!$G$12-Simulador!$G$10)/(Simulador!$G$8-Simulador!$G$11)*(W$2-Simulador!$G$11),0),
                0
            ),
            0
        )
    )
)</f>
        <v>#DIV/0!</v>
      </c>
      <c r="X7" s="61" t="e">
        <f>IF(Simulador!$G$10=Simulador!$G$12,
    IF(AND(X$2&lt;=Simulador!$G$11,ROUNDUP(Simulador!$G$10/Simulador!$G$11*X$2,0)&lt;=Simulador!$G$12),
        ROUNDUP(Simulador!$G$10/Simulador!$G$11*X$2,0),
        IF(X$2&lt;=Simulador!$G$8,Simulador!$G$12,0)
    ),
    IF(X$2&lt;=Simulador!$G$11,
        IF(ROUNDUP(Simulador!$G$10/Simulador!$G$11*X$2,0)&lt;=Simulador!$G$12,
            ROUNDUP(Simulador!$G$10/Simulador!$G$11*X$2,0),
            0
        ),
        IF(ROUNDUP(Simulador!$G$10+(Simulador!$G$12-Simulador!$G$10)/(Simulador!$G$8-Simulador!$G$11)*(X$2-Simulador!$G$11),0)&lt;=Simulador!$G$12,
            IF(X$2&lt;=Simulador!$G$8,
                ROUNDUP(Simulador!$G$10+(Simulador!$G$12-Simulador!$G$10)/(Simulador!$G$8-Simulador!$G$11)*(X$2-Simulador!$G$11),0),
                0
            ),
            0
        )
    )
)</f>
        <v>#DIV/0!</v>
      </c>
      <c r="Y7" s="61" t="e">
        <f>IF(Simulador!$G$10=Simulador!$G$12,
    IF(AND(Y$2&lt;=Simulador!$G$11,ROUNDUP(Simulador!$G$10/Simulador!$G$11*Y$2,0)&lt;=Simulador!$G$12),
        ROUNDUP(Simulador!$G$10/Simulador!$G$11*Y$2,0),
        IF(Y$2&lt;=Simulador!$G$8,Simulador!$G$12,0)
    ),
    IF(Y$2&lt;=Simulador!$G$11,
        IF(ROUNDUP(Simulador!$G$10/Simulador!$G$11*Y$2,0)&lt;=Simulador!$G$12,
            ROUNDUP(Simulador!$G$10/Simulador!$G$11*Y$2,0),
            0
        ),
        IF(ROUNDUP(Simulador!$G$10+(Simulador!$G$12-Simulador!$G$10)/(Simulador!$G$8-Simulador!$G$11)*(Y$2-Simulador!$G$11),0)&lt;=Simulador!$G$12,
            IF(Y$2&lt;=Simulador!$G$8,
                ROUNDUP(Simulador!$G$10+(Simulador!$G$12-Simulador!$G$10)/(Simulador!$G$8-Simulador!$G$11)*(Y$2-Simulador!$G$11),0),
                0
            ),
            0
        )
    )
)</f>
        <v>#DIV/0!</v>
      </c>
      <c r="Z7" s="61" t="e">
        <f>IF(Simulador!$G$10=Simulador!$G$12,
    IF(AND(Z$2&lt;=Simulador!$G$11,ROUNDUP(Simulador!$G$10/Simulador!$G$11*Z$2,0)&lt;=Simulador!$G$12),
        ROUNDUP(Simulador!$G$10/Simulador!$G$11*Z$2,0),
        IF(Z$2&lt;=Simulador!$G$8,Simulador!$G$12,0)
    ),
    IF(Z$2&lt;=Simulador!$G$11,
        IF(ROUNDUP(Simulador!$G$10/Simulador!$G$11*Z$2,0)&lt;=Simulador!$G$12,
            ROUNDUP(Simulador!$G$10/Simulador!$G$11*Z$2,0),
            0
        ),
        IF(ROUNDUP(Simulador!$G$10+(Simulador!$G$12-Simulador!$G$10)/(Simulador!$G$8-Simulador!$G$11)*(Z$2-Simulador!$G$11),0)&lt;=Simulador!$G$12,
            IF(Z$2&lt;=Simulador!$G$8,
                ROUNDUP(Simulador!$G$10+(Simulador!$G$12-Simulador!$G$10)/(Simulador!$G$8-Simulador!$G$11)*(Z$2-Simulador!$G$11),0),
                0
            ),
            0
        )
    )
)</f>
        <v>#DIV/0!</v>
      </c>
      <c r="AA7" s="61" t="e">
        <f>IF(Simulador!$G$10=Simulador!$G$12,
    IF(AND(AA$2&lt;=Simulador!$G$11,ROUNDUP(Simulador!$G$10/Simulador!$G$11*AA$2,0)&lt;=Simulador!$G$12),
        ROUNDUP(Simulador!$G$10/Simulador!$G$11*AA$2,0),
        IF(AA$2&lt;=Simulador!$G$8,Simulador!$G$12,0)
    ),
    IF(AA$2&lt;=Simulador!$G$11,
        IF(ROUNDUP(Simulador!$G$10/Simulador!$G$11*AA$2,0)&lt;=Simulador!$G$12,
            ROUNDUP(Simulador!$G$10/Simulador!$G$11*AA$2,0),
            0
        ),
        IF(ROUNDUP(Simulador!$G$10+(Simulador!$G$12-Simulador!$G$10)/(Simulador!$G$8-Simulador!$G$11)*(AA$2-Simulador!$G$11),0)&lt;=Simulador!$G$12,
            IF(AA$2&lt;=Simulador!$G$8,
                ROUNDUP(Simulador!$G$10+(Simulador!$G$12-Simulador!$G$10)/(Simulador!$G$8-Simulador!$G$11)*(AA$2-Simulador!$G$11),0),
                0
            ),
            0
        )
    )
)</f>
        <v>#DIV/0!</v>
      </c>
      <c r="AB7" s="61" t="e">
        <f>IF(Simulador!$G$10=Simulador!$G$12,
    IF(AND(AB$2&lt;=Simulador!$G$11,ROUNDUP(Simulador!$G$10/Simulador!$G$11*AB$2,0)&lt;=Simulador!$G$12),
        ROUNDUP(Simulador!$G$10/Simulador!$G$11*AB$2,0),
        IF(AB$2&lt;=Simulador!$G$8,Simulador!$G$12,0)
    ),
    IF(AB$2&lt;=Simulador!$G$11,
        IF(ROUNDUP(Simulador!$G$10/Simulador!$G$11*AB$2,0)&lt;=Simulador!$G$12,
            ROUNDUP(Simulador!$G$10/Simulador!$G$11*AB$2,0),
            0
        ),
        IF(ROUNDUP(Simulador!$G$10+(Simulador!$G$12-Simulador!$G$10)/(Simulador!$G$8-Simulador!$G$11)*(AB$2-Simulador!$G$11),0)&lt;=Simulador!$G$12,
            IF(AB$2&lt;=Simulador!$G$8,
                ROUNDUP(Simulador!$G$10+(Simulador!$G$12-Simulador!$G$10)/(Simulador!$G$8-Simulador!$G$11)*(AB$2-Simulador!$G$11),0),
                0
            ),
            0
        )
    )
)</f>
        <v>#DIV/0!</v>
      </c>
      <c r="AC7" s="61" t="e">
        <f>IF(Simulador!$G$10=Simulador!$G$12,
    IF(AND(AC$2&lt;=Simulador!$G$11,ROUNDUP(Simulador!$G$10/Simulador!$G$11*AC$2,0)&lt;=Simulador!$G$12),
        ROUNDUP(Simulador!$G$10/Simulador!$G$11*AC$2,0),
        IF(AC$2&lt;=Simulador!$G$8,Simulador!$G$12,0)
    ),
    IF(AC$2&lt;=Simulador!$G$11,
        IF(ROUNDUP(Simulador!$G$10/Simulador!$G$11*AC$2,0)&lt;=Simulador!$G$12,
            ROUNDUP(Simulador!$G$10/Simulador!$G$11*AC$2,0),
            0
        ),
        IF(ROUNDUP(Simulador!$G$10+(Simulador!$G$12-Simulador!$G$10)/(Simulador!$G$8-Simulador!$G$11)*(AC$2-Simulador!$G$11),0)&lt;=Simulador!$G$12,
            IF(AC$2&lt;=Simulador!$G$8,
                ROUNDUP(Simulador!$G$10+(Simulador!$G$12-Simulador!$G$10)/(Simulador!$G$8-Simulador!$G$11)*(AC$2-Simulador!$G$11),0),
                0
            ),
            0
        )
    )
)</f>
        <v>#DIV/0!</v>
      </c>
      <c r="AD7" s="61" t="e">
        <f>IF(Simulador!$G$10=Simulador!$G$12,
    IF(AND(AD$2&lt;=Simulador!$G$11,ROUNDUP(Simulador!$G$10/Simulador!$G$11*AD$2,0)&lt;=Simulador!$G$12),
        ROUNDUP(Simulador!$G$10/Simulador!$G$11*AD$2,0),
        IF(AD$2&lt;=Simulador!$G$8,Simulador!$G$12,0)
    ),
    IF(AD$2&lt;=Simulador!$G$11,
        IF(ROUNDUP(Simulador!$G$10/Simulador!$G$11*AD$2,0)&lt;=Simulador!$G$12,
            ROUNDUP(Simulador!$G$10/Simulador!$G$11*AD$2,0),
            0
        ),
        IF(ROUNDUP(Simulador!$G$10+(Simulador!$G$12-Simulador!$G$10)/(Simulador!$G$8-Simulador!$G$11)*(AD$2-Simulador!$G$11),0)&lt;=Simulador!$G$12,
            IF(AD$2&lt;=Simulador!$G$8,
                ROUNDUP(Simulador!$G$10+(Simulador!$G$12-Simulador!$G$10)/(Simulador!$G$8-Simulador!$G$11)*(AD$2-Simulador!$G$11),0),
                0
            ),
            0
        )
    )
)</f>
        <v>#DIV/0!</v>
      </c>
      <c r="AE7" s="61" t="e">
        <f>IF(Simulador!$G$10=Simulador!$G$12,
    IF(AND(AE$2&lt;=Simulador!$G$11,ROUNDUP(Simulador!$G$10/Simulador!$G$11*AE$2,0)&lt;=Simulador!$G$12),
        ROUNDUP(Simulador!$G$10/Simulador!$G$11*AE$2,0),
        IF(AE$2&lt;=Simulador!$G$8,Simulador!$G$12,0)
    ),
    IF(AE$2&lt;=Simulador!$G$11,
        IF(ROUNDUP(Simulador!$G$10/Simulador!$G$11*AE$2,0)&lt;=Simulador!$G$12,
            ROUNDUP(Simulador!$G$10/Simulador!$G$11*AE$2,0),
            0
        ),
        IF(ROUNDUP(Simulador!$G$10+(Simulador!$G$12-Simulador!$G$10)/(Simulador!$G$8-Simulador!$G$11)*(AE$2-Simulador!$G$11),0)&lt;=Simulador!$G$12,
            IF(AE$2&lt;=Simulador!$G$8,
                ROUNDUP(Simulador!$G$10+(Simulador!$G$12-Simulador!$G$10)/(Simulador!$G$8-Simulador!$G$11)*(AE$2-Simulador!$G$11),0),
                0
            ),
            0
        )
    )
)</f>
        <v>#DIV/0!</v>
      </c>
      <c r="AF7" s="61" t="e">
        <f>IF(Simulador!$G$10=Simulador!$G$12,
    IF(AND(AF$2&lt;=Simulador!$G$11,ROUNDUP(Simulador!$G$10/Simulador!$G$11*AF$2,0)&lt;=Simulador!$G$12),
        ROUNDUP(Simulador!$G$10/Simulador!$G$11*AF$2,0),
        IF(AF$2&lt;=Simulador!$G$8,Simulador!$G$12,0)
    ),
    IF(AF$2&lt;=Simulador!$G$11,
        IF(ROUNDUP(Simulador!$G$10/Simulador!$G$11*AF$2,0)&lt;=Simulador!$G$12,
            ROUNDUP(Simulador!$G$10/Simulador!$G$11*AF$2,0),
            0
        ),
        IF(ROUNDUP(Simulador!$G$10+(Simulador!$G$12-Simulador!$G$10)/(Simulador!$G$8-Simulador!$G$11)*(AF$2-Simulador!$G$11),0)&lt;=Simulador!$G$12,
            IF(AF$2&lt;=Simulador!$G$8,
                ROUNDUP(Simulador!$G$10+(Simulador!$G$12-Simulador!$G$10)/(Simulador!$G$8-Simulador!$G$11)*(AF$2-Simulador!$G$11),0),
                0
            ),
            0
        )
    )
)</f>
        <v>#DIV/0!</v>
      </c>
      <c r="AG7" s="61" t="e">
        <f>IF(Simulador!$G$10=Simulador!$G$12,
    IF(AND(AG$2&lt;=Simulador!$G$11,ROUNDUP(Simulador!$G$10/Simulador!$G$11*AG$2,0)&lt;=Simulador!$G$12),
        ROUNDUP(Simulador!$G$10/Simulador!$G$11*AG$2,0),
        IF(AG$2&lt;=Simulador!$G$8,Simulador!$G$12,0)
    ),
    IF(AG$2&lt;=Simulador!$G$11,
        IF(ROUNDUP(Simulador!$G$10/Simulador!$G$11*AG$2,0)&lt;=Simulador!$G$12,
            ROUNDUP(Simulador!$G$10/Simulador!$G$11*AG$2,0),
            0
        ),
        IF(ROUNDUP(Simulador!$G$10+(Simulador!$G$12-Simulador!$G$10)/(Simulador!$G$8-Simulador!$G$11)*(AG$2-Simulador!$G$11),0)&lt;=Simulador!$G$12,
            IF(AG$2&lt;=Simulador!$G$8,
                ROUNDUP(Simulador!$G$10+(Simulador!$G$12-Simulador!$G$10)/(Simulador!$G$8-Simulador!$G$11)*(AG$2-Simulador!$G$11),0),
                0
            ),
            0
        )
    )
)</f>
        <v>#DIV/0!</v>
      </c>
      <c r="AH7" s="61" t="e">
        <f>IF(Simulador!$G$10=Simulador!$G$12,
    IF(AND(AH$2&lt;=Simulador!$G$11,ROUNDUP(Simulador!$G$10/Simulador!$G$11*AH$2,0)&lt;=Simulador!$G$12),
        ROUNDUP(Simulador!$G$10/Simulador!$G$11*AH$2,0),
        IF(AH$2&lt;=Simulador!$G$8,Simulador!$G$12,0)
    ),
    IF(AH$2&lt;=Simulador!$G$11,
        IF(ROUNDUP(Simulador!$G$10/Simulador!$G$11*AH$2,0)&lt;=Simulador!$G$12,
            ROUNDUP(Simulador!$G$10/Simulador!$G$11*AH$2,0),
            0
        ),
        IF(ROUNDUP(Simulador!$G$10+(Simulador!$G$12-Simulador!$G$10)/(Simulador!$G$8-Simulador!$G$11)*(AH$2-Simulador!$G$11),0)&lt;=Simulador!$G$12,
            IF(AH$2&lt;=Simulador!$G$8,
                ROUNDUP(Simulador!$G$10+(Simulador!$G$12-Simulador!$G$10)/(Simulador!$G$8-Simulador!$G$11)*(AH$2-Simulador!$G$11),0),
                0
            ),
            0
        )
    )
)</f>
        <v>#DIV/0!</v>
      </c>
      <c r="AI7" s="61" t="e">
        <f>IF(Simulador!$G$10=Simulador!$G$12,
    IF(AND(AI$2&lt;=Simulador!$G$11,ROUNDUP(Simulador!$G$10/Simulador!$G$11*AI$2,0)&lt;=Simulador!$G$12),
        ROUNDUP(Simulador!$G$10/Simulador!$G$11*AI$2,0),
        IF(AI$2&lt;=Simulador!$G$8,Simulador!$G$12,0)
    ),
    IF(AI$2&lt;=Simulador!$G$11,
        IF(ROUNDUP(Simulador!$G$10/Simulador!$G$11*AI$2,0)&lt;=Simulador!$G$12,
            ROUNDUP(Simulador!$G$10/Simulador!$G$11*AI$2,0),
            0
        ),
        IF(ROUNDUP(Simulador!$G$10+(Simulador!$G$12-Simulador!$G$10)/(Simulador!$G$8-Simulador!$G$11)*(AI$2-Simulador!$G$11),0)&lt;=Simulador!$G$12,
            IF(AI$2&lt;=Simulador!$G$8,
                ROUNDUP(Simulador!$G$10+(Simulador!$G$12-Simulador!$G$10)/(Simulador!$G$8-Simulador!$G$11)*(AI$2-Simulador!$G$11),0),
                0
            ),
            0
        )
    )
)</f>
        <v>#DIV/0!</v>
      </c>
      <c r="AJ7" s="61" t="e">
        <f>IF(Simulador!$G$10=Simulador!$G$12,
    IF(AND(AJ$2&lt;=Simulador!$G$11,ROUNDUP(Simulador!$G$10/Simulador!$G$11*AJ$2,0)&lt;=Simulador!$G$12),
        ROUNDUP(Simulador!$G$10/Simulador!$G$11*AJ$2,0),
        IF(AJ$2&lt;=Simulador!$G$8,Simulador!$G$12,0)
    ),
    IF(AJ$2&lt;=Simulador!$G$11,
        IF(ROUNDUP(Simulador!$G$10/Simulador!$G$11*AJ$2,0)&lt;=Simulador!$G$12,
            ROUNDUP(Simulador!$G$10/Simulador!$G$11*AJ$2,0),
            0
        ),
        IF(ROUNDUP(Simulador!$G$10+(Simulador!$G$12-Simulador!$G$10)/(Simulador!$G$8-Simulador!$G$11)*(AJ$2-Simulador!$G$11),0)&lt;=Simulador!$G$12,
            IF(AJ$2&lt;=Simulador!$G$8,
                ROUNDUP(Simulador!$G$10+(Simulador!$G$12-Simulador!$G$10)/(Simulador!$G$8-Simulador!$G$11)*(AJ$2-Simulador!$G$11),0),
                0
            ),
            0
        )
    )
)</f>
        <v>#DIV/0!</v>
      </c>
      <c r="AK7" s="61" t="e">
        <f>IF(Simulador!$G$10=Simulador!$G$12,
    IF(AND(AK$2&lt;=Simulador!$G$11,ROUNDUP(Simulador!$G$10/Simulador!$G$11*AK$2,0)&lt;=Simulador!$G$12),
        ROUNDUP(Simulador!$G$10/Simulador!$G$11*AK$2,0),
        IF(AK$2&lt;=Simulador!$G$8,Simulador!$G$12,0)
    ),
    IF(AK$2&lt;=Simulador!$G$11,
        IF(ROUNDUP(Simulador!$G$10/Simulador!$G$11*AK$2,0)&lt;=Simulador!$G$12,
            ROUNDUP(Simulador!$G$10/Simulador!$G$11*AK$2,0),
            0
        ),
        IF(ROUNDUP(Simulador!$G$10+(Simulador!$G$12-Simulador!$G$10)/(Simulador!$G$8-Simulador!$G$11)*(AK$2-Simulador!$G$11),0)&lt;=Simulador!$G$12,
            IF(AK$2&lt;=Simulador!$G$8,
                ROUNDUP(Simulador!$G$10+(Simulador!$G$12-Simulador!$G$10)/(Simulador!$G$8-Simulador!$G$11)*(AK$2-Simulador!$G$11),0),
                0
            ),
            0
        )
    )
)</f>
        <v>#DIV/0!</v>
      </c>
      <c r="AL7" s="61" t="e">
        <f>IF(Simulador!$G$10=Simulador!$G$12,
    IF(AND(AL$2&lt;=Simulador!$G$11,ROUNDUP(Simulador!$G$10/Simulador!$G$11*AL$2,0)&lt;=Simulador!$G$12),
        ROUNDUP(Simulador!$G$10/Simulador!$G$11*AL$2,0),
        IF(AL$2&lt;=Simulador!$G$8,Simulador!$G$12,0)
    ),
    IF(AL$2&lt;=Simulador!$G$11,
        IF(ROUNDUP(Simulador!$G$10/Simulador!$G$11*AL$2,0)&lt;=Simulador!$G$12,
            ROUNDUP(Simulador!$G$10/Simulador!$G$11*AL$2,0),
            0
        ),
        IF(ROUNDUP(Simulador!$G$10+(Simulador!$G$12-Simulador!$G$10)/(Simulador!$G$8-Simulador!$G$11)*(AL$2-Simulador!$G$11),0)&lt;=Simulador!$G$12,
            IF(AL$2&lt;=Simulador!$G$8,
                ROUNDUP(Simulador!$G$10+(Simulador!$G$12-Simulador!$G$10)/(Simulador!$G$8-Simulador!$G$11)*(AL$2-Simulador!$G$11),0),
                0
            ),
            0
        )
    )
)</f>
        <v>#DIV/0!</v>
      </c>
      <c r="AM7" s="61" t="e">
        <f>IF(Simulador!$G$10=Simulador!$G$12,
    IF(AND(AM$2&lt;=Simulador!$G$11,ROUNDUP(Simulador!$G$10/Simulador!$G$11*AM$2,0)&lt;=Simulador!$G$12),
        ROUNDUP(Simulador!$G$10/Simulador!$G$11*AM$2,0),
        IF(AM$2&lt;=Simulador!$G$8,Simulador!$G$12,0)
    ),
    IF(AM$2&lt;=Simulador!$G$11,
        IF(ROUNDUP(Simulador!$G$10/Simulador!$G$11*AM$2,0)&lt;=Simulador!$G$12,
            ROUNDUP(Simulador!$G$10/Simulador!$G$11*AM$2,0),
            0
        ),
        IF(ROUNDUP(Simulador!$G$10+(Simulador!$G$12-Simulador!$G$10)/(Simulador!$G$8-Simulador!$G$11)*(AM$2-Simulador!$G$11),0)&lt;=Simulador!$G$12,
            IF(AM$2&lt;=Simulador!$G$8,
                ROUNDUP(Simulador!$G$10+(Simulador!$G$12-Simulador!$G$10)/(Simulador!$G$8-Simulador!$G$11)*(AM$2-Simulador!$G$11),0),
                0
            ),
            0
        )
    )
)</f>
        <v>#DIV/0!</v>
      </c>
      <c r="AN7" s="61" t="e">
        <f>IF(Simulador!$G$10=Simulador!$G$12,
    IF(AND(AN$2&lt;=Simulador!$G$11,ROUNDUP(Simulador!$G$10/Simulador!$G$11*AN$2,0)&lt;=Simulador!$G$12),
        ROUNDUP(Simulador!$G$10/Simulador!$G$11*AN$2,0),
        IF(AN$2&lt;=Simulador!$G$8,Simulador!$G$12,0)
    ),
    IF(AN$2&lt;=Simulador!$G$11,
        IF(ROUNDUP(Simulador!$G$10/Simulador!$G$11*AN$2,0)&lt;=Simulador!$G$12,
            ROUNDUP(Simulador!$G$10/Simulador!$G$11*AN$2,0),
            0
        ),
        IF(ROUNDUP(Simulador!$G$10+(Simulador!$G$12-Simulador!$G$10)/(Simulador!$G$8-Simulador!$G$11)*(AN$2-Simulador!$G$11),0)&lt;=Simulador!$G$12,
            IF(AN$2&lt;=Simulador!$G$8,
                ROUNDUP(Simulador!$G$10+(Simulador!$G$12-Simulador!$G$10)/(Simulador!$G$8-Simulador!$G$11)*(AN$2-Simulador!$G$11),0),
                0
            ),
            0
        )
    )
)</f>
        <v>#DIV/0!</v>
      </c>
      <c r="AO7" s="61" t="e">
        <f>IF(Simulador!$G$10=Simulador!$G$12,
    IF(AND(AO$2&lt;=Simulador!$G$11,ROUNDUP(Simulador!$G$10/Simulador!$G$11*AO$2,0)&lt;=Simulador!$G$12),
        ROUNDUP(Simulador!$G$10/Simulador!$G$11*AO$2,0),
        IF(AO$2&lt;=Simulador!$G$8,Simulador!$G$12,0)
    ),
    IF(AO$2&lt;=Simulador!$G$11,
        IF(ROUNDUP(Simulador!$G$10/Simulador!$G$11*AO$2,0)&lt;=Simulador!$G$12,
            ROUNDUP(Simulador!$G$10/Simulador!$G$11*AO$2,0),
            0
        ),
        IF(ROUNDUP(Simulador!$G$10+(Simulador!$G$12-Simulador!$G$10)/(Simulador!$G$8-Simulador!$G$11)*(AO$2-Simulador!$G$11),0)&lt;=Simulador!$G$12,
            IF(AO$2&lt;=Simulador!$G$8,
                ROUNDUP(Simulador!$G$10+(Simulador!$G$12-Simulador!$G$10)/(Simulador!$G$8-Simulador!$G$11)*(AO$2-Simulador!$G$11),0),
                0
            ),
            0
        )
    )
)</f>
        <v>#DIV/0!</v>
      </c>
      <c r="AP7" s="61" t="e">
        <f>IF(Simulador!$G$10=Simulador!$G$12,
    IF(AND(AP$2&lt;=Simulador!$G$11,ROUNDUP(Simulador!$G$10/Simulador!$G$11*AP$2,0)&lt;=Simulador!$G$12),
        ROUNDUP(Simulador!$G$10/Simulador!$G$11*AP$2,0),
        IF(AP$2&lt;=Simulador!$G$8,Simulador!$G$12,0)
    ),
    IF(AP$2&lt;=Simulador!$G$11,
        IF(ROUNDUP(Simulador!$G$10/Simulador!$G$11*AP$2,0)&lt;=Simulador!$G$12,
            ROUNDUP(Simulador!$G$10/Simulador!$G$11*AP$2,0),
            0
        ),
        IF(ROUNDUP(Simulador!$G$10+(Simulador!$G$12-Simulador!$G$10)/(Simulador!$G$8-Simulador!$G$11)*(AP$2-Simulador!$G$11),0)&lt;=Simulador!$G$12,
            IF(AP$2&lt;=Simulador!$G$8,
                ROUNDUP(Simulador!$G$10+(Simulador!$G$12-Simulador!$G$10)/(Simulador!$G$8-Simulador!$G$11)*(AP$2-Simulador!$G$11),0),
                0
            ),
            0
        )
    )
)</f>
        <v>#DIV/0!</v>
      </c>
      <c r="AQ7" s="61" t="e">
        <f>IF(Simulador!$G$10=Simulador!$G$12,
    IF(AND(AQ$2&lt;=Simulador!$G$11,ROUNDUP(Simulador!$G$10/Simulador!$G$11*AQ$2,0)&lt;=Simulador!$G$12),
        ROUNDUP(Simulador!$G$10/Simulador!$G$11*AQ$2,0),
        IF(AQ$2&lt;=Simulador!$G$8,Simulador!$G$12,0)
    ),
    IF(AQ$2&lt;=Simulador!$G$11,
        IF(ROUNDUP(Simulador!$G$10/Simulador!$G$11*AQ$2,0)&lt;=Simulador!$G$12,
            ROUNDUP(Simulador!$G$10/Simulador!$G$11*AQ$2,0),
            0
        ),
        IF(ROUNDUP(Simulador!$G$10+(Simulador!$G$12-Simulador!$G$10)/(Simulador!$G$8-Simulador!$G$11)*(AQ$2-Simulador!$G$11),0)&lt;=Simulador!$G$12,
            IF(AQ$2&lt;=Simulador!$G$8,
                ROUNDUP(Simulador!$G$10+(Simulador!$G$12-Simulador!$G$10)/(Simulador!$G$8-Simulador!$G$11)*(AQ$2-Simulador!$G$11),0),
                0
            ),
            0
        )
    )
)</f>
        <v>#DIV/0!</v>
      </c>
      <c r="AR7" s="61" t="e">
        <f>IF(Simulador!$G$10=Simulador!$G$12,
    IF(AND(AR$2&lt;=Simulador!$G$11,ROUNDUP(Simulador!$G$10/Simulador!$G$11*AR$2,0)&lt;=Simulador!$G$12),
        ROUNDUP(Simulador!$G$10/Simulador!$G$11*AR$2,0),
        IF(AR$2&lt;=Simulador!$G$8,Simulador!$G$12,0)
    ),
    IF(AR$2&lt;=Simulador!$G$11,
        IF(ROUNDUP(Simulador!$G$10/Simulador!$G$11*AR$2,0)&lt;=Simulador!$G$12,
            ROUNDUP(Simulador!$G$10/Simulador!$G$11*AR$2,0),
            0
        ),
        IF(ROUNDUP(Simulador!$G$10+(Simulador!$G$12-Simulador!$G$10)/(Simulador!$G$8-Simulador!$G$11)*(AR$2-Simulador!$G$11),0)&lt;=Simulador!$G$12,
            IF(AR$2&lt;=Simulador!$G$8,
                ROUNDUP(Simulador!$G$10+(Simulador!$G$12-Simulador!$G$10)/(Simulador!$G$8-Simulador!$G$11)*(AR$2-Simulador!$G$11),0),
                0
            ),
            0
        )
    )
)</f>
        <v>#DIV/0!</v>
      </c>
      <c r="AS7" s="61" t="e">
        <f>IF(Simulador!$G$10=Simulador!$G$12,
    IF(AND(AS$2&lt;=Simulador!$G$11,ROUNDUP(Simulador!$G$10/Simulador!$G$11*AS$2,0)&lt;=Simulador!$G$12),
        ROUNDUP(Simulador!$G$10/Simulador!$G$11*AS$2,0),
        IF(AS$2&lt;=Simulador!$G$8,Simulador!$G$12,0)
    ),
    IF(AS$2&lt;=Simulador!$G$11,
        IF(ROUNDUP(Simulador!$G$10/Simulador!$G$11*AS$2,0)&lt;=Simulador!$G$12,
            ROUNDUP(Simulador!$G$10/Simulador!$G$11*AS$2,0),
            0
        ),
        IF(ROUNDUP(Simulador!$G$10+(Simulador!$G$12-Simulador!$G$10)/(Simulador!$G$8-Simulador!$G$11)*(AS$2-Simulador!$G$11),0)&lt;=Simulador!$G$12,
            IF(AS$2&lt;=Simulador!$G$8,
                ROUNDUP(Simulador!$G$10+(Simulador!$G$12-Simulador!$G$10)/(Simulador!$G$8-Simulador!$G$11)*(AS$2-Simulador!$G$11),0),
                0
            ),
            0
        )
    )
)</f>
        <v>#DIV/0!</v>
      </c>
      <c r="AT7" s="61" t="e">
        <f>IF(Simulador!$G$10=Simulador!$G$12,
    IF(AND(AT$2&lt;=Simulador!$G$11,ROUNDUP(Simulador!$G$10/Simulador!$G$11*AT$2,0)&lt;=Simulador!$G$12),
        ROUNDUP(Simulador!$G$10/Simulador!$G$11*AT$2,0),
        IF(AT$2&lt;=Simulador!$G$8,Simulador!$G$12,0)
    ),
    IF(AT$2&lt;=Simulador!$G$11,
        IF(ROUNDUP(Simulador!$G$10/Simulador!$G$11*AT$2,0)&lt;=Simulador!$G$12,
            ROUNDUP(Simulador!$G$10/Simulador!$G$11*AT$2,0),
            0
        ),
        IF(ROUNDUP(Simulador!$G$10+(Simulador!$G$12-Simulador!$G$10)/(Simulador!$G$8-Simulador!$G$11)*(AT$2-Simulador!$G$11),0)&lt;=Simulador!$G$12,
            IF(AT$2&lt;=Simulador!$G$8,
                ROUNDUP(Simulador!$G$10+(Simulador!$G$12-Simulador!$G$10)/(Simulador!$G$8-Simulador!$G$11)*(AT$2-Simulador!$G$11),0),
                0
            ),
            0
        )
    )
)</f>
        <v>#DIV/0!</v>
      </c>
      <c r="AU7" s="61" t="e">
        <f>IF(Simulador!$G$10=Simulador!$G$12,
    IF(AND(AU$2&lt;=Simulador!$G$11,ROUNDUP(Simulador!$G$10/Simulador!$G$11*AU$2,0)&lt;=Simulador!$G$12),
        ROUNDUP(Simulador!$G$10/Simulador!$G$11*AU$2,0),
        IF(AU$2&lt;=Simulador!$G$8,Simulador!$G$12,0)
    ),
    IF(AU$2&lt;=Simulador!$G$11,
        IF(ROUNDUP(Simulador!$G$10/Simulador!$G$11*AU$2,0)&lt;=Simulador!$G$12,
            ROUNDUP(Simulador!$G$10/Simulador!$G$11*AU$2,0),
            0
        ),
        IF(ROUNDUP(Simulador!$G$10+(Simulador!$G$12-Simulador!$G$10)/(Simulador!$G$8-Simulador!$G$11)*(AU$2-Simulador!$G$11),0)&lt;=Simulador!$G$12,
            IF(AU$2&lt;=Simulador!$G$8,
                ROUNDUP(Simulador!$G$10+(Simulador!$G$12-Simulador!$G$10)/(Simulador!$G$8-Simulador!$G$11)*(AU$2-Simulador!$G$11),0),
                0
            ),
            0
        )
    )
)</f>
        <v>#DIV/0!</v>
      </c>
      <c r="AV7" s="61" t="e">
        <f>IF(Simulador!$G$10=Simulador!$G$12,
    IF(AND(AV$2&lt;=Simulador!$G$11,ROUNDUP(Simulador!$G$10/Simulador!$G$11*AV$2,0)&lt;=Simulador!$G$12),
        ROUNDUP(Simulador!$G$10/Simulador!$G$11*AV$2,0),
        IF(AV$2&lt;=Simulador!$G$8,Simulador!$G$12,0)
    ),
    IF(AV$2&lt;=Simulador!$G$11,
        IF(ROUNDUP(Simulador!$G$10/Simulador!$G$11*AV$2,0)&lt;=Simulador!$G$12,
            ROUNDUP(Simulador!$G$10/Simulador!$G$11*AV$2,0),
            0
        ),
        IF(ROUNDUP(Simulador!$G$10+(Simulador!$G$12-Simulador!$G$10)/(Simulador!$G$8-Simulador!$G$11)*(AV$2-Simulador!$G$11),0)&lt;=Simulador!$G$12,
            IF(AV$2&lt;=Simulador!$G$8,
                ROUNDUP(Simulador!$G$10+(Simulador!$G$12-Simulador!$G$10)/(Simulador!$G$8-Simulador!$G$11)*(AV$2-Simulador!$G$11),0),
                0
            ),
            0
        )
    )
)</f>
        <v>#DIV/0!</v>
      </c>
      <c r="AW7" s="61" t="e">
        <f>IF(Simulador!$G$10=Simulador!$G$12,
    IF(AND(AW$2&lt;=Simulador!$G$11,ROUNDUP(Simulador!$G$10/Simulador!$G$11*AW$2,0)&lt;=Simulador!$G$12),
        ROUNDUP(Simulador!$G$10/Simulador!$G$11*AW$2,0),
        IF(AW$2&lt;=Simulador!$G$8,Simulador!$G$12,0)
    ),
    IF(AW$2&lt;=Simulador!$G$11,
        IF(ROUNDUP(Simulador!$G$10/Simulador!$G$11*AW$2,0)&lt;=Simulador!$G$12,
            ROUNDUP(Simulador!$G$10/Simulador!$G$11*AW$2,0),
            0
        ),
        IF(ROUNDUP(Simulador!$G$10+(Simulador!$G$12-Simulador!$G$10)/(Simulador!$G$8-Simulador!$G$11)*(AW$2-Simulador!$G$11),0)&lt;=Simulador!$G$12,
            IF(AW$2&lt;=Simulador!$G$8,
                ROUNDUP(Simulador!$G$10+(Simulador!$G$12-Simulador!$G$10)/(Simulador!$G$8-Simulador!$G$11)*(AW$2-Simulador!$G$11),0),
                0
            ),
            0
        )
    )
)</f>
        <v>#DIV/0!</v>
      </c>
      <c r="AX7" s="61" t="e">
        <f>IF(Simulador!$G$10=Simulador!$G$12,
    IF(AND(AX$2&lt;=Simulador!$G$11,ROUNDUP(Simulador!$G$10/Simulador!$G$11*AX$2,0)&lt;=Simulador!$G$12),
        ROUNDUP(Simulador!$G$10/Simulador!$G$11*AX$2,0),
        IF(AX$2&lt;=Simulador!$G$8,Simulador!$G$12,0)
    ),
    IF(AX$2&lt;=Simulador!$G$11,
        IF(ROUNDUP(Simulador!$G$10/Simulador!$G$11*AX$2,0)&lt;=Simulador!$G$12,
            ROUNDUP(Simulador!$G$10/Simulador!$G$11*AX$2,0),
            0
        ),
        IF(ROUNDUP(Simulador!$G$10+(Simulador!$G$12-Simulador!$G$10)/(Simulador!$G$8-Simulador!$G$11)*(AX$2-Simulador!$G$11),0)&lt;=Simulador!$G$12,
            IF(AX$2&lt;=Simulador!$G$8,
                ROUNDUP(Simulador!$G$10+(Simulador!$G$12-Simulador!$G$10)/(Simulador!$G$8-Simulador!$G$11)*(AX$2-Simulador!$G$11),0),
                0
            ),
            0
        )
    )
)</f>
        <v>#DIV/0!</v>
      </c>
      <c r="AY7" s="61" t="e">
        <f>IF(Simulador!$G$10=Simulador!$G$12,
    IF(AND(AY$2&lt;=Simulador!$G$11,ROUNDUP(Simulador!$G$10/Simulador!$G$11*AY$2,0)&lt;=Simulador!$G$12),
        ROUNDUP(Simulador!$G$10/Simulador!$G$11*AY$2,0),
        IF(AY$2&lt;=Simulador!$G$8,Simulador!$G$12,0)
    ),
    IF(AY$2&lt;=Simulador!$G$11,
        IF(ROUNDUP(Simulador!$G$10/Simulador!$G$11*AY$2,0)&lt;=Simulador!$G$12,
            ROUNDUP(Simulador!$G$10/Simulador!$G$11*AY$2,0),
            0
        ),
        IF(ROUNDUP(Simulador!$G$10+(Simulador!$G$12-Simulador!$G$10)/(Simulador!$G$8-Simulador!$G$11)*(AY$2-Simulador!$G$11),0)&lt;=Simulador!$G$12,
            IF(AY$2&lt;=Simulador!$G$8,
                ROUNDUP(Simulador!$G$10+(Simulador!$G$12-Simulador!$G$10)/(Simulador!$G$8-Simulador!$G$11)*(AY$2-Simulador!$G$11),0),
                0
            ),
            0
        )
    )
)</f>
        <v>#DIV/0!</v>
      </c>
      <c r="AZ7" s="61" t="e">
        <f>IF(Simulador!$G$10=Simulador!$G$12,
    IF(AND(AZ$2&lt;=Simulador!$G$11,ROUNDUP(Simulador!$G$10/Simulador!$G$11*AZ$2,0)&lt;=Simulador!$G$12),
        ROUNDUP(Simulador!$G$10/Simulador!$G$11*AZ$2,0),
        IF(AZ$2&lt;=Simulador!$G$8,Simulador!$G$12,0)
    ),
    IF(AZ$2&lt;=Simulador!$G$11,
        IF(ROUNDUP(Simulador!$G$10/Simulador!$G$11*AZ$2,0)&lt;=Simulador!$G$12,
            ROUNDUP(Simulador!$G$10/Simulador!$G$11*AZ$2,0),
            0
        ),
        IF(ROUNDUP(Simulador!$G$10+(Simulador!$G$12-Simulador!$G$10)/(Simulador!$G$8-Simulador!$G$11)*(AZ$2-Simulador!$G$11),0)&lt;=Simulador!$G$12,
            IF(AZ$2&lt;=Simulador!$G$8,
                ROUNDUP(Simulador!$G$10+(Simulador!$G$12-Simulador!$G$10)/(Simulador!$G$8-Simulador!$G$11)*(AZ$2-Simulador!$G$11),0),
                0
            ),
            0
        )
    )
)</f>
        <v>#DIV/0!</v>
      </c>
      <c r="BA7" s="61" t="e">
        <f>IF(Simulador!$G$10=Simulador!$G$12,
    IF(AND(BA$2&lt;=Simulador!$G$11,ROUNDUP(Simulador!$G$10/Simulador!$G$11*BA$2,0)&lt;=Simulador!$G$12),
        ROUNDUP(Simulador!$G$10/Simulador!$G$11*BA$2,0),
        IF(BA$2&lt;=Simulador!$G$8,Simulador!$G$12,0)
    ),
    IF(BA$2&lt;=Simulador!$G$11,
        IF(ROUNDUP(Simulador!$G$10/Simulador!$G$11*BA$2,0)&lt;=Simulador!$G$12,
            ROUNDUP(Simulador!$G$10/Simulador!$G$11*BA$2,0),
            0
        ),
        IF(ROUNDUP(Simulador!$G$10+(Simulador!$G$12-Simulador!$G$10)/(Simulador!$G$8-Simulador!$G$11)*(BA$2-Simulador!$G$11),0)&lt;=Simulador!$G$12,
            IF(BA$2&lt;=Simulador!$G$8,
                ROUNDUP(Simulador!$G$10+(Simulador!$G$12-Simulador!$G$10)/(Simulador!$G$8-Simulador!$G$11)*(BA$2-Simulador!$G$11),0),
                0
            ),
            0
        )
    )
)</f>
        <v>#DIV/0!</v>
      </c>
      <c r="BB7" s="61" t="e">
        <f>IF(Simulador!$G$10=Simulador!$G$12,
    IF(AND(BB$2&lt;=Simulador!$G$11,ROUNDUP(Simulador!$G$10/Simulador!$G$11*BB$2,0)&lt;=Simulador!$G$12),
        ROUNDUP(Simulador!$G$10/Simulador!$G$11*BB$2,0),
        IF(BB$2&lt;=Simulador!$G$8,Simulador!$G$12,0)
    ),
    IF(BB$2&lt;=Simulador!$G$11,
        IF(ROUNDUP(Simulador!$G$10/Simulador!$G$11*BB$2,0)&lt;=Simulador!$G$12,
            ROUNDUP(Simulador!$G$10/Simulador!$G$11*BB$2,0),
            0
        ),
        IF(ROUNDUP(Simulador!$G$10+(Simulador!$G$12-Simulador!$G$10)/(Simulador!$G$8-Simulador!$G$11)*(BB$2-Simulador!$G$11),0)&lt;=Simulador!$G$12,
            IF(BB$2&lt;=Simulador!$G$8,
                ROUNDUP(Simulador!$G$10+(Simulador!$G$12-Simulador!$G$10)/(Simulador!$G$8-Simulador!$G$11)*(BB$2-Simulador!$G$11),0),
                0
            ),
            0
        )
    )
)</f>
        <v>#DIV/0!</v>
      </c>
      <c r="BC7" s="61" t="e">
        <f>IF(Simulador!$G$10=Simulador!$G$12,
    IF(AND(BC$2&lt;=Simulador!$G$11,ROUNDUP(Simulador!$G$10/Simulador!$G$11*BC$2,0)&lt;=Simulador!$G$12),
        ROUNDUP(Simulador!$G$10/Simulador!$G$11*BC$2,0),
        IF(BC$2&lt;=Simulador!$G$8,Simulador!$G$12,0)
    ),
    IF(BC$2&lt;=Simulador!$G$11,
        IF(ROUNDUP(Simulador!$G$10/Simulador!$G$11*BC$2,0)&lt;=Simulador!$G$12,
            ROUNDUP(Simulador!$G$10/Simulador!$G$11*BC$2,0),
            0
        ),
        IF(ROUNDUP(Simulador!$G$10+(Simulador!$G$12-Simulador!$G$10)/(Simulador!$G$8-Simulador!$G$11)*(BC$2-Simulador!$G$11),0)&lt;=Simulador!$G$12,
            IF(BC$2&lt;=Simulador!$G$8,
                ROUNDUP(Simulador!$G$10+(Simulador!$G$12-Simulador!$G$10)/(Simulador!$G$8-Simulador!$G$11)*(BC$2-Simulador!$G$11),0),
                0
            ),
            0
        )
    )
)</f>
        <v>#DIV/0!</v>
      </c>
      <c r="BD7" s="61" t="e">
        <f>IF(Simulador!$G$10=Simulador!$G$12,
    IF(AND(BD$2&lt;=Simulador!$G$11,ROUNDUP(Simulador!$G$10/Simulador!$G$11*BD$2,0)&lt;=Simulador!$G$12),
        ROUNDUP(Simulador!$G$10/Simulador!$G$11*BD$2,0),
        IF(BD$2&lt;=Simulador!$G$8,Simulador!$G$12,0)
    ),
    IF(BD$2&lt;=Simulador!$G$11,
        IF(ROUNDUP(Simulador!$G$10/Simulador!$G$11*BD$2,0)&lt;=Simulador!$G$12,
            ROUNDUP(Simulador!$G$10/Simulador!$G$11*BD$2,0),
            0
        ),
        IF(ROUNDUP(Simulador!$G$10+(Simulador!$G$12-Simulador!$G$10)/(Simulador!$G$8-Simulador!$G$11)*(BD$2-Simulador!$G$11),0)&lt;=Simulador!$G$12,
            IF(BD$2&lt;=Simulador!$G$8,
                ROUNDUP(Simulador!$G$10+(Simulador!$G$12-Simulador!$G$10)/(Simulador!$G$8-Simulador!$G$11)*(BD$2-Simulador!$G$11),0),
                0
            ),
            0
        )
    )
)</f>
        <v>#DIV/0!</v>
      </c>
      <c r="BE7" s="61" t="e">
        <f>IF(Simulador!$G$10=Simulador!$G$12,
    IF(AND(BE$2&lt;=Simulador!$G$11,ROUNDUP(Simulador!$G$10/Simulador!$G$11*BE$2,0)&lt;=Simulador!$G$12),
        ROUNDUP(Simulador!$G$10/Simulador!$G$11*BE$2,0),
        IF(BE$2&lt;=Simulador!$G$8,Simulador!$G$12,0)
    ),
    IF(BE$2&lt;=Simulador!$G$11,
        IF(ROUNDUP(Simulador!$G$10/Simulador!$G$11*BE$2,0)&lt;=Simulador!$G$12,
            ROUNDUP(Simulador!$G$10/Simulador!$G$11*BE$2,0),
            0
        ),
        IF(ROUNDUP(Simulador!$G$10+(Simulador!$G$12-Simulador!$G$10)/(Simulador!$G$8-Simulador!$G$11)*(BE$2-Simulador!$G$11),0)&lt;=Simulador!$G$12,
            IF(BE$2&lt;=Simulador!$G$8,
                ROUNDUP(Simulador!$G$10+(Simulador!$G$12-Simulador!$G$10)/(Simulador!$G$8-Simulador!$G$11)*(BE$2-Simulador!$G$11),0),
                0
            ),
            0
        )
    )
)</f>
        <v>#DIV/0!</v>
      </c>
      <c r="BF7" s="61" t="e">
        <f>IF(Simulador!$G$10=Simulador!$G$12,
    IF(AND(BF$2&lt;=Simulador!$G$11,ROUNDUP(Simulador!$G$10/Simulador!$G$11*BF$2,0)&lt;=Simulador!$G$12),
        ROUNDUP(Simulador!$G$10/Simulador!$G$11*BF$2,0),
        IF(BF$2&lt;=Simulador!$G$8,Simulador!$G$12,0)
    ),
    IF(BF$2&lt;=Simulador!$G$11,
        IF(ROUNDUP(Simulador!$G$10/Simulador!$G$11*BF$2,0)&lt;=Simulador!$G$12,
            ROUNDUP(Simulador!$G$10/Simulador!$G$11*BF$2,0),
            0
        ),
        IF(ROUNDUP(Simulador!$G$10+(Simulador!$G$12-Simulador!$G$10)/(Simulador!$G$8-Simulador!$G$11)*(BF$2-Simulador!$G$11),0)&lt;=Simulador!$G$12,
            IF(BF$2&lt;=Simulador!$G$8,
                ROUNDUP(Simulador!$G$10+(Simulador!$G$12-Simulador!$G$10)/(Simulador!$G$8-Simulador!$G$11)*(BF$2-Simulador!$G$11),0),
                0
            ),
            0
        )
    )
)</f>
        <v>#DIV/0!</v>
      </c>
      <c r="BG7" s="61" t="e">
        <f>IF(Simulador!$G$10=Simulador!$G$12,
    IF(AND(BG$2&lt;=Simulador!$G$11,ROUNDUP(Simulador!$G$10/Simulador!$G$11*BG$2,0)&lt;=Simulador!$G$12),
        ROUNDUP(Simulador!$G$10/Simulador!$G$11*BG$2,0),
        IF(BG$2&lt;=Simulador!$G$8,Simulador!$G$12,0)
    ),
    IF(BG$2&lt;=Simulador!$G$11,
        IF(ROUNDUP(Simulador!$G$10/Simulador!$G$11*BG$2,0)&lt;=Simulador!$G$12,
            ROUNDUP(Simulador!$G$10/Simulador!$G$11*BG$2,0),
            0
        ),
        IF(ROUNDUP(Simulador!$G$10+(Simulador!$G$12-Simulador!$G$10)/(Simulador!$G$8-Simulador!$G$11)*(BG$2-Simulador!$G$11),0)&lt;=Simulador!$G$12,
            IF(BG$2&lt;=Simulador!$G$8,
                ROUNDUP(Simulador!$G$10+(Simulador!$G$12-Simulador!$G$10)/(Simulador!$G$8-Simulador!$G$11)*(BG$2-Simulador!$G$11),0),
                0
            ),
            0
        )
    )
)</f>
        <v>#DIV/0!</v>
      </c>
      <c r="BH7" s="61" t="e">
        <f>IF(Simulador!$G$10=Simulador!$G$12,
    IF(AND(BH$2&lt;=Simulador!$G$11,ROUNDUP(Simulador!$G$10/Simulador!$G$11*BH$2,0)&lt;=Simulador!$G$12),
        ROUNDUP(Simulador!$G$10/Simulador!$G$11*BH$2,0),
        IF(BH$2&lt;=Simulador!$G$8,Simulador!$G$12,0)
    ),
    IF(BH$2&lt;=Simulador!$G$11,
        IF(ROUNDUP(Simulador!$G$10/Simulador!$G$11*BH$2,0)&lt;=Simulador!$G$12,
            ROUNDUP(Simulador!$G$10/Simulador!$G$11*BH$2,0),
            0
        ),
        IF(ROUNDUP(Simulador!$G$10+(Simulador!$G$12-Simulador!$G$10)/(Simulador!$G$8-Simulador!$G$11)*(BH$2-Simulador!$G$11),0)&lt;=Simulador!$G$12,
            IF(BH$2&lt;=Simulador!$G$8,
                ROUNDUP(Simulador!$G$10+(Simulador!$G$12-Simulador!$G$10)/(Simulador!$G$8-Simulador!$G$11)*(BH$2-Simulador!$G$11),0),
                0
            ),
            0
        )
    )
)</f>
        <v>#DIV/0!</v>
      </c>
      <c r="BI7" s="61" t="e">
        <f>IF(Simulador!$G$10=Simulador!$G$12,
    IF(AND(BI$2&lt;=Simulador!$G$11,ROUNDUP(Simulador!$G$10/Simulador!$G$11*BI$2,0)&lt;=Simulador!$G$12),
        ROUNDUP(Simulador!$G$10/Simulador!$G$11*BI$2,0),
        IF(BI$2&lt;=Simulador!$G$8,Simulador!$G$12,0)
    ),
    IF(BI$2&lt;=Simulador!$G$11,
        IF(ROUNDUP(Simulador!$G$10/Simulador!$G$11*BI$2,0)&lt;=Simulador!$G$12,
            ROUNDUP(Simulador!$G$10/Simulador!$G$11*BI$2,0),
            0
        ),
        IF(ROUNDUP(Simulador!$G$10+(Simulador!$G$12-Simulador!$G$10)/(Simulador!$G$8-Simulador!$G$11)*(BI$2-Simulador!$G$11),0)&lt;=Simulador!$G$12,
            IF(BI$2&lt;=Simulador!$G$8,
                ROUNDUP(Simulador!$G$10+(Simulador!$G$12-Simulador!$G$10)/(Simulador!$G$8-Simulador!$G$11)*(BI$2-Simulador!$G$11),0),
                0
            ),
            0
        )
    )
)</f>
        <v>#DIV/0!</v>
      </c>
      <c r="BJ7" s="61" t="e">
        <f>IF(Simulador!$G$10=Simulador!$G$12,
    IF(AND(BJ$2&lt;=Simulador!$G$11,ROUNDUP(Simulador!$G$10/Simulador!$G$11*BJ$2,0)&lt;=Simulador!$G$12),
        ROUNDUP(Simulador!$G$10/Simulador!$G$11*BJ$2,0),
        IF(BJ$2&lt;=Simulador!$G$8,Simulador!$G$12,0)
    ),
    IF(BJ$2&lt;=Simulador!$G$11,
        IF(ROUNDUP(Simulador!$G$10/Simulador!$G$11*BJ$2,0)&lt;=Simulador!$G$12,
            ROUNDUP(Simulador!$G$10/Simulador!$G$11*BJ$2,0),
            0
        ),
        IF(ROUNDUP(Simulador!$G$10+(Simulador!$G$12-Simulador!$G$10)/(Simulador!$G$8-Simulador!$G$11)*(BJ$2-Simulador!$G$11),0)&lt;=Simulador!$G$12,
            IF(BJ$2&lt;=Simulador!$G$8,
                ROUNDUP(Simulador!$G$10+(Simulador!$G$12-Simulador!$G$10)/(Simulador!$G$8-Simulador!$G$11)*(BJ$2-Simulador!$G$11),0),
                0
            ),
            0
        )
    )
)</f>
        <v>#DIV/0!</v>
      </c>
      <c r="BK7" s="61" t="e">
        <f>IF(Simulador!$G$10=Simulador!$G$12,
    IF(AND(BK$2&lt;=Simulador!$G$11,ROUNDUP(Simulador!$G$10/Simulador!$G$11*BK$2,0)&lt;=Simulador!$G$12),
        ROUNDUP(Simulador!$G$10/Simulador!$G$11*BK$2,0),
        IF(BK$2&lt;=Simulador!$G$8,Simulador!$G$12,0)
    ),
    IF(BK$2&lt;=Simulador!$G$11,
        IF(ROUNDUP(Simulador!$G$10/Simulador!$G$11*BK$2,0)&lt;=Simulador!$G$12,
            ROUNDUP(Simulador!$G$10/Simulador!$G$11*BK$2,0),
            0
        ),
        IF(ROUNDUP(Simulador!$G$10+(Simulador!$G$12-Simulador!$G$10)/(Simulador!$G$8-Simulador!$G$11)*(BK$2-Simulador!$G$11),0)&lt;=Simulador!$G$12,
            IF(BK$2&lt;=Simulador!$G$8,
                ROUNDUP(Simulador!$G$10+(Simulador!$G$12-Simulador!$G$10)/(Simulador!$G$8-Simulador!$G$11)*(BK$2-Simulador!$G$11),0),
                0
            ),
            0
        )
    )
)</f>
        <v>#DIV/0!</v>
      </c>
      <c r="BL7" s="61" t="e">
        <f>IF(Simulador!$G$10=Simulador!$G$12,
    IF(AND(BL$2&lt;=Simulador!$G$11,ROUNDUP(Simulador!$G$10/Simulador!$G$11*BL$2,0)&lt;=Simulador!$G$12),
        ROUNDUP(Simulador!$G$10/Simulador!$G$11*BL$2,0),
        IF(BL$2&lt;=Simulador!$G$8,Simulador!$G$12,0)
    ),
    IF(BL$2&lt;=Simulador!$G$11,
        IF(ROUNDUP(Simulador!$G$10/Simulador!$G$11*BL$2,0)&lt;=Simulador!$G$12,
            ROUNDUP(Simulador!$G$10/Simulador!$G$11*BL$2,0),
            0
        ),
        IF(ROUNDUP(Simulador!$G$10+(Simulador!$G$12-Simulador!$G$10)/(Simulador!$G$8-Simulador!$G$11)*(BL$2-Simulador!$G$11),0)&lt;=Simulador!$G$12,
            IF(BL$2&lt;=Simulador!$G$8,
                ROUNDUP(Simulador!$G$10+(Simulador!$G$12-Simulador!$G$10)/(Simulador!$G$8-Simulador!$G$11)*(BL$2-Simulador!$G$11),0),
                0
            ),
            0
        )
    )
)</f>
        <v>#DIV/0!</v>
      </c>
      <c r="BM7" s="61" t="e">
        <f>IF(Simulador!$G$10=Simulador!$G$12,
    IF(AND(BM$2&lt;=Simulador!$G$11,ROUNDUP(Simulador!$G$10/Simulador!$G$11*BM$2,0)&lt;=Simulador!$G$12),
        ROUNDUP(Simulador!$G$10/Simulador!$G$11*BM$2,0),
        IF(BM$2&lt;=Simulador!$G$8,Simulador!$G$12,0)
    ),
    IF(BM$2&lt;=Simulador!$G$11,
        IF(ROUNDUP(Simulador!$G$10/Simulador!$G$11*BM$2,0)&lt;=Simulador!$G$12,
            ROUNDUP(Simulador!$G$10/Simulador!$G$11*BM$2,0),
            0
        ),
        IF(ROUNDUP(Simulador!$G$10+(Simulador!$G$12-Simulador!$G$10)/(Simulador!$G$8-Simulador!$G$11)*(BM$2-Simulador!$G$11),0)&lt;=Simulador!$G$12,
            IF(BM$2&lt;=Simulador!$G$8,
                ROUNDUP(Simulador!$G$10+(Simulador!$G$12-Simulador!$G$10)/(Simulador!$G$8-Simulador!$G$11)*(BM$2-Simulador!$G$11),0),
                0
            ),
            0
        )
    )
)</f>
        <v>#DIV/0!</v>
      </c>
      <c r="BN7" s="61" t="e">
        <f>IF(Simulador!$G$10=Simulador!$G$12,
    IF(AND(BN$2&lt;=Simulador!$G$11,ROUNDUP(Simulador!$G$10/Simulador!$G$11*BN$2,0)&lt;=Simulador!$G$12),
        ROUNDUP(Simulador!$G$10/Simulador!$G$11*BN$2,0),
        IF(BN$2&lt;=Simulador!$G$8,Simulador!$G$12,0)
    ),
    IF(BN$2&lt;=Simulador!$G$11,
        IF(ROUNDUP(Simulador!$G$10/Simulador!$G$11*BN$2,0)&lt;=Simulador!$G$12,
            ROUNDUP(Simulador!$G$10/Simulador!$G$11*BN$2,0),
            0
        ),
        IF(ROUNDUP(Simulador!$G$10+(Simulador!$G$12-Simulador!$G$10)/(Simulador!$G$8-Simulador!$G$11)*(BN$2-Simulador!$G$11),0)&lt;=Simulador!$G$12,
            IF(BN$2&lt;=Simulador!$G$8,
                ROUNDUP(Simulador!$G$10+(Simulador!$G$12-Simulador!$G$10)/(Simulador!$G$8-Simulador!$G$11)*(BN$2-Simulador!$G$11),0),
                0
            ),
            0
        )
    )
)</f>
        <v>#DIV/0!</v>
      </c>
      <c r="BO7" s="61" t="e">
        <f>IF(Simulador!$G$10=Simulador!$G$12,
    IF(AND(BO$2&lt;=Simulador!$G$11,ROUNDUP(Simulador!$G$10/Simulador!$G$11*BO$2,0)&lt;=Simulador!$G$12),
        ROUNDUP(Simulador!$G$10/Simulador!$G$11*BO$2,0),
        IF(BO$2&lt;=Simulador!$G$8,Simulador!$G$12,0)
    ),
    IF(BO$2&lt;=Simulador!$G$11,
        IF(ROUNDUP(Simulador!$G$10/Simulador!$G$11*BO$2,0)&lt;=Simulador!$G$12,
            ROUNDUP(Simulador!$G$10/Simulador!$G$11*BO$2,0),
            0
        ),
        IF(ROUNDUP(Simulador!$G$10+(Simulador!$G$12-Simulador!$G$10)/(Simulador!$G$8-Simulador!$G$11)*(BO$2-Simulador!$G$11),0)&lt;=Simulador!$G$12,
            IF(BO$2&lt;=Simulador!$G$8,
                ROUNDUP(Simulador!$G$10+(Simulador!$G$12-Simulador!$G$10)/(Simulador!$G$8-Simulador!$G$11)*(BO$2-Simulador!$G$11),0),
                0
            ),
            0
        )
    )
)</f>
        <v>#DIV/0!</v>
      </c>
      <c r="BP7" s="61" t="e">
        <f>IF(Simulador!$G$10=Simulador!$G$12,
    IF(AND(BP$2&lt;=Simulador!$G$11,ROUNDUP(Simulador!$G$10/Simulador!$G$11*BP$2,0)&lt;=Simulador!$G$12),
        ROUNDUP(Simulador!$G$10/Simulador!$G$11*BP$2,0),
        IF(BP$2&lt;=Simulador!$G$8,Simulador!$G$12,0)
    ),
    IF(BP$2&lt;=Simulador!$G$11,
        IF(ROUNDUP(Simulador!$G$10/Simulador!$G$11*BP$2,0)&lt;=Simulador!$G$12,
            ROUNDUP(Simulador!$G$10/Simulador!$G$11*BP$2,0),
            0
        ),
        IF(ROUNDUP(Simulador!$G$10+(Simulador!$G$12-Simulador!$G$10)/(Simulador!$G$8-Simulador!$G$11)*(BP$2-Simulador!$G$11),0)&lt;=Simulador!$G$12,
            IF(BP$2&lt;=Simulador!$G$8,
                ROUNDUP(Simulador!$G$10+(Simulador!$G$12-Simulador!$G$10)/(Simulador!$G$8-Simulador!$G$11)*(BP$2-Simulador!$G$11),0),
                0
            ),
            0
        )
    )
)</f>
        <v>#DIV/0!</v>
      </c>
      <c r="BQ7" s="61" t="e">
        <f>IF(Simulador!$G$10=Simulador!$G$12,
    IF(AND(BQ$2&lt;=Simulador!$G$11,ROUNDUP(Simulador!$G$10/Simulador!$G$11*BQ$2,0)&lt;=Simulador!$G$12),
        ROUNDUP(Simulador!$G$10/Simulador!$G$11*BQ$2,0),
        IF(BQ$2&lt;=Simulador!$G$8,Simulador!$G$12,0)
    ),
    IF(BQ$2&lt;=Simulador!$G$11,
        IF(ROUNDUP(Simulador!$G$10/Simulador!$G$11*BQ$2,0)&lt;=Simulador!$G$12,
            ROUNDUP(Simulador!$G$10/Simulador!$G$11*BQ$2,0),
            0
        ),
        IF(ROUNDUP(Simulador!$G$10+(Simulador!$G$12-Simulador!$G$10)/(Simulador!$G$8-Simulador!$G$11)*(BQ$2-Simulador!$G$11),0)&lt;=Simulador!$G$12,
            IF(BQ$2&lt;=Simulador!$G$8,
                ROUNDUP(Simulador!$G$10+(Simulador!$G$12-Simulador!$G$10)/(Simulador!$G$8-Simulador!$G$11)*(BQ$2-Simulador!$G$11),0),
                0
            ),
            0
        )
    )
)</f>
        <v>#DIV/0!</v>
      </c>
      <c r="BR7" s="61" t="e">
        <f>IF(Simulador!$G$10=Simulador!$G$12,
    IF(AND(BR$2&lt;=Simulador!$G$11,ROUNDUP(Simulador!$G$10/Simulador!$G$11*BR$2,0)&lt;=Simulador!$G$12),
        ROUNDUP(Simulador!$G$10/Simulador!$G$11*BR$2,0),
        IF(BR$2&lt;=Simulador!$G$8,Simulador!$G$12,0)
    ),
    IF(BR$2&lt;=Simulador!$G$11,
        IF(ROUNDUP(Simulador!$G$10/Simulador!$G$11*BR$2,0)&lt;=Simulador!$G$12,
            ROUNDUP(Simulador!$G$10/Simulador!$G$11*BR$2,0),
            0
        ),
        IF(ROUNDUP(Simulador!$G$10+(Simulador!$G$12-Simulador!$G$10)/(Simulador!$G$8-Simulador!$G$11)*(BR$2-Simulador!$G$11),0)&lt;=Simulador!$G$12,
            IF(BR$2&lt;=Simulador!$G$8,
                ROUNDUP(Simulador!$G$10+(Simulador!$G$12-Simulador!$G$10)/(Simulador!$G$8-Simulador!$G$11)*(BR$2-Simulador!$G$11),0),
                0
            ),
            0
        )
    )
)</f>
        <v>#DIV/0!</v>
      </c>
      <c r="BS7" s="61" t="e">
        <f>IF(Simulador!$G$10=Simulador!$G$12,
    IF(AND(BS$2&lt;=Simulador!$G$11,ROUNDUP(Simulador!$G$10/Simulador!$G$11*BS$2,0)&lt;=Simulador!$G$12),
        ROUNDUP(Simulador!$G$10/Simulador!$G$11*BS$2,0),
        IF(BS$2&lt;=Simulador!$G$8,Simulador!$G$12,0)
    ),
    IF(BS$2&lt;=Simulador!$G$11,
        IF(ROUNDUP(Simulador!$G$10/Simulador!$G$11*BS$2,0)&lt;=Simulador!$G$12,
            ROUNDUP(Simulador!$G$10/Simulador!$G$11*BS$2,0),
            0
        ),
        IF(ROUNDUP(Simulador!$G$10+(Simulador!$G$12-Simulador!$G$10)/(Simulador!$G$8-Simulador!$G$11)*(BS$2-Simulador!$G$11),0)&lt;=Simulador!$G$12,
            IF(BS$2&lt;=Simulador!$G$8,
                ROUNDUP(Simulador!$G$10+(Simulador!$G$12-Simulador!$G$10)/(Simulador!$G$8-Simulador!$G$11)*(BS$2-Simulador!$G$11),0),
                0
            ),
            0
        )
    )
)</f>
        <v>#DIV/0!</v>
      </c>
      <c r="BT7" s="61" t="e">
        <f>IF(Simulador!$G$10=Simulador!$G$12,
    IF(AND(BT$2&lt;=Simulador!$G$11,ROUNDUP(Simulador!$G$10/Simulador!$G$11*BT$2,0)&lt;=Simulador!$G$12),
        ROUNDUP(Simulador!$G$10/Simulador!$G$11*BT$2,0),
        IF(BT$2&lt;=Simulador!$G$8,Simulador!$G$12,0)
    ),
    IF(BT$2&lt;=Simulador!$G$11,
        IF(ROUNDUP(Simulador!$G$10/Simulador!$G$11*BT$2,0)&lt;=Simulador!$G$12,
            ROUNDUP(Simulador!$G$10/Simulador!$G$11*BT$2,0),
            0
        ),
        IF(ROUNDUP(Simulador!$G$10+(Simulador!$G$12-Simulador!$G$10)/(Simulador!$G$8-Simulador!$G$11)*(BT$2-Simulador!$G$11),0)&lt;=Simulador!$G$12,
            IF(BT$2&lt;=Simulador!$G$8,
                ROUNDUP(Simulador!$G$10+(Simulador!$G$12-Simulador!$G$10)/(Simulador!$G$8-Simulador!$G$11)*(BT$2-Simulador!$G$11),0),
                0
            ),
            0
        )
    )
)</f>
        <v>#DIV/0!</v>
      </c>
      <c r="BU7" s="61" t="e">
        <f>IF(Simulador!$G$10=Simulador!$G$12,
    IF(AND(BU$2&lt;=Simulador!$G$11,ROUNDUP(Simulador!$G$10/Simulador!$G$11*BU$2,0)&lt;=Simulador!$G$12),
        ROUNDUP(Simulador!$G$10/Simulador!$G$11*BU$2,0),
        IF(BU$2&lt;=Simulador!$G$8,Simulador!$G$12,0)
    ),
    IF(BU$2&lt;=Simulador!$G$11,
        IF(ROUNDUP(Simulador!$G$10/Simulador!$G$11*BU$2,0)&lt;=Simulador!$G$12,
            ROUNDUP(Simulador!$G$10/Simulador!$G$11*BU$2,0),
            0
        ),
        IF(ROUNDUP(Simulador!$G$10+(Simulador!$G$12-Simulador!$G$10)/(Simulador!$G$8-Simulador!$G$11)*(BU$2-Simulador!$G$11),0)&lt;=Simulador!$G$12,
            IF(BU$2&lt;=Simulador!$G$8,
                ROUNDUP(Simulador!$G$10+(Simulador!$G$12-Simulador!$G$10)/(Simulador!$G$8-Simulador!$G$11)*(BU$2-Simulador!$G$11),0),
                0
            ),
            0
        )
    )
)</f>
        <v>#DIV/0!</v>
      </c>
      <c r="BV7" s="61" t="e">
        <f>IF(Simulador!$G$10=Simulador!$G$12,
    IF(AND(BV$2&lt;=Simulador!$G$11,ROUNDUP(Simulador!$G$10/Simulador!$G$11*BV$2,0)&lt;=Simulador!$G$12),
        ROUNDUP(Simulador!$G$10/Simulador!$G$11*BV$2,0),
        IF(BV$2&lt;=Simulador!$G$8,Simulador!$G$12,0)
    ),
    IF(BV$2&lt;=Simulador!$G$11,
        IF(ROUNDUP(Simulador!$G$10/Simulador!$G$11*BV$2,0)&lt;=Simulador!$G$12,
            ROUNDUP(Simulador!$G$10/Simulador!$G$11*BV$2,0),
            0
        ),
        IF(ROUNDUP(Simulador!$G$10+(Simulador!$G$12-Simulador!$G$10)/(Simulador!$G$8-Simulador!$G$11)*(BV$2-Simulador!$G$11),0)&lt;=Simulador!$G$12,
            IF(BV$2&lt;=Simulador!$G$8,
                ROUNDUP(Simulador!$G$10+(Simulador!$G$12-Simulador!$G$10)/(Simulador!$G$8-Simulador!$G$11)*(BV$2-Simulador!$G$11),0),
                0
            ),
            0
        )
    )
)</f>
        <v>#DIV/0!</v>
      </c>
      <c r="BW7" s="61" t="e">
        <f>IF(Simulador!$G$10=Simulador!$G$12,
    IF(AND(BW$2&lt;=Simulador!$G$11,ROUNDUP(Simulador!$G$10/Simulador!$G$11*BW$2,0)&lt;=Simulador!$G$12),
        ROUNDUP(Simulador!$G$10/Simulador!$G$11*BW$2,0),
        IF(BW$2&lt;=Simulador!$G$8,Simulador!$G$12,0)
    ),
    IF(BW$2&lt;=Simulador!$G$11,
        IF(ROUNDUP(Simulador!$G$10/Simulador!$G$11*BW$2,0)&lt;=Simulador!$G$12,
            ROUNDUP(Simulador!$G$10/Simulador!$G$11*BW$2,0),
            0
        ),
        IF(ROUNDUP(Simulador!$G$10+(Simulador!$G$12-Simulador!$G$10)/(Simulador!$G$8-Simulador!$G$11)*(BW$2-Simulador!$G$11),0)&lt;=Simulador!$G$12,
            IF(BW$2&lt;=Simulador!$G$8,
                ROUNDUP(Simulador!$G$10+(Simulador!$G$12-Simulador!$G$10)/(Simulador!$G$8-Simulador!$G$11)*(BW$2-Simulador!$G$11),0),
                0
            ),
            0
        )
    )
)</f>
        <v>#DIV/0!</v>
      </c>
      <c r="BX7" s="61" t="e">
        <f>IF(Simulador!$G$10=Simulador!$G$12,
    IF(AND(BX$2&lt;=Simulador!$G$11,ROUNDUP(Simulador!$G$10/Simulador!$G$11*BX$2,0)&lt;=Simulador!$G$12),
        ROUNDUP(Simulador!$G$10/Simulador!$G$11*BX$2,0),
        IF(BX$2&lt;=Simulador!$G$8,Simulador!$G$12,0)
    ),
    IF(BX$2&lt;=Simulador!$G$11,
        IF(ROUNDUP(Simulador!$G$10/Simulador!$G$11*BX$2,0)&lt;=Simulador!$G$12,
            ROUNDUP(Simulador!$G$10/Simulador!$G$11*BX$2,0),
            0
        ),
        IF(ROUNDUP(Simulador!$G$10+(Simulador!$G$12-Simulador!$G$10)/(Simulador!$G$8-Simulador!$G$11)*(BX$2-Simulador!$G$11),0)&lt;=Simulador!$G$12,
            IF(BX$2&lt;=Simulador!$G$8,
                ROUNDUP(Simulador!$G$10+(Simulador!$G$12-Simulador!$G$10)/(Simulador!$G$8-Simulador!$G$11)*(BX$2-Simulador!$G$11),0),
                0
            ),
            0
        )
    )
)</f>
        <v>#DIV/0!</v>
      </c>
      <c r="BY7" s="61" t="e">
        <f>IF(Simulador!$G$10=Simulador!$G$12,
    IF(AND(BY$2&lt;=Simulador!$G$11,ROUNDUP(Simulador!$G$10/Simulador!$G$11*BY$2,0)&lt;=Simulador!$G$12),
        ROUNDUP(Simulador!$G$10/Simulador!$G$11*BY$2,0),
        IF(BY$2&lt;=Simulador!$G$8,Simulador!$G$12,0)
    ),
    IF(BY$2&lt;=Simulador!$G$11,
        IF(ROUNDUP(Simulador!$G$10/Simulador!$G$11*BY$2,0)&lt;=Simulador!$G$12,
            ROUNDUP(Simulador!$G$10/Simulador!$G$11*BY$2,0),
            0
        ),
        IF(ROUNDUP(Simulador!$G$10+(Simulador!$G$12-Simulador!$G$10)/(Simulador!$G$8-Simulador!$G$11)*(BY$2-Simulador!$G$11),0)&lt;=Simulador!$G$12,
            IF(BY$2&lt;=Simulador!$G$8,
                ROUNDUP(Simulador!$G$10+(Simulador!$G$12-Simulador!$G$10)/(Simulador!$G$8-Simulador!$G$11)*(BY$2-Simulador!$G$11),0),
                0
            ),
            0
        )
    )
)</f>
        <v>#DIV/0!</v>
      </c>
      <c r="BZ7" s="61" t="e">
        <f>IF(Simulador!$G$10=Simulador!$G$12,
    IF(AND(BZ$2&lt;=Simulador!$G$11,ROUNDUP(Simulador!$G$10/Simulador!$G$11*BZ$2,0)&lt;=Simulador!$G$12),
        ROUNDUP(Simulador!$G$10/Simulador!$G$11*BZ$2,0),
        IF(BZ$2&lt;=Simulador!$G$8,Simulador!$G$12,0)
    ),
    IF(BZ$2&lt;=Simulador!$G$11,
        IF(ROUNDUP(Simulador!$G$10/Simulador!$G$11*BZ$2,0)&lt;=Simulador!$G$12,
            ROUNDUP(Simulador!$G$10/Simulador!$G$11*BZ$2,0),
            0
        ),
        IF(ROUNDUP(Simulador!$G$10+(Simulador!$G$12-Simulador!$G$10)/(Simulador!$G$8-Simulador!$G$11)*(BZ$2-Simulador!$G$11),0)&lt;=Simulador!$G$12,
            IF(BZ$2&lt;=Simulador!$G$8,
                ROUNDUP(Simulador!$G$10+(Simulador!$G$12-Simulador!$G$10)/(Simulador!$G$8-Simulador!$G$11)*(BZ$2-Simulador!$G$11),0),
                0
            ),
            0
        )
    )
)</f>
        <v>#DIV/0!</v>
      </c>
      <c r="CA7" s="61" t="e">
        <f>IF(Simulador!$G$10=Simulador!$G$12,
    IF(AND(CA$2&lt;=Simulador!$G$11,ROUNDUP(Simulador!$G$10/Simulador!$G$11*CA$2,0)&lt;=Simulador!$G$12),
        ROUNDUP(Simulador!$G$10/Simulador!$G$11*CA$2,0),
        IF(CA$2&lt;=Simulador!$G$8,Simulador!$G$12,0)
    ),
    IF(CA$2&lt;=Simulador!$G$11,
        IF(ROUNDUP(Simulador!$G$10/Simulador!$G$11*CA$2,0)&lt;=Simulador!$G$12,
            ROUNDUP(Simulador!$G$10/Simulador!$G$11*CA$2,0),
            0
        ),
        IF(ROUNDUP(Simulador!$G$10+(Simulador!$G$12-Simulador!$G$10)/(Simulador!$G$8-Simulador!$G$11)*(CA$2-Simulador!$G$11),0)&lt;=Simulador!$G$12,
            IF(CA$2&lt;=Simulador!$G$8,
                ROUNDUP(Simulador!$G$10+(Simulador!$G$12-Simulador!$G$10)/(Simulador!$G$8-Simulador!$G$11)*(CA$2-Simulador!$G$11),0),
                0
            ),
            0
        )
    )
)</f>
        <v>#DIV/0!</v>
      </c>
      <c r="CB7" s="61" t="e">
        <f>IF(Simulador!$G$10=Simulador!$G$12,
    IF(AND(CB$2&lt;=Simulador!$G$11,ROUNDUP(Simulador!$G$10/Simulador!$G$11*CB$2,0)&lt;=Simulador!$G$12),
        ROUNDUP(Simulador!$G$10/Simulador!$G$11*CB$2,0),
        IF(CB$2&lt;=Simulador!$G$8,Simulador!$G$12,0)
    ),
    IF(CB$2&lt;=Simulador!$G$11,
        IF(ROUNDUP(Simulador!$G$10/Simulador!$G$11*CB$2,0)&lt;=Simulador!$G$12,
            ROUNDUP(Simulador!$G$10/Simulador!$G$11*CB$2,0),
            0
        ),
        IF(ROUNDUP(Simulador!$G$10+(Simulador!$G$12-Simulador!$G$10)/(Simulador!$G$8-Simulador!$G$11)*(CB$2-Simulador!$G$11),0)&lt;=Simulador!$G$12,
            IF(CB$2&lt;=Simulador!$G$8,
                ROUNDUP(Simulador!$G$10+(Simulador!$G$12-Simulador!$G$10)/(Simulador!$G$8-Simulador!$G$11)*(CB$2-Simulador!$G$11),0),
                0
            ),
            0
        )
    )
)</f>
        <v>#DIV/0!</v>
      </c>
      <c r="CC7" s="61" t="e">
        <f>IF(Simulador!$G$10=Simulador!$G$12,
    IF(AND(CC$2&lt;=Simulador!$G$11,ROUNDUP(Simulador!$G$10/Simulador!$G$11*CC$2,0)&lt;=Simulador!$G$12),
        ROUNDUP(Simulador!$G$10/Simulador!$G$11*CC$2,0),
        IF(CC$2&lt;=Simulador!$G$8,Simulador!$G$12,0)
    ),
    IF(CC$2&lt;=Simulador!$G$11,
        IF(ROUNDUP(Simulador!$G$10/Simulador!$G$11*CC$2,0)&lt;=Simulador!$G$12,
            ROUNDUP(Simulador!$G$10/Simulador!$G$11*CC$2,0),
            0
        ),
        IF(ROUNDUP(Simulador!$G$10+(Simulador!$G$12-Simulador!$G$10)/(Simulador!$G$8-Simulador!$G$11)*(CC$2-Simulador!$G$11),0)&lt;=Simulador!$G$12,
            IF(CC$2&lt;=Simulador!$G$8,
                ROUNDUP(Simulador!$G$10+(Simulador!$G$12-Simulador!$G$10)/(Simulador!$G$8-Simulador!$G$11)*(CC$2-Simulador!$G$11),0),
                0
            ),
            0
        )
    )
)</f>
        <v>#DIV/0!</v>
      </c>
      <c r="CD7" s="61" t="e">
        <f>IF(Simulador!$G$10=Simulador!$G$12,
    IF(AND(CD$2&lt;=Simulador!$G$11,ROUNDUP(Simulador!$G$10/Simulador!$G$11*CD$2,0)&lt;=Simulador!$G$12),
        ROUNDUP(Simulador!$G$10/Simulador!$G$11*CD$2,0),
        IF(CD$2&lt;=Simulador!$G$8,Simulador!$G$12,0)
    ),
    IF(CD$2&lt;=Simulador!$G$11,
        IF(ROUNDUP(Simulador!$G$10/Simulador!$G$11*CD$2,0)&lt;=Simulador!$G$12,
            ROUNDUP(Simulador!$G$10/Simulador!$G$11*CD$2,0),
            0
        ),
        IF(ROUNDUP(Simulador!$G$10+(Simulador!$G$12-Simulador!$G$10)/(Simulador!$G$8-Simulador!$G$11)*(CD$2-Simulador!$G$11),0)&lt;=Simulador!$G$12,
            IF(CD$2&lt;=Simulador!$G$8,
                ROUNDUP(Simulador!$G$10+(Simulador!$G$12-Simulador!$G$10)/(Simulador!$G$8-Simulador!$G$11)*(CD$2-Simulador!$G$11),0),
                0
            ),
            0
        )
    )
)</f>
        <v>#DIV/0!</v>
      </c>
      <c r="CE7" s="61" t="e">
        <f>IF(Simulador!$G$10=Simulador!$G$12,
    IF(AND(CE$2&lt;=Simulador!$G$11,ROUNDUP(Simulador!$G$10/Simulador!$G$11*CE$2,0)&lt;=Simulador!$G$12),
        ROUNDUP(Simulador!$G$10/Simulador!$G$11*CE$2,0),
        IF(CE$2&lt;=Simulador!$G$8,Simulador!$G$12,0)
    ),
    IF(CE$2&lt;=Simulador!$G$11,
        IF(ROUNDUP(Simulador!$G$10/Simulador!$G$11*CE$2,0)&lt;=Simulador!$G$12,
            ROUNDUP(Simulador!$G$10/Simulador!$G$11*CE$2,0),
            0
        ),
        IF(ROUNDUP(Simulador!$G$10+(Simulador!$G$12-Simulador!$G$10)/(Simulador!$G$8-Simulador!$G$11)*(CE$2-Simulador!$G$11),0)&lt;=Simulador!$G$12,
            IF(CE$2&lt;=Simulador!$G$8,
                ROUNDUP(Simulador!$G$10+(Simulador!$G$12-Simulador!$G$10)/(Simulador!$G$8-Simulador!$G$11)*(CE$2-Simulador!$G$11),0),
                0
            ),
            0
        )
    )
)</f>
        <v>#DIV/0!</v>
      </c>
      <c r="CF7" s="61" t="e">
        <f>IF(Simulador!$G$10=Simulador!$G$12,
    IF(AND(CF$2&lt;=Simulador!$G$11,ROUNDUP(Simulador!$G$10/Simulador!$G$11*CF$2,0)&lt;=Simulador!$G$12),
        ROUNDUP(Simulador!$G$10/Simulador!$G$11*CF$2,0),
        IF(CF$2&lt;=Simulador!$G$8,Simulador!$G$12,0)
    ),
    IF(CF$2&lt;=Simulador!$G$11,
        IF(ROUNDUP(Simulador!$G$10/Simulador!$G$11*CF$2,0)&lt;=Simulador!$G$12,
            ROUNDUP(Simulador!$G$10/Simulador!$G$11*CF$2,0),
            0
        ),
        IF(ROUNDUP(Simulador!$G$10+(Simulador!$G$12-Simulador!$G$10)/(Simulador!$G$8-Simulador!$G$11)*(CF$2-Simulador!$G$11),0)&lt;=Simulador!$G$12,
            IF(CF$2&lt;=Simulador!$G$8,
                ROUNDUP(Simulador!$G$10+(Simulador!$G$12-Simulador!$G$10)/(Simulador!$G$8-Simulador!$G$11)*(CF$2-Simulador!$G$11),0),
                0
            ),
            0
        )
    )
)</f>
        <v>#DIV/0!</v>
      </c>
      <c r="CG7" s="61" t="e">
        <f>IF(Simulador!$G$10=Simulador!$G$12,
    IF(AND(CG$2&lt;=Simulador!$G$11,ROUNDUP(Simulador!$G$10/Simulador!$G$11*CG$2,0)&lt;=Simulador!$G$12),
        ROUNDUP(Simulador!$G$10/Simulador!$G$11*CG$2,0),
        IF(CG$2&lt;=Simulador!$G$8,Simulador!$G$12,0)
    ),
    IF(CG$2&lt;=Simulador!$G$11,
        IF(ROUNDUP(Simulador!$G$10/Simulador!$G$11*CG$2,0)&lt;=Simulador!$G$12,
            ROUNDUP(Simulador!$G$10/Simulador!$G$11*CG$2,0),
            0
        ),
        IF(ROUNDUP(Simulador!$G$10+(Simulador!$G$12-Simulador!$G$10)/(Simulador!$G$8-Simulador!$G$11)*(CG$2-Simulador!$G$11),0)&lt;=Simulador!$G$12,
            IF(CG$2&lt;=Simulador!$G$8,
                ROUNDUP(Simulador!$G$10+(Simulador!$G$12-Simulador!$G$10)/(Simulador!$G$8-Simulador!$G$11)*(CG$2-Simulador!$G$11),0),
                0
            ),
            0
        )
    )
)</f>
        <v>#DIV/0!</v>
      </c>
      <c r="CH7" s="61" t="e">
        <f>IF(Simulador!$G$10=Simulador!$G$12,
    IF(AND(CH$2&lt;=Simulador!$G$11,ROUNDUP(Simulador!$G$10/Simulador!$G$11*CH$2,0)&lt;=Simulador!$G$12),
        ROUNDUP(Simulador!$G$10/Simulador!$G$11*CH$2,0),
        IF(CH$2&lt;=Simulador!$G$8,Simulador!$G$12,0)
    ),
    IF(CH$2&lt;=Simulador!$G$11,
        IF(ROUNDUP(Simulador!$G$10/Simulador!$G$11*CH$2,0)&lt;=Simulador!$G$12,
            ROUNDUP(Simulador!$G$10/Simulador!$G$11*CH$2,0),
            0
        ),
        IF(ROUNDUP(Simulador!$G$10+(Simulador!$G$12-Simulador!$G$10)/(Simulador!$G$8-Simulador!$G$11)*(CH$2-Simulador!$G$11),0)&lt;=Simulador!$G$12,
            IF(CH$2&lt;=Simulador!$G$8,
                ROUNDUP(Simulador!$G$10+(Simulador!$G$12-Simulador!$G$10)/(Simulador!$G$8-Simulador!$G$11)*(CH$2-Simulador!$G$11),0),
                0
            ),
            0
        )
    )
)</f>
        <v>#DIV/0!</v>
      </c>
      <c r="CI7" s="61" t="e">
        <f>IF(Simulador!$G$10=Simulador!$G$12,
    IF(AND(CI$2&lt;=Simulador!$G$11,ROUNDUP(Simulador!$G$10/Simulador!$G$11*CI$2,0)&lt;=Simulador!$G$12),
        ROUNDUP(Simulador!$G$10/Simulador!$G$11*CI$2,0),
        IF(CI$2&lt;=Simulador!$G$8,Simulador!$G$12,0)
    ),
    IF(CI$2&lt;=Simulador!$G$11,
        IF(ROUNDUP(Simulador!$G$10/Simulador!$G$11*CI$2,0)&lt;=Simulador!$G$12,
            ROUNDUP(Simulador!$G$10/Simulador!$G$11*CI$2,0),
            0
        ),
        IF(ROUNDUP(Simulador!$G$10+(Simulador!$G$12-Simulador!$G$10)/(Simulador!$G$8-Simulador!$G$11)*(CI$2-Simulador!$G$11),0)&lt;=Simulador!$G$12,
            IF(CI$2&lt;=Simulador!$G$8,
                ROUNDUP(Simulador!$G$10+(Simulador!$G$12-Simulador!$G$10)/(Simulador!$G$8-Simulador!$G$11)*(CI$2-Simulador!$G$11),0),
                0
            ),
            0
        )
    )
)</f>
        <v>#DIV/0!</v>
      </c>
      <c r="CJ7" s="61" t="e">
        <f>IF(Simulador!$G$10=Simulador!$G$12,
    IF(AND(CJ$2&lt;=Simulador!$G$11,ROUNDUP(Simulador!$G$10/Simulador!$G$11*CJ$2,0)&lt;=Simulador!$G$12),
        ROUNDUP(Simulador!$G$10/Simulador!$G$11*CJ$2,0),
        IF(CJ$2&lt;=Simulador!$G$8,Simulador!$G$12,0)
    ),
    IF(CJ$2&lt;=Simulador!$G$11,
        IF(ROUNDUP(Simulador!$G$10/Simulador!$G$11*CJ$2,0)&lt;=Simulador!$G$12,
            ROUNDUP(Simulador!$G$10/Simulador!$G$11*CJ$2,0),
            0
        ),
        IF(ROUNDUP(Simulador!$G$10+(Simulador!$G$12-Simulador!$G$10)/(Simulador!$G$8-Simulador!$G$11)*(CJ$2-Simulador!$G$11),0)&lt;=Simulador!$G$12,
            IF(CJ$2&lt;=Simulador!$G$8,
                ROUNDUP(Simulador!$G$10+(Simulador!$G$12-Simulador!$G$10)/(Simulador!$G$8-Simulador!$G$11)*(CJ$2-Simulador!$G$11),0),
                0
            ),
            0
        )
    )
)</f>
        <v>#DIV/0!</v>
      </c>
      <c r="CK7" s="61" t="e">
        <f>IF(Simulador!$G$10=Simulador!$G$12,
    IF(AND(CK$2&lt;=Simulador!$G$11,ROUNDUP(Simulador!$G$10/Simulador!$G$11*CK$2,0)&lt;=Simulador!$G$12),
        ROUNDUP(Simulador!$G$10/Simulador!$G$11*CK$2,0),
        IF(CK$2&lt;=Simulador!$G$8,Simulador!$G$12,0)
    ),
    IF(CK$2&lt;=Simulador!$G$11,
        IF(ROUNDUP(Simulador!$G$10/Simulador!$G$11*CK$2,0)&lt;=Simulador!$G$12,
            ROUNDUP(Simulador!$G$10/Simulador!$G$11*CK$2,0),
            0
        ),
        IF(ROUNDUP(Simulador!$G$10+(Simulador!$G$12-Simulador!$G$10)/(Simulador!$G$8-Simulador!$G$11)*(CK$2-Simulador!$G$11),0)&lt;=Simulador!$G$12,
            IF(CK$2&lt;=Simulador!$G$8,
                ROUNDUP(Simulador!$G$10+(Simulador!$G$12-Simulador!$G$10)/(Simulador!$G$8-Simulador!$G$11)*(CK$2-Simulador!$G$11),0),
                0
            ),
            0
        )
    )
)</f>
        <v>#DIV/0!</v>
      </c>
      <c r="CL7" s="61" t="e">
        <f>IF(Simulador!$G$10=Simulador!$G$12,
    IF(AND(CL$2&lt;=Simulador!$G$11,ROUNDUP(Simulador!$G$10/Simulador!$G$11*CL$2,0)&lt;=Simulador!$G$12),
        ROUNDUP(Simulador!$G$10/Simulador!$G$11*CL$2,0),
        IF(CL$2&lt;=Simulador!$G$8,Simulador!$G$12,0)
    ),
    IF(CL$2&lt;=Simulador!$G$11,
        IF(ROUNDUP(Simulador!$G$10/Simulador!$G$11*CL$2,0)&lt;=Simulador!$G$12,
            ROUNDUP(Simulador!$G$10/Simulador!$G$11*CL$2,0),
            0
        ),
        IF(ROUNDUP(Simulador!$G$10+(Simulador!$G$12-Simulador!$G$10)/(Simulador!$G$8-Simulador!$G$11)*(CL$2-Simulador!$G$11),0)&lt;=Simulador!$G$12,
            IF(CL$2&lt;=Simulador!$G$8,
                ROUNDUP(Simulador!$G$10+(Simulador!$G$12-Simulador!$G$10)/(Simulador!$G$8-Simulador!$G$11)*(CL$2-Simulador!$G$11),0),
                0
            ),
            0
        )
    )
)</f>
        <v>#DIV/0!</v>
      </c>
      <c r="CM7" s="61" t="e">
        <f>IF(Simulador!$G$10=Simulador!$G$12,
    IF(AND(CM$2&lt;=Simulador!$G$11,ROUNDUP(Simulador!$G$10/Simulador!$G$11*CM$2,0)&lt;=Simulador!$G$12),
        ROUNDUP(Simulador!$G$10/Simulador!$G$11*CM$2,0),
        IF(CM$2&lt;=Simulador!$G$8,Simulador!$G$12,0)
    ),
    IF(CM$2&lt;=Simulador!$G$11,
        IF(ROUNDUP(Simulador!$G$10/Simulador!$G$11*CM$2,0)&lt;=Simulador!$G$12,
            ROUNDUP(Simulador!$G$10/Simulador!$G$11*CM$2,0),
            0
        ),
        IF(ROUNDUP(Simulador!$G$10+(Simulador!$G$12-Simulador!$G$10)/(Simulador!$G$8-Simulador!$G$11)*(CM$2-Simulador!$G$11),0)&lt;=Simulador!$G$12,
            IF(CM$2&lt;=Simulador!$G$8,
                ROUNDUP(Simulador!$G$10+(Simulador!$G$12-Simulador!$G$10)/(Simulador!$G$8-Simulador!$G$11)*(CM$2-Simulador!$G$11),0),
                0
            ),
            0
        )
    )
)</f>
        <v>#DIV/0!</v>
      </c>
      <c r="CN7" s="61" t="e">
        <f>IF(Simulador!$G$10=Simulador!$G$12,
    IF(AND(CN$2&lt;=Simulador!$G$11,ROUNDUP(Simulador!$G$10/Simulador!$G$11*CN$2,0)&lt;=Simulador!$G$12),
        ROUNDUP(Simulador!$G$10/Simulador!$G$11*CN$2,0),
        IF(CN$2&lt;=Simulador!$G$8,Simulador!$G$12,0)
    ),
    IF(CN$2&lt;=Simulador!$G$11,
        IF(ROUNDUP(Simulador!$G$10/Simulador!$G$11*CN$2,0)&lt;=Simulador!$G$12,
            ROUNDUP(Simulador!$G$10/Simulador!$G$11*CN$2,0),
            0
        ),
        IF(ROUNDUP(Simulador!$G$10+(Simulador!$G$12-Simulador!$G$10)/(Simulador!$G$8-Simulador!$G$11)*(CN$2-Simulador!$G$11),0)&lt;=Simulador!$G$12,
            IF(CN$2&lt;=Simulador!$G$8,
                ROUNDUP(Simulador!$G$10+(Simulador!$G$12-Simulador!$G$10)/(Simulador!$G$8-Simulador!$G$11)*(CN$2-Simulador!$G$11),0),
                0
            ),
            0
        )
    )
)</f>
        <v>#DIV/0!</v>
      </c>
      <c r="CO7" s="61" t="e">
        <f>IF(Simulador!$G$10=Simulador!$G$12,
    IF(AND(CO$2&lt;=Simulador!$G$11,ROUNDUP(Simulador!$G$10/Simulador!$G$11*CO$2,0)&lt;=Simulador!$G$12),
        ROUNDUP(Simulador!$G$10/Simulador!$G$11*CO$2,0),
        IF(CO$2&lt;=Simulador!$G$8,Simulador!$G$12,0)
    ),
    IF(CO$2&lt;=Simulador!$G$11,
        IF(ROUNDUP(Simulador!$G$10/Simulador!$G$11*CO$2,0)&lt;=Simulador!$G$12,
            ROUNDUP(Simulador!$G$10/Simulador!$G$11*CO$2,0),
            0
        ),
        IF(ROUNDUP(Simulador!$G$10+(Simulador!$G$12-Simulador!$G$10)/(Simulador!$G$8-Simulador!$G$11)*(CO$2-Simulador!$G$11),0)&lt;=Simulador!$G$12,
            IF(CO$2&lt;=Simulador!$G$8,
                ROUNDUP(Simulador!$G$10+(Simulador!$G$12-Simulador!$G$10)/(Simulador!$G$8-Simulador!$G$11)*(CO$2-Simulador!$G$11),0),
                0
            ),
            0
        )
    )
)</f>
        <v>#DIV/0!</v>
      </c>
      <c r="CP7" s="61" t="e">
        <f>IF(Simulador!$G$10=Simulador!$G$12,
    IF(AND(CP$2&lt;=Simulador!$G$11,ROUNDUP(Simulador!$G$10/Simulador!$G$11*CP$2,0)&lt;=Simulador!$G$12),
        ROUNDUP(Simulador!$G$10/Simulador!$G$11*CP$2,0),
        IF(CP$2&lt;=Simulador!$G$8,Simulador!$G$12,0)
    ),
    IF(CP$2&lt;=Simulador!$G$11,
        IF(ROUNDUP(Simulador!$G$10/Simulador!$G$11*CP$2,0)&lt;=Simulador!$G$12,
            ROUNDUP(Simulador!$G$10/Simulador!$G$11*CP$2,0),
            0
        ),
        IF(ROUNDUP(Simulador!$G$10+(Simulador!$G$12-Simulador!$G$10)/(Simulador!$G$8-Simulador!$G$11)*(CP$2-Simulador!$G$11),0)&lt;=Simulador!$G$12,
            IF(CP$2&lt;=Simulador!$G$8,
                ROUNDUP(Simulador!$G$10+(Simulador!$G$12-Simulador!$G$10)/(Simulador!$G$8-Simulador!$G$11)*(CP$2-Simulador!$G$11),0),
                0
            ),
            0
        )
    )
)</f>
        <v>#DIV/0!</v>
      </c>
      <c r="CQ7" s="61" t="e">
        <f>IF(Simulador!$G$10=Simulador!$G$12,
    IF(AND(CQ$2&lt;=Simulador!$G$11,ROUNDUP(Simulador!$G$10/Simulador!$G$11*CQ$2,0)&lt;=Simulador!$G$12),
        ROUNDUP(Simulador!$G$10/Simulador!$G$11*CQ$2,0),
        IF(CQ$2&lt;=Simulador!$G$8,Simulador!$G$12,0)
    ),
    IF(CQ$2&lt;=Simulador!$G$11,
        IF(ROUNDUP(Simulador!$G$10/Simulador!$G$11*CQ$2,0)&lt;=Simulador!$G$12,
            ROUNDUP(Simulador!$G$10/Simulador!$G$11*CQ$2,0),
            0
        ),
        IF(ROUNDUP(Simulador!$G$10+(Simulador!$G$12-Simulador!$G$10)/(Simulador!$G$8-Simulador!$G$11)*(CQ$2-Simulador!$G$11),0)&lt;=Simulador!$G$12,
            IF(CQ$2&lt;=Simulador!$G$8,
                ROUNDUP(Simulador!$G$10+(Simulador!$G$12-Simulador!$G$10)/(Simulador!$G$8-Simulador!$G$11)*(CQ$2-Simulador!$G$11),0),
                0
            ),
            0
        )
    )
)</f>
        <v>#DIV/0!</v>
      </c>
      <c r="CR7" s="61" t="e">
        <f>IF(Simulador!$G$10=Simulador!$G$12,
    IF(AND(CR$2&lt;=Simulador!$G$11,ROUNDUP(Simulador!$G$10/Simulador!$G$11*CR$2,0)&lt;=Simulador!$G$12),
        ROUNDUP(Simulador!$G$10/Simulador!$G$11*CR$2,0),
        IF(CR$2&lt;=Simulador!$G$8,Simulador!$G$12,0)
    ),
    IF(CR$2&lt;=Simulador!$G$11,
        IF(ROUNDUP(Simulador!$G$10/Simulador!$G$11*CR$2,0)&lt;=Simulador!$G$12,
            ROUNDUP(Simulador!$G$10/Simulador!$G$11*CR$2,0),
            0
        ),
        IF(ROUNDUP(Simulador!$G$10+(Simulador!$G$12-Simulador!$G$10)/(Simulador!$G$8-Simulador!$G$11)*(CR$2-Simulador!$G$11),0)&lt;=Simulador!$G$12,
            IF(CR$2&lt;=Simulador!$G$8,
                ROUNDUP(Simulador!$G$10+(Simulador!$G$12-Simulador!$G$10)/(Simulador!$G$8-Simulador!$G$11)*(CR$2-Simulador!$G$11),0),
                0
            ),
            0
        )
    )
)</f>
        <v>#DIV/0!</v>
      </c>
      <c r="CS7" s="61" t="e">
        <f>IF(Simulador!$G$10=Simulador!$G$12,
    IF(AND(CS$2&lt;=Simulador!$G$11,ROUNDUP(Simulador!$G$10/Simulador!$G$11*CS$2,0)&lt;=Simulador!$G$12),
        ROUNDUP(Simulador!$G$10/Simulador!$G$11*CS$2,0),
        IF(CS$2&lt;=Simulador!$G$8,Simulador!$G$12,0)
    ),
    IF(CS$2&lt;=Simulador!$G$11,
        IF(ROUNDUP(Simulador!$G$10/Simulador!$G$11*CS$2,0)&lt;=Simulador!$G$12,
            ROUNDUP(Simulador!$G$10/Simulador!$G$11*CS$2,0),
            0
        ),
        IF(ROUNDUP(Simulador!$G$10+(Simulador!$G$12-Simulador!$G$10)/(Simulador!$G$8-Simulador!$G$11)*(CS$2-Simulador!$G$11),0)&lt;=Simulador!$G$12,
            IF(CS$2&lt;=Simulador!$G$8,
                ROUNDUP(Simulador!$G$10+(Simulador!$G$12-Simulador!$G$10)/(Simulador!$G$8-Simulador!$G$11)*(CS$2-Simulador!$G$11),0),
                0
            ),
            0
        )
    )
)</f>
        <v>#DIV/0!</v>
      </c>
      <c r="CT7" s="61" t="e">
        <f>IF(Simulador!$G$10=Simulador!$G$12,
    IF(AND(CT$2&lt;=Simulador!$G$11,ROUNDUP(Simulador!$G$10/Simulador!$G$11*CT$2,0)&lt;=Simulador!$G$12),
        ROUNDUP(Simulador!$G$10/Simulador!$G$11*CT$2,0),
        IF(CT$2&lt;=Simulador!$G$8,Simulador!$G$12,0)
    ),
    IF(CT$2&lt;=Simulador!$G$11,
        IF(ROUNDUP(Simulador!$G$10/Simulador!$G$11*CT$2,0)&lt;=Simulador!$G$12,
            ROUNDUP(Simulador!$G$10/Simulador!$G$11*CT$2,0),
            0
        ),
        IF(ROUNDUP(Simulador!$G$10+(Simulador!$G$12-Simulador!$G$10)/(Simulador!$G$8-Simulador!$G$11)*(CT$2-Simulador!$G$11),0)&lt;=Simulador!$G$12,
            IF(CT$2&lt;=Simulador!$G$8,
                ROUNDUP(Simulador!$G$10+(Simulador!$G$12-Simulador!$G$10)/(Simulador!$G$8-Simulador!$G$11)*(CT$2-Simulador!$G$11),0),
                0
            ),
            0
        )
    )
)</f>
        <v>#DIV/0!</v>
      </c>
      <c r="CU7" s="61" t="e">
        <f>IF(Simulador!$G$10=Simulador!$G$12,
    IF(AND(CU$2&lt;=Simulador!$G$11,ROUNDUP(Simulador!$G$10/Simulador!$G$11*CU$2,0)&lt;=Simulador!$G$12),
        ROUNDUP(Simulador!$G$10/Simulador!$G$11*CU$2,0),
        IF(CU$2&lt;=Simulador!$G$8,Simulador!$G$12,0)
    ),
    IF(CU$2&lt;=Simulador!$G$11,
        IF(ROUNDUP(Simulador!$G$10/Simulador!$G$11*CU$2,0)&lt;=Simulador!$G$12,
            ROUNDUP(Simulador!$G$10/Simulador!$G$11*CU$2,0),
            0
        ),
        IF(ROUNDUP(Simulador!$G$10+(Simulador!$G$12-Simulador!$G$10)/(Simulador!$G$8-Simulador!$G$11)*(CU$2-Simulador!$G$11),0)&lt;=Simulador!$G$12,
            IF(CU$2&lt;=Simulador!$G$8,
                ROUNDUP(Simulador!$G$10+(Simulador!$G$12-Simulador!$G$10)/(Simulador!$G$8-Simulador!$G$11)*(CU$2-Simulador!$G$11),0),
                0
            ),
            0
        )
    )
)</f>
        <v>#DIV/0!</v>
      </c>
      <c r="CV7" s="61" t="e">
        <f>IF(Simulador!$G$10=Simulador!$G$12,
    IF(AND(CV$2&lt;=Simulador!$G$11,ROUNDUP(Simulador!$G$10/Simulador!$G$11*CV$2,0)&lt;=Simulador!$G$12),
        ROUNDUP(Simulador!$G$10/Simulador!$G$11*CV$2,0),
        IF(CV$2&lt;=Simulador!$G$8,Simulador!$G$12,0)
    ),
    IF(CV$2&lt;=Simulador!$G$11,
        IF(ROUNDUP(Simulador!$G$10/Simulador!$G$11*CV$2,0)&lt;=Simulador!$G$12,
            ROUNDUP(Simulador!$G$10/Simulador!$G$11*CV$2,0),
            0
        ),
        IF(ROUNDUP(Simulador!$G$10+(Simulador!$G$12-Simulador!$G$10)/(Simulador!$G$8-Simulador!$G$11)*(CV$2-Simulador!$G$11),0)&lt;=Simulador!$G$12,
            IF(CV$2&lt;=Simulador!$G$8,
                ROUNDUP(Simulador!$G$10+(Simulador!$G$12-Simulador!$G$10)/(Simulador!$G$8-Simulador!$G$11)*(CV$2-Simulador!$G$11),0),
                0
            ),
            0
        )
    )
)</f>
        <v>#DIV/0!</v>
      </c>
      <c r="CW7" s="61" t="e">
        <f>IF(Simulador!$G$10=Simulador!$G$12,
    IF(AND(CW$2&lt;=Simulador!$G$11,ROUNDUP(Simulador!$G$10/Simulador!$G$11*CW$2,0)&lt;=Simulador!$G$12),
        ROUNDUP(Simulador!$G$10/Simulador!$G$11*CW$2,0),
        IF(CW$2&lt;=Simulador!$G$8,Simulador!$G$12,0)
    ),
    IF(CW$2&lt;=Simulador!$G$11,
        IF(ROUNDUP(Simulador!$G$10/Simulador!$G$11*CW$2,0)&lt;=Simulador!$G$12,
            ROUNDUP(Simulador!$G$10/Simulador!$G$11*CW$2,0),
            0
        ),
        IF(ROUNDUP(Simulador!$G$10+(Simulador!$G$12-Simulador!$G$10)/(Simulador!$G$8-Simulador!$G$11)*(CW$2-Simulador!$G$11),0)&lt;=Simulador!$G$12,
            IF(CW$2&lt;=Simulador!$G$8,
                ROUNDUP(Simulador!$G$10+(Simulador!$G$12-Simulador!$G$10)/(Simulador!$G$8-Simulador!$G$11)*(CW$2-Simulador!$G$11),0),
                0
            ),
            0
        )
    )
)</f>
        <v>#DIV/0!</v>
      </c>
      <c r="CX7" s="61" t="e">
        <f>IF(Simulador!$G$10=Simulador!$G$12,
    IF(AND(CX$2&lt;=Simulador!$G$11,ROUNDUP(Simulador!$G$10/Simulador!$G$11*CX$2,0)&lt;=Simulador!$G$12),
        ROUNDUP(Simulador!$G$10/Simulador!$G$11*CX$2,0),
        IF(CX$2&lt;=Simulador!$G$8,Simulador!$G$12,0)
    ),
    IF(CX$2&lt;=Simulador!$G$11,
        IF(ROUNDUP(Simulador!$G$10/Simulador!$G$11*CX$2,0)&lt;=Simulador!$G$12,
            ROUNDUP(Simulador!$G$10/Simulador!$G$11*CX$2,0),
            0
        ),
        IF(ROUNDUP(Simulador!$G$10+(Simulador!$G$12-Simulador!$G$10)/(Simulador!$G$8-Simulador!$G$11)*(CX$2-Simulador!$G$11),0)&lt;=Simulador!$G$12,
            IF(CX$2&lt;=Simulador!$G$8,
                ROUNDUP(Simulador!$G$10+(Simulador!$G$12-Simulador!$G$10)/(Simulador!$G$8-Simulador!$G$11)*(CX$2-Simulador!$G$11),0),
                0
            ),
            0
        )
    )
)</f>
        <v>#DIV/0!</v>
      </c>
      <c r="CY7" s="61" t="e">
        <f>IF(Simulador!$G$10=Simulador!$G$12,
    IF(AND(CY$2&lt;=Simulador!$G$11,ROUNDUP(Simulador!$G$10/Simulador!$G$11*CY$2,0)&lt;=Simulador!$G$12),
        ROUNDUP(Simulador!$G$10/Simulador!$G$11*CY$2,0),
        IF(CY$2&lt;=Simulador!$G$8,Simulador!$G$12,0)
    ),
    IF(CY$2&lt;=Simulador!$G$11,
        IF(ROUNDUP(Simulador!$G$10/Simulador!$G$11*CY$2,0)&lt;=Simulador!$G$12,
            ROUNDUP(Simulador!$G$10/Simulador!$G$11*CY$2,0),
            0
        ),
        IF(ROUNDUP(Simulador!$G$10+(Simulador!$G$12-Simulador!$G$10)/(Simulador!$G$8-Simulador!$G$11)*(CY$2-Simulador!$G$11),0)&lt;=Simulador!$G$12,
            IF(CY$2&lt;=Simulador!$G$8,
                ROUNDUP(Simulador!$G$10+(Simulador!$G$12-Simulador!$G$10)/(Simulador!$G$8-Simulador!$G$11)*(CY$2-Simulador!$G$11),0),
                0
            ),
            0
        )
    )
)</f>
        <v>#DIV/0!</v>
      </c>
      <c r="CZ7" s="61" t="e">
        <f>IF(Simulador!$G$10=Simulador!$G$12,
    IF(AND(CZ$2&lt;=Simulador!$G$11,ROUNDUP(Simulador!$G$10/Simulador!$G$11*CZ$2,0)&lt;=Simulador!$G$12),
        ROUNDUP(Simulador!$G$10/Simulador!$G$11*CZ$2,0),
        IF(CZ$2&lt;=Simulador!$G$8,Simulador!$G$12,0)
    ),
    IF(CZ$2&lt;=Simulador!$G$11,
        IF(ROUNDUP(Simulador!$G$10/Simulador!$G$11*CZ$2,0)&lt;=Simulador!$G$12,
            ROUNDUP(Simulador!$G$10/Simulador!$G$11*CZ$2,0),
            0
        ),
        IF(ROUNDUP(Simulador!$G$10+(Simulador!$G$12-Simulador!$G$10)/(Simulador!$G$8-Simulador!$G$11)*(CZ$2-Simulador!$G$11),0)&lt;=Simulador!$G$12,
            IF(CZ$2&lt;=Simulador!$G$8,
                ROUNDUP(Simulador!$G$10+(Simulador!$G$12-Simulador!$G$10)/(Simulador!$G$8-Simulador!$G$11)*(CZ$2-Simulador!$G$11),0),
                0
            ),
            0
        )
    )
)</f>
        <v>#DIV/0!</v>
      </c>
      <c r="DA7" s="61" t="e">
        <f>IF(Simulador!$G$10=Simulador!$G$12,
    IF(AND(DA$2&lt;=Simulador!$G$11,ROUNDUP(Simulador!$G$10/Simulador!$G$11*DA$2,0)&lt;=Simulador!$G$12),
        ROUNDUP(Simulador!$G$10/Simulador!$G$11*DA$2,0),
        IF(DA$2&lt;=Simulador!$G$8,Simulador!$G$12,0)
    ),
    IF(DA$2&lt;=Simulador!$G$11,
        IF(ROUNDUP(Simulador!$G$10/Simulador!$G$11*DA$2,0)&lt;=Simulador!$G$12,
            ROUNDUP(Simulador!$G$10/Simulador!$G$11*DA$2,0),
            0
        ),
        IF(ROUNDUP(Simulador!$G$10+(Simulador!$G$12-Simulador!$G$10)/(Simulador!$G$8-Simulador!$G$11)*(DA$2-Simulador!$G$11),0)&lt;=Simulador!$G$12,
            IF(DA$2&lt;=Simulador!$G$8,
                ROUNDUP(Simulador!$G$10+(Simulador!$G$12-Simulador!$G$10)/(Simulador!$G$8-Simulador!$G$11)*(DA$2-Simulador!$G$11),0),
                0
            ),
            0
        )
    )
)</f>
        <v>#DIV/0!</v>
      </c>
      <c r="DB7" s="61" t="e">
        <f>IF(Simulador!$G$10=Simulador!$G$12,
    IF(AND(DB$2&lt;=Simulador!$G$11,ROUNDUP(Simulador!$G$10/Simulador!$G$11*DB$2,0)&lt;=Simulador!$G$12),
        ROUNDUP(Simulador!$G$10/Simulador!$G$11*DB$2,0),
        IF(DB$2&lt;=Simulador!$G$8,Simulador!$G$12,0)
    ),
    IF(DB$2&lt;=Simulador!$G$11,
        IF(ROUNDUP(Simulador!$G$10/Simulador!$G$11*DB$2,0)&lt;=Simulador!$G$12,
            ROUNDUP(Simulador!$G$10/Simulador!$G$11*DB$2,0),
            0
        ),
        IF(ROUNDUP(Simulador!$G$10+(Simulador!$G$12-Simulador!$G$10)/(Simulador!$G$8-Simulador!$G$11)*(DB$2-Simulador!$G$11),0)&lt;=Simulador!$G$12,
            IF(DB$2&lt;=Simulador!$G$8,
                ROUNDUP(Simulador!$G$10+(Simulador!$G$12-Simulador!$G$10)/(Simulador!$G$8-Simulador!$G$11)*(DB$2-Simulador!$G$11),0),
                0
            ),
            0
        )
    )
)</f>
        <v>#DIV/0!</v>
      </c>
      <c r="DC7" s="61" t="e">
        <f>IF(Simulador!$G$10=Simulador!$G$12,
    IF(AND(DC$2&lt;=Simulador!$G$11,ROUNDUP(Simulador!$G$10/Simulador!$G$11*DC$2,0)&lt;=Simulador!$G$12),
        ROUNDUP(Simulador!$G$10/Simulador!$G$11*DC$2,0),
        IF(DC$2&lt;=Simulador!$G$8,Simulador!$G$12,0)
    ),
    IF(DC$2&lt;=Simulador!$G$11,
        IF(ROUNDUP(Simulador!$G$10/Simulador!$G$11*DC$2,0)&lt;=Simulador!$G$12,
            ROUNDUP(Simulador!$G$10/Simulador!$G$11*DC$2,0),
            0
        ),
        IF(ROUNDUP(Simulador!$G$10+(Simulador!$G$12-Simulador!$G$10)/(Simulador!$G$8-Simulador!$G$11)*(DC$2-Simulador!$G$11),0)&lt;=Simulador!$G$12,
            IF(DC$2&lt;=Simulador!$G$8,
                ROUNDUP(Simulador!$G$10+(Simulador!$G$12-Simulador!$G$10)/(Simulador!$G$8-Simulador!$G$11)*(DC$2-Simulador!$G$11),0),
                0
            ),
            0
        )
    )
)</f>
        <v>#DIV/0!</v>
      </c>
      <c r="DD7" s="61" t="e">
        <f>IF(Simulador!$G$10=Simulador!$G$12,
    IF(AND(DD$2&lt;=Simulador!$G$11,ROUNDUP(Simulador!$G$10/Simulador!$G$11*DD$2,0)&lt;=Simulador!$G$12),
        ROUNDUP(Simulador!$G$10/Simulador!$G$11*DD$2,0),
        IF(DD$2&lt;=Simulador!$G$8,Simulador!$G$12,0)
    ),
    IF(DD$2&lt;=Simulador!$G$11,
        IF(ROUNDUP(Simulador!$G$10/Simulador!$G$11*DD$2,0)&lt;=Simulador!$G$12,
            ROUNDUP(Simulador!$G$10/Simulador!$G$11*DD$2,0),
            0
        ),
        IF(ROUNDUP(Simulador!$G$10+(Simulador!$G$12-Simulador!$G$10)/(Simulador!$G$8-Simulador!$G$11)*(DD$2-Simulador!$G$11),0)&lt;=Simulador!$G$12,
            IF(DD$2&lt;=Simulador!$G$8,
                ROUNDUP(Simulador!$G$10+(Simulador!$G$12-Simulador!$G$10)/(Simulador!$G$8-Simulador!$G$11)*(DD$2-Simulador!$G$11),0),
                0
            ),
            0
        )
    )
)</f>
        <v>#DIV/0!</v>
      </c>
      <c r="DE7" s="61" t="e">
        <f>IF(Simulador!$G$10=Simulador!$G$12,
    IF(AND(DE$2&lt;=Simulador!$G$11,ROUNDUP(Simulador!$G$10/Simulador!$G$11*DE$2,0)&lt;=Simulador!$G$12),
        ROUNDUP(Simulador!$G$10/Simulador!$G$11*DE$2,0),
        IF(DE$2&lt;=Simulador!$G$8,Simulador!$G$12,0)
    ),
    IF(DE$2&lt;=Simulador!$G$11,
        IF(ROUNDUP(Simulador!$G$10/Simulador!$G$11*DE$2,0)&lt;=Simulador!$G$12,
            ROUNDUP(Simulador!$G$10/Simulador!$G$11*DE$2,0),
            0
        ),
        IF(ROUNDUP(Simulador!$G$10+(Simulador!$G$12-Simulador!$G$10)/(Simulador!$G$8-Simulador!$G$11)*(DE$2-Simulador!$G$11),0)&lt;=Simulador!$G$12,
            IF(DE$2&lt;=Simulador!$G$8,
                ROUNDUP(Simulador!$G$10+(Simulador!$G$12-Simulador!$G$10)/(Simulador!$G$8-Simulador!$G$11)*(DE$2-Simulador!$G$11),0),
                0
            ),
            0
        )
    )
)</f>
        <v>#DIV/0!</v>
      </c>
      <c r="DF7" s="61" t="e">
        <f>IF(Simulador!$G$10=Simulador!$G$12,
    IF(AND(DF$2&lt;=Simulador!$G$11,ROUNDUP(Simulador!$G$10/Simulador!$G$11*DF$2,0)&lt;=Simulador!$G$12),
        ROUNDUP(Simulador!$G$10/Simulador!$G$11*DF$2,0),
        IF(DF$2&lt;=Simulador!$G$8,Simulador!$G$12,0)
    ),
    IF(DF$2&lt;=Simulador!$G$11,
        IF(ROUNDUP(Simulador!$G$10/Simulador!$G$11*DF$2,0)&lt;=Simulador!$G$12,
            ROUNDUP(Simulador!$G$10/Simulador!$G$11*DF$2,0),
            0
        ),
        IF(ROUNDUP(Simulador!$G$10+(Simulador!$G$12-Simulador!$G$10)/(Simulador!$G$8-Simulador!$G$11)*(DF$2-Simulador!$G$11),0)&lt;=Simulador!$G$12,
            IF(DF$2&lt;=Simulador!$G$8,
                ROUNDUP(Simulador!$G$10+(Simulador!$G$12-Simulador!$G$10)/(Simulador!$G$8-Simulador!$G$11)*(DF$2-Simulador!$G$11),0),
                0
            ),
            0
        )
    )
)</f>
        <v>#DIV/0!</v>
      </c>
      <c r="DG7" s="61" t="e">
        <f>IF(Simulador!$G$10=Simulador!$G$12,
    IF(AND(DG$2&lt;=Simulador!$G$11,ROUNDUP(Simulador!$G$10/Simulador!$G$11*DG$2,0)&lt;=Simulador!$G$12),
        ROUNDUP(Simulador!$G$10/Simulador!$G$11*DG$2,0),
        IF(DG$2&lt;=Simulador!$G$8,Simulador!$G$12,0)
    ),
    IF(DG$2&lt;=Simulador!$G$11,
        IF(ROUNDUP(Simulador!$G$10/Simulador!$G$11*DG$2,0)&lt;=Simulador!$G$12,
            ROUNDUP(Simulador!$G$10/Simulador!$G$11*DG$2,0),
            0
        ),
        IF(ROUNDUP(Simulador!$G$10+(Simulador!$G$12-Simulador!$G$10)/(Simulador!$G$8-Simulador!$G$11)*(DG$2-Simulador!$G$11),0)&lt;=Simulador!$G$12,
            IF(DG$2&lt;=Simulador!$G$8,
                ROUNDUP(Simulador!$G$10+(Simulador!$G$12-Simulador!$G$10)/(Simulador!$G$8-Simulador!$G$11)*(DG$2-Simulador!$G$11),0),
                0
            ),
            0
        )
    )
)</f>
        <v>#DIV/0!</v>
      </c>
      <c r="DH7" s="61" t="e">
        <f>IF(Simulador!$G$10=Simulador!$G$12,
    IF(AND(DH$2&lt;=Simulador!$G$11,ROUNDUP(Simulador!$G$10/Simulador!$G$11*DH$2,0)&lt;=Simulador!$G$12),
        ROUNDUP(Simulador!$G$10/Simulador!$G$11*DH$2,0),
        IF(DH$2&lt;=Simulador!$G$8,Simulador!$G$12,0)
    ),
    IF(DH$2&lt;=Simulador!$G$11,
        IF(ROUNDUP(Simulador!$G$10/Simulador!$G$11*DH$2,0)&lt;=Simulador!$G$12,
            ROUNDUP(Simulador!$G$10/Simulador!$G$11*DH$2,0),
            0
        ),
        IF(ROUNDUP(Simulador!$G$10+(Simulador!$G$12-Simulador!$G$10)/(Simulador!$G$8-Simulador!$G$11)*(DH$2-Simulador!$G$11),0)&lt;=Simulador!$G$12,
            IF(DH$2&lt;=Simulador!$G$8,
                ROUNDUP(Simulador!$G$10+(Simulador!$G$12-Simulador!$G$10)/(Simulador!$G$8-Simulador!$G$11)*(DH$2-Simulador!$G$11),0),
                0
            ),
            0
        )
    )
)</f>
        <v>#DIV/0!</v>
      </c>
      <c r="DI7" s="61" t="e">
        <f>IF(Simulador!$G$10=Simulador!$G$12,
    IF(AND(DI$2&lt;=Simulador!$G$11,ROUNDUP(Simulador!$G$10/Simulador!$G$11*DI$2,0)&lt;=Simulador!$G$12),
        ROUNDUP(Simulador!$G$10/Simulador!$G$11*DI$2,0),
        IF(DI$2&lt;=Simulador!$G$8,Simulador!$G$12,0)
    ),
    IF(DI$2&lt;=Simulador!$G$11,
        IF(ROUNDUP(Simulador!$G$10/Simulador!$G$11*DI$2,0)&lt;=Simulador!$G$12,
            ROUNDUP(Simulador!$G$10/Simulador!$G$11*DI$2,0),
            0
        ),
        IF(ROUNDUP(Simulador!$G$10+(Simulador!$G$12-Simulador!$G$10)/(Simulador!$G$8-Simulador!$G$11)*(DI$2-Simulador!$G$11),0)&lt;=Simulador!$G$12,
            IF(DI$2&lt;=Simulador!$G$8,
                ROUNDUP(Simulador!$G$10+(Simulador!$G$12-Simulador!$G$10)/(Simulador!$G$8-Simulador!$G$11)*(DI$2-Simulador!$G$11),0),
                0
            ),
            0
        )
    )
)</f>
        <v>#DIV/0!</v>
      </c>
      <c r="DJ7" s="61" t="e">
        <f>IF(Simulador!$G$10=Simulador!$G$12,
    IF(AND(DJ$2&lt;=Simulador!$G$11,ROUNDUP(Simulador!$G$10/Simulador!$G$11*DJ$2,0)&lt;=Simulador!$G$12),
        ROUNDUP(Simulador!$G$10/Simulador!$G$11*DJ$2,0),
        IF(DJ$2&lt;=Simulador!$G$8,Simulador!$G$12,0)
    ),
    IF(DJ$2&lt;=Simulador!$G$11,
        IF(ROUNDUP(Simulador!$G$10/Simulador!$G$11*DJ$2,0)&lt;=Simulador!$G$12,
            ROUNDUP(Simulador!$G$10/Simulador!$G$11*DJ$2,0),
            0
        ),
        IF(ROUNDUP(Simulador!$G$10+(Simulador!$G$12-Simulador!$G$10)/(Simulador!$G$8-Simulador!$G$11)*(DJ$2-Simulador!$G$11),0)&lt;=Simulador!$G$12,
            IF(DJ$2&lt;=Simulador!$G$8,
                ROUNDUP(Simulador!$G$10+(Simulador!$G$12-Simulador!$G$10)/(Simulador!$G$8-Simulador!$G$11)*(DJ$2-Simulador!$G$11),0),
                0
            ),
            0
        )
    )
)</f>
        <v>#DIV/0!</v>
      </c>
      <c r="DK7" s="61" t="e">
        <f>IF(Simulador!$G$10=Simulador!$G$12,
    IF(AND(DK$2&lt;=Simulador!$G$11,ROUNDUP(Simulador!$G$10/Simulador!$G$11*DK$2,0)&lt;=Simulador!$G$12),
        ROUNDUP(Simulador!$G$10/Simulador!$G$11*DK$2,0),
        IF(DK$2&lt;=Simulador!$G$8,Simulador!$G$12,0)
    ),
    IF(DK$2&lt;=Simulador!$G$11,
        IF(ROUNDUP(Simulador!$G$10/Simulador!$G$11*DK$2,0)&lt;=Simulador!$G$12,
            ROUNDUP(Simulador!$G$10/Simulador!$G$11*DK$2,0),
            0
        ),
        IF(ROUNDUP(Simulador!$G$10+(Simulador!$G$12-Simulador!$G$10)/(Simulador!$G$8-Simulador!$G$11)*(DK$2-Simulador!$G$11),0)&lt;=Simulador!$G$12,
            IF(DK$2&lt;=Simulador!$G$8,
                ROUNDUP(Simulador!$G$10+(Simulador!$G$12-Simulador!$G$10)/(Simulador!$G$8-Simulador!$G$11)*(DK$2-Simulador!$G$11),0),
                0
            ),
            0
        )
    )
)</f>
        <v>#DIV/0!</v>
      </c>
      <c r="DL7" s="61" t="e">
        <f>IF(Simulador!$G$10=Simulador!$G$12,
    IF(AND(DL$2&lt;=Simulador!$G$11,ROUNDUP(Simulador!$G$10/Simulador!$G$11*DL$2,0)&lt;=Simulador!$G$12),
        ROUNDUP(Simulador!$G$10/Simulador!$G$11*DL$2,0),
        IF(DL$2&lt;=Simulador!$G$8,Simulador!$G$12,0)
    ),
    IF(DL$2&lt;=Simulador!$G$11,
        IF(ROUNDUP(Simulador!$G$10/Simulador!$G$11*DL$2,0)&lt;=Simulador!$G$12,
            ROUNDUP(Simulador!$G$10/Simulador!$G$11*DL$2,0),
            0
        ),
        IF(ROUNDUP(Simulador!$G$10+(Simulador!$G$12-Simulador!$G$10)/(Simulador!$G$8-Simulador!$G$11)*(DL$2-Simulador!$G$11),0)&lt;=Simulador!$G$12,
            IF(DL$2&lt;=Simulador!$G$8,
                ROUNDUP(Simulador!$G$10+(Simulador!$G$12-Simulador!$G$10)/(Simulador!$G$8-Simulador!$G$11)*(DL$2-Simulador!$G$11),0),
                0
            ),
            0
        )
    )
)</f>
        <v>#DIV/0!</v>
      </c>
      <c r="DM7" s="61" t="e">
        <f>IF(Simulador!$G$10=Simulador!$G$12,
    IF(AND(DM$2&lt;=Simulador!$G$11,ROUNDUP(Simulador!$G$10/Simulador!$G$11*DM$2,0)&lt;=Simulador!$G$12),
        ROUNDUP(Simulador!$G$10/Simulador!$G$11*DM$2,0),
        IF(DM$2&lt;=Simulador!$G$8,Simulador!$G$12,0)
    ),
    IF(DM$2&lt;=Simulador!$G$11,
        IF(ROUNDUP(Simulador!$G$10/Simulador!$G$11*DM$2,0)&lt;=Simulador!$G$12,
            ROUNDUP(Simulador!$G$10/Simulador!$G$11*DM$2,0),
            0
        ),
        IF(ROUNDUP(Simulador!$G$10+(Simulador!$G$12-Simulador!$G$10)/(Simulador!$G$8-Simulador!$G$11)*(DM$2-Simulador!$G$11),0)&lt;=Simulador!$G$12,
            IF(DM$2&lt;=Simulador!$G$8,
                ROUNDUP(Simulador!$G$10+(Simulador!$G$12-Simulador!$G$10)/(Simulador!$G$8-Simulador!$G$11)*(DM$2-Simulador!$G$11),0),
                0
            ),
            0
        )
    )
)</f>
        <v>#DIV/0!</v>
      </c>
      <c r="DN7" s="61" t="e">
        <f>IF(Simulador!$G$10=Simulador!$G$12,
    IF(AND(DN$2&lt;=Simulador!$G$11,ROUNDUP(Simulador!$G$10/Simulador!$G$11*DN$2,0)&lt;=Simulador!$G$12),
        ROUNDUP(Simulador!$G$10/Simulador!$G$11*DN$2,0),
        IF(DN$2&lt;=Simulador!$G$8,Simulador!$G$12,0)
    ),
    IF(DN$2&lt;=Simulador!$G$11,
        IF(ROUNDUP(Simulador!$G$10/Simulador!$G$11*DN$2,0)&lt;=Simulador!$G$12,
            ROUNDUP(Simulador!$G$10/Simulador!$G$11*DN$2,0),
            0
        ),
        IF(ROUNDUP(Simulador!$G$10+(Simulador!$G$12-Simulador!$G$10)/(Simulador!$G$8-Simulador!$G$11)*(DN$2-Simulador!$G$11),0)&lt;=Simulador!$G$12,
            IF(DN$2&lt;=Simulador!$G$8,
                ROUNDUP(Simulador!$G$10+(Simulador!$G$12-Simulador!$G$10)/(Simulador!$G$8-Simulador!$G$11)*(DN$2-Simulador!$G$11),0),
                0
            ),
            0
        )
    )
)</f>
        <v>#DIV/0!</v>
      </c>
      <c r="DO7" s="61" t="e">
        <f>IF(Simulador!$G$10=Simulador!$G$12,
    IF(AND(DO$2&lt;=Simulador!$G$11,ROUNDUP(Simulador!$G$10/Simulador!$G$11*DO$2,0)&lt;=Simulador!$G$12),
        ROUNDUP(Simulador!$G$10/Simulador!$G$11*DO$2,0),
        IF(DO$2&lt;=Simulador!$G$8,Simulador!$G$12,0)
    ),
    IF(DO$2&lt;=Simulador!$G$11,
        IF(ROUNDUP(Simulador!$G$10/Simulador!$G$11*DO$2,0)&lt;=Simulador!$G$12,
            ROUNDUP(Simulador!$G$10/Simulador!$G$11*DO$2,0),
            0
        ),
        IF(ROUNDUP(Simulador!$G$10+(Simulador!$G$12-Simulador!$G$10)/(Simulador!$G$8-Simulador!$G$11)*(DO$2-Simulador!$G$11),0)&lt;=Simulador!$G$12,
            IF(DO$2&lt;=Simulador!$G$8,
                ROUNDUP(Simulador!$G$10+(Simulador!$G$12-Simulador!$G$10)/(Simulador!$G$8-Simulador!$G$11)*(DO$2-Simulador!$G$11),0),
                0
            ),
            0
        )
    )
)</f>
        <v>#DIV/0!</v>
      </c>
      <c r="DP7" s="61" t="e">
        <f>IF(Simulador!$G$10=Simulador!$G$12,
    IF(AND(DP$2&lt;=Simulador!$G$11,ROUNDUP(Simulador!$G$10/Simulador!$G$11*DP$2,0)&lt;=Simulador!$G$12),
        ROUNDUP(Simulador!$G$10/Simulador!$G$11*DP$2,0),
        IF(DP$2&lt;=Simulador!$G$8,Simulador!$G$12,0)
    ),
    IF(DP$2&lt;=Simulador!$G$11,
        IF(ROUNDUP(Simulador!$G$10/Simulador!$G$11*DP$2,0)&lt;=Simulador!$G$12,
            ROUNDUP(Simulador!$G$10/Simulador!$G$11*DP$2,0),
            0
        ),
        IF(ROUNDUP(Simulador!$G$10+(Simulador!$G$12-Simulador!$G$10)/(Simulador!$G$8-Simulador!$G$11)*(DP$2-Simulador!$G$11),0)&lt;=Simulador!$G$12,
            IF(DP$2&lt;=Simulador!$G$8,
                ROUNDUP(Simulador!$G$10+(Simulador!$G$12-Simulador!$G$10)/(Simulador!$G$8-Simulador!$G$11)*(DP$2-Simulador!$G$11),0),
                0
            ),
            0
        )
    )
)</f>
        <v>#DIV/0!</v>
      </c>
      <c r="DQ7" s="61" t="e">
        <f>IF(Simulador!$G$10=Simulador!$G$12,
    IF(AND(DQ$2&lt;=Simulador!$G$11,ROUNDUP(Simulador!$G$10/Simulador!$G$11*DQ$2,0)&lt;=Simulador!$G$12),
        ROUNDUP(Simulador!$G$10/Simulador!$G$11*DQ$2,0),
        IF(DQ$2&lt;=Simulador!$G$8,Simulador!$G$12,0)
    ),
    IF(DQ$2&lt;=Simulador!$G$11,
        IF(ROUNDUP(Simulador!$G$10/Simulador!$G$11*DQ$2,0)&lt;=Simulador!$G$12,
            ROUNDUP(Simulador!$G$10/Simulador!$G$11*DQ$2,0),
            0
        ),
        IF(ROUNDUP(Simulador!$G$10+(Simulador!$G$12-Simulador!$G$10)/(Simulador!$G$8-Simulador!$G$11)*(DQ$2-Simulador!$G$11),0)&lt;=Simulador!$G$12,
            IF(DQ$2&lt;=Simulador!$G$8,
                ROUNDUP(Simulador!$G$10+(Simulador!$G$12-Simulador!$G$10)/(Simulador!$G$8-Simulador!$G$11)*(DQ$2-Simulador!$G$11),0),
                0
            ),
            0
        )
    )
)</f>
        <v>#DIV/0!</v>
      </c>
      <c r="DR7" s="61" t="e">
        <f>IF(Simulador!$G$10=Simulador!$G$12,
    IF(AND(DR$2&lt;=Simulador!$G$11,ROUNDUP(Simulador!$G$10/Simulador!$G$11*DR$2,0)&lt;=Simulador!$G$12),
        ROUNDUP(Simulador!$G$10/Simulador!$G$11*DR$2,0),
        IF(DR$2&lt;=Simulador!$G$8,Simulador!$G$12,0)
    ),
    IF(DR$2&lt;=Simulador!$G$11,
        IF(ROUNDUP(Simulador!$G$10/Simulador!$G$11*DR$2,0)&lt;=Simulador!$G$12,
            ROUNDUP(Simulador!$G$10/Simulador!$G$11*DR$2,0),
            0
        ),
        IF(ROUNDUP(Simulador!$G$10+(Simulador!$G$12-Simulador!$G$10)/(Simulador!$G$8-Simulador!$G$11)*(DR$2-Simulador!$G$11),0)&lt;=Simulador!$G$12,
            IF(DR$2&lt;=Simulador!$G$8,
                ROUNDUP(Simulador!$G$10+(Simulador!$G$12-Simulador!$G$10)/(Simulador!$G$8-Simulador!$G$11)*(DR$2-Simulador!$G$11),0),
                0
            ),
            0
        )
    )
)</f>
        <v>#DIV/0!</v>
      </c>
      <c r="DS7" s="61" t="e">
        <f>IF(Simulador!$G$10=Simulador!$G$12,
    IF(AND(DS$2&lt;=Simulador!$G$11,ROUNDUP(Simulador!$G$10/Simulador!$G$11*DS$2,0)&lt;=Simulador!$G$12),
        ROUNDUP(Simulador!$G$10/Simulador!$G$11*DS$2,0),
        IF(DS$2&lt;=Simulador!$G$8,Simulador!$G$12,0)
    ),
    IF(DS$2&lt;=Simulador!$G$11,
        IF(ROUNDUP(Simulador!$G$10/Simulador!$G$11*DS$2,0)&lt;=Simulador!$G$12,
            ROUNDUP(Simulador!$G$10/Simulador!$G$11*DS$2,0),
            0
        ),
        IF(ROUNDUP(Simulador!$G$10+(Simulador!$G$12-Simulador!$G$10)/(Simulador!$G$8-Simulador!$G$11)*(DS$2-Simulador!$G$11),0)&lt;=Simulador!$G$12,
            IF(DS$2&lt;=Simulador!$G$8,
                ROUNDUP(Simulador!$G$10+(Simulador!$G$12-Simulador!$G$10)/(Simulador!$G$8-Simulador!$G$11)*(DS$2-Simulador!$G$11),0),
                0
            ),
            0
        )
    )
)</f>
        <v>#DIV/0!</v>
      </c>
      <c r="DT7" s="61" t="e">
        <f>IF(Simulador!$G$10=Simulador!$G$12,
    IF(AND(DT$2&lt;=Simulador!$G$11,ROUNDUP(Simulador!$G$10/Simulador!$G$11*DT$2,0)&lt;=Simulador!$G$12),
        ROUNDUP(Simulador!$G$10/Simulador!$G$11*DT$2,0),
        IF(DT$2&lt;=Simulador!$G$8,Simulador!$G$12,0)
    ),
    IF(DT$2&lt;=Simulador!$G$11,
        IF(ROUNDUP(Simulador!$G$10/Simulador!$G$11*DT$2,0)&lt;=Simulador!$G$12,
            ROUNDUP(Simulador!$G$10/Simulador!$G$11*DT$2,0),
            0
        ),
        IF(ROUNDUP(Simulador!$G$10+(Simulador!$G$12-Simulador!$G$10)/(Simulador!$G$8-Simulador!$G$11)*(DT$2-Simulador!$G$11),0)&lt;=Simulador!$G$12,
            IF(DT$2&lt;=Simulador!$G$8,
                ROUNDUP(Simulador!$G$10+(Simulador!$G$12-Simulador!$G$10)/(Simulador!$G$8-Simulador!$G$11)*(DT$2-Simulador!$G$11),0),
                0
            ),
            0
        )
    )
)</f>
        <v>#DIV/0!</v>
      </c>
      <c r="DU7" s="61" t="e">
        <f>IF(Simulador!$G$10=Simulador!$G$12,
    IF(AND(DU$2&lt;=Simulador!$G$11,ROUNDUP(Simulador!$G$10/Simulador!$G$11*DU$2,0)&lt;=Simulador!$G$12),
        ROUNDUP(Simulador!$G$10/Simulador!$G$11*DU$2,0),
        IF(DU$2&lt;=Simulador!$G$8,Simulador!$G$12,0)
    ),
    IF(DU$2&lt;=Simulador!$G$11,
        IF(ROUNDUP(Simulador!$G$10/Simulador!$G$11*DU$2,0)&lt;=Simulador!$G$12,
            ROUNDUP(Simulador!$G$10/Simulador!$G$11*DU$2,0),
            0
        ),
        IF(ROUNDUP(Simulador!$G$10+(Simulador!$G$12-Simulador!$G$10)/(Simulador!$G$8-Simulador!$G$11)*(DU$2-Simulador!$G$11),0)&lt;=Simulador!$G$12,
            IF(DU$2&lt;=Simulador!$G$8,
                ROUNDUP(Simulador!$G$10+(Simulador!$G$12-Simulador!$G$10)/(Simulador!$G$8-Simulador!$G$11)*(DU$2-Simulador!$G$11),0),
                0
            ),
            0
        )
    )
)</f>
        <v>#DIV/0!</v>
      </c>
      <c r="DV7" s="61" t="e">
        <f>IF(Simulador!$G$10=Simulador!$G$12,
    IF(AND(DV$2&lt;=Simulador!$G$11,ROUNDUP(Simulador!$G$10/Simulador!$G$11*DV$2,0)&lt;=Simulador!$G$12),
        ROUNDUP(Simulador!$G$10/Simulador!$G$11*DV$2,0),
        IF(DV$2&lt;=Simulador!$G$8,Simulador!$G$12,0)
    ),
    IF(DV$2&lt;=Simulador!$G$11,
        IF(ROUNDUP(Simulador!$G$10/Simulador!$G$11*DV$2,0)&lt;=Simulador!$G$12,
            ROUNDUP(Simulador!$G$10/Simulador!$G$11*DV$2,0),
            0
        ),
        IF(ROUNDUP(Simulador!$G$10+(Simulador!$G$12-Simulador!$G$10)/(Simulador!$G$8-Simulador!$G$11)*(DV$2-Simulador!$G$11),0)&lt;=Simulador!$G$12,
            IF(DV$2&lt;=Simulador!$G$8,
                ROUNDUP(Simulador!$G$10+(Simulador!$G$12-Simulador!$G$10)/(Simulador!$G$8-Simulador!$G$11)*(DV$2-Simulador!$G$11),0),
                0
            ),
            0
        )
    )
)</f>
        <v>#DIV/0!</v>
      </c>
      <c r="DW7" s="61" t="e">
        <f>IF(Simulador!$G$10=Simulador!$G$12,
    IF(AND(DW$2&lt;=Simulador!$G$11,ROUNDUP(Simulador!$G$10/Simulador!$G$11*DW$2,0)&lt;=Simulador!$G$12),
        ROUNDUP(Simulador!$G$10/Simulador!$G$11*DW$2,0),
        IF(DW$2&lt;=Simulador!$G$8,Simulador!$G$12,0)
    ),
    IF(DW$2&lt;=Simulador!$G$11,
        IF(ROUNDUP(Simulador!$G$10/Simulador!$G$11*DW$2,0)&lt;=Simulador!$G$12,
            ROUNDUP(Simulador!$G$10/Simulador!$G$11*DW$2,0),
            0
        ),
        IF(ROUNDUP(Simulador!$G$10+(Simulador!$G$12-Simulador!$G$10)/(Simulador!$G$8-Simulador!$G$11)*(DW$2-Simulador!$G$11),0)&lt;=Simulador!$G$12,
            IF(DW$2&lt;=Simulador!$G$8,
                ROUNDUP(Simulador!$G$10+(Simulador!$G$12-Simulador!$G$10)/(Simulador!$G$8-Simulador!$G$11)*(DW$2-Simulador!$G$11),0),
                0
            ),
            0
        )
    )
)</f>
        <v>#DIV/0!</v>
      </c>
      <c r="DX7" s="61" t="e">
        <f>IF(Simulador!$G$10=Simulador!$G$12,
    IF(AND(DX$2&lt;=Simulador!$G$11,ROUNDUP(Simulador!$G$10/Simulador!$G$11*DX$2,0)&lt;=Simulador!$G$12),
        ROUNDUP(Simulador!$G$10/Simulador!$G$11*DX$2,0),
        IF(DX$2&lt;=Simulador!$G$8,Simulador!$G$12,0)
    ),
    IF(DX$2&lt;=Simulador!$G$11,
        IF(ROUNDUP(Simulador!$G$10/Simulador!$G$11*DX$2,0)&lt;=Simulador!$G$12,
            ROUNDUP(Simulador!$G$10/Simulador!$G$11*DX$2,0),
            0
        ),
        IF(ROUNDUP(Simulador!$G$10+(Simulador!$G$12-Simulador!$G$10)/(Simulador!$G$8-Simulador!$G$11)*(DX$2-Simulador!$G$11),0)&lt;=Simulador!$G$12,
            IF(DX$2&lt;=Simulador!$G$8,
                ROUNDUP(Simulador!$G$10+(Simulador!$G$12-Simulador!$G$10)/(Simulador!$G$8-Simulador!$G$11)*(DX$2-Simulador!$G$11),0),
                0
            ),
            0
        )
    )
)</f>
        <v>#DIV/0!</v>
      </c>
      <c r="DY7" s="61" t="e">
        <f>IF(Simulador!$G$10=Simulador!$G$12,
    IF(AND(DY$2&lt;=Simulador!$G$11,ROUNDUP(Simulador!$G$10/Simulador!$G$11*DY$2,0)&lt;=Simulador!$G$12),
        ROUNDUP(Simulador!$G$10/Simulador!$G$11*DY$2,0),
        IF(DY$2&lt;=Simulador!$G$8,Simulador!$G$12,0)
    ),
    IF(DY$2&lt;=Simulador!$G$11,
        IF(ROUNDUP(Simulador!$G$10/Simulador!$G$11*DY$2,0)&lt;=Simulador!$G$12,
            ROUNDUP(Simulador!$G$10/Simulador!$G$11*DY$2,0),
            0
        ),
        IF(ROUNDUP(Simulador!$G$10+(Simulador!$G$12-Simulador!$G$10)/(Simulador!$G$8-Simulador!$G$11)*(DY$2-Simulador!$G$11),0)&lt;=Simulador!$G$12,
            IF(DY$2&lt;=Simulador!$G$8,
                ROUNDUP(Simulador!$G$10+(Simulador!$G$12-Simulador!$G$10)/(Simulador!$G$8-Simulador!$G$11)*(DY$2-Simulador!$G$11),0),
                0
            ),
            0
        )
    )
)</f>
        <v>#DIV/0!</v>
      </c>
      <c r="DZ7" s="61" t="e">
        <f>IF(Simulador!$G$10=Simulador!$G$12,
    IF(AND(DZ$2&lt;=Simulador!$G$11,ROUNDUP(Simulador!$G$10/Simulador!$G$11*DZ$2,0)&lt;=Simulador!$G$12),
        ROUNDUP(Simulador!$G$10/Simulador!$G$11*DZ$2,0),
        IF(DZ$2&lt;=Simulador!$G$8,Simulador!$G$12,0)
    ),
    IF(DZ$2&lt;=Simulador!$G$11,
        IF(ROUNDUP(Simulador!$G$10/Simulador!$G$11*DZ$2,0)&lt;=Simulador!$G$12,
            ROUNDUP(Simulador!$G$10/Simulador!$G$11*DZ$2,0),
            0
        ),
        IF(ROUNDUP(Simulador!$G$10+(Simulador!$G$12-Simulador!$G$10)/(Simulador!$G$8-Simulador!$G$11)*(DZ$2-Simulador!$G$11),0)&lt;=Simulador!$G$12,
            IF(DZ$2&lt;=Simulador!$G$8,
                ROUNDUP(Simulador!$G$10+(Simulador!$G$12-Simulador!$G$10)/(Simulador!$G$8-Simulador!$G$11)*(DZ$2-Simulador!$G$11),0),
                0
            ),
            0
        )
    )
)</f>
        <v>#DIV/0!</v>
      </c>
      <c r="EA7" s="61" t="e">
        <f>IF(Simulador!$G$10=Simulador!$G$12,
    IF(AND(EA$2&lt;=Simulador!$G$11,ROUNDUP(Simulador!$G$10/Simulador!$G$11*EA$2,0)&lt;=Simulador!$G$12),
        ROUNDUP(Simulador!$G$10/Simulador!$G$11*EA$2,0),
        IF(EA$2&lt;=Simulador!$G$8,Simulador!$G$12,0)
    ),
    IF(EA$2&lt;=Simulador!$G$11,
        IF(ROUNDUP(Simulador!$G$10/Simulador!$G$11*EA$2,0)&lt;=Simulador!$G$12,
            ROUNDUP(Simulador!$G$10/Simulador!$G$11*EA$2,0),
            0
        ),
        IF(ROUNDUP(Simulador!$G$10+(Simulador!$G$12-Simulador!$G$10)/(Simulador!$G$8-Simulador!$G$11)*(EA$2-Simulador!$G$11),0)&lt;=Simulador!$G$12,
            IF(EA$2&lt;=Simulador!$G$8,
                ROUNDUP(Simulador!$G$10+(Simulador!$G$12-Simulador!$G$10)/(Simulador!$G$8-Simulador!$G$11)*(EA$2-Simulador!$G$11),0),
                0
            ),
            0
        )
    )
)</f>
        <v>#DIV/0!</v>
      </c>
      <c r="EB7" s="61" t="e">
        <f>IF(Simulador!$G$10=Simulador!$G$12,
    IF(AND(EB$2&lt;=Simulador!$G$11,ROUNDUP(Simulador!$G$10/Simulador!$G$11*EB$2,0)&lt;=Simulador!$G$12),
        ROUNDUP(Simulador!$G$10/Simulador!$G$11*EB$2,0),
        IF(EB$2&lt;=Simulador!$G$8,Simulador!$G$12,0)
    ),
    IF(EB$2&lt;=Simulador!$G$11,
        IF(ROUNDUP(Simulador!$G$10/Simulador!$G$11*EB$2,0)&lt;=Simulador!$G$12,
            ROUNDUP(Simulador!$G$10/Simulador!$G$11*EB$2,0),
            0
        ),
        IF(ROUNDUP(Simulador!$G$10+(Simulador!$G$12-Simulador!$G$10)/(Simulador!$G$8-Simulador!$G$11)*(EB$2-Simulador!$G$11),0)&lt;=Simulador!$G$12,
            IF(EB$2&lt;=Simulador!$G$8,
                ROUNDUP(Simulador!$G$10+(Simulador!$G$12-Simulador!$G$10)/(Simulador!$G$8-Simulador!$G$11)*(EB$2-Simulador!$G$11),0),
                0
            ),
            0
        )
    )
)</f>
        <v>#DIV/0!</v>
      </c>
      <c r="EC7" s="61" t="e">
        <f>IF(Simulador!$G$10=Simulador!$G$12,
    IF(AND(EC$2&lt;=Simulador!$G$11,ROUNDUP(Simulador!$G$10/Simulador!$G$11*EC$2,0)&lt;=Simulador!$G$12),
        ROUNDUP(Simulador!$G$10/Simulador!$G$11*EC$2,0),
        IF(EC$2&lt;=Simulador!$G$8,Simulador!$G$12,0)
    ),
    IF(EC$2&lt;=Simulador!$G$11,
        IF(ROUNDUP(Simulador!$G$10/Simulador!$G$11*EC$2,0)&lt;=Simulador!$G$12,
            ROUNDUP(Simulador!$G$10/Simulador!$G$11*EC$2,0),
            0
        ),
        IF(ROUNDUP(Simulador!$G$10+(Simulador!$G$12-Simulador!$G$10)/(Simulador!$G$8-Simulador!$G$11)*(EC$2-Simulador!$G$11),0)&lt;=Simulador!$G$12,
            IF(EC$2&lt;=Simulador!$G$8,
                ROUNDUP(Simulador!$G$10+(Simulador!$G$12-Simulador!$G$10)/(Simulador!$G$8-Simulador!$G$11)*(EC$2-Simulador!$G$11),0),
                0
            ),
            0
        )
    )
)</f>
        <v>#DIV/0!</v>
      </c>
      <c r="ED7" s="61" t="e">
        <f>IF(Simulador!$G$10=Simulador!$G$12,
    IF(AND(ED$2&lt;=Simulador!$G$11,ROUNDUP(Simulador!$G$10/Simulador!$G$11*ED$2,0)&lt;=Simulador!$G$12),
        ROUNDUP(Simulador!$G$10/Simulador!$G$11*ED$2,0),
        IF(ED$2&lt;=Simulador!$G$8,Simulador!$G$12,0)
    ),
    IF(ED$2&lt;=Simulador!$G$11,
        IF(ROUNDUP(Simulador!$G$10/Simulador!$G$11*ED$2,0)&lt;=Simulador!$G$12,
            ROUNDUP(Simulador!$G$10/Simulador!$G$11*ED$2,0),
            0
        ),
        IF(ROUNDUP(Simulador!$G$10+(Simulador!$G$12-Simulador!$G$10)/(Simulador!$G$8-Simulador!$G$11)*(ED$2-Simulador!$G$11),0)&lt;=Simulador!$G$12,
            IF(ED$2&lt;=Simulador!$G$8,
                ROUNDUP(Simulador!$G$10+(Simulador!$G$12-Simulador!$G$10)/(Simulador!$G$8-Simulador!$G$11)*(ED$2-Simulador!$G$11),0),
                0
            ),
            0
        )
    )
)</f>
        <v>#DIV/0!</v>
      </c>
    </row>
    <row r="8" spans="2:135" ht="13" x14ac:dyDescent="0.3">
      <c r="B8" s="38"/>
      <c r="C8" s="53"/>
      <c r="D8" s="38"/>
      <c r="E8" s="38"/>
      <c r="F8" s="38"/>
      <c r="G8" s="38"/>
      <c r="H8" s="38"/>
      <c r="I8" s="38"/>
      <c r="J8" s="38"/>
      <c r="K8" s="38"/>
      <c r="L8" s="38"/>
      <c r="M8" s="38"/>
      <c r="N8" s="53"/>
    </row>
    <row r="9" spans="2:135" ht="13" x14ac:dyDescent="0.3">
      <c r="B9" s="38" t="s">
        <v>28</v>
      </c>
      <c r="D9" s="38" t="e">
        <f>IF(AND(SUMIFS($O9:$BV9,$O$3:$BV$3,D$4)=0,D$11&lt;&gt;0),MAX(O9:BV9),SUMIFS($O9:$BV9,$O$3:$BV$3,D$4))</f>
        <v>#DIV/0!</v>
      </c>
      <c r="E9" s="38" t="e">
        <f t="shared" ref="E9:H9" si="4">IF(AND(SUMIFS($O9:$BV9,$O$3:$BV$3,E$4)=0,E$11&lt;&gt;0),MAX(P9:EE9),SUMIFS($O9:$BV9,$O$3:$BV$3,E$4))</f>
        <v>#DIV/0!</v>
      </c>
      <c r="F9" s="38" t="e">
        <f t="shared" si="4"/>
        <v>#DIV/0!</v>
      </c>
      <c r="G9" s="38" t="e">
        <f t="shared" si="4"/>
        <v>#DIV/0!</v>
      </c>
      <c r="H9" s="38" t="e">
        <f t="shared" si="4"/>
        <v>#DIV/0!</v>
      </c>
      <c r="I9" s="38" t="e">
        <f t="shared" ref="I9:M9" si="5">IF(AND(SUMIFS($O9:$ED9,$O$3:$ED$3,I$4)=0,I$11&lt;&gt;0),MAX(T9:EI9),SUMIFS($O9:$ED9,$O$3:$ED$3,I$4))</f>
        <v>#DIV/0!</v>
      </c>
      <c r="J9" s="38" t="e">
        <f t="shared" si="5"/>
        <v>#DIV/0!</v>
      </c>
      <c r="K9" s="38" t="e">
        <f t="shared" si="5"/>
        <v>#DIV/0!</v>
      </c>
      <c r="L9" s="38" t="e">
        <f t="shared" si="5"/>
        <v>#DIV/0!</v>
      </c>
      <c r="M9" s="38" t="e">
        <f t="shared" si="5"/>
        <v>#DIV/0!</v>
      </c>
      <c r="O9" s="46" t="e">
        <f>O7*Simulador!$G$22</f>
        <v>#DIV/0!</v>
      </c>
      <c r="P9" s="46" t="e">
        <f>P7*Simulador!$G$22</f>
        <v>#DIV/0!</v>
      </c>
      <c r="Q9" s="46" t="e">
        <f>Q7*Simulador!$G$22</f>
        <v>#DIV/0!</v>
      </c>
      <c r="R9" s="46" t="e">
        <f>R7*Simulador!$G$22</f>
        <v>#DIV/0!</v>
      </c>
      <c r="S9" s="46" t="e">
        <f>S7*Simulador!$G$22</f>
        <v>#DIV/0!</v>
      </c>
      <c r="T9" s="46" t="e">
        <f>T7*Simulador!$G$22</f>
        <v>#DIV/0!</v>
      </c>
      <c r="U9" s="46" t="e">
        <f>U7*Simulador!$G$22</f>
        <v>#DIV/0!</v>
      </c>
      <c r="V9" s="46" t="e">
        <f>V7*Simulador!$G$22</f>
        <v>#DIV/0!</v>
      </c>
      <c r="W9" s="46" t="e">
        <f>W7*Simulador!$G$22</f>
        <v>#DIV/0!</v>
      </c>
      <c r="X9" s="46" t="e">
        <f>X7*Simulador!$G$22</f>
        <v>#DIV/0!</v>
      </c>
      <c r="Y9" s="46" t="e">
        <f>Y7*Simulador!$G$22</f>
        <v>#DIV/0!</v>
      </c>
      <c r="Z9" s="46" t="e">
        <f>Z7*Simulador!$G$22</f>
        <v>#DIV/0!</v>
      </c>
      <c r="AA9" s="46" t="e">
        <f>AA7*Simulador!$G$22</f>
        <v>#DIV/0!</v>
      </c>
      <c r="AB9" s="46" t="e">
        <f>AB7*Simulador!$G$22</f>
        <v>#DIV/0!</v>
      </c>
      <c r="AC9" s="46" t="e">
        <f>AC7*Simulador!$G$22</f>
        <v>#DIV/0!</v>
      </c>
      <c r="AD9" s="46" t="e">
        <f>AD7*Simulador!$G$22</f>
        <v>#DIV/0!</v>
      </c>
      <c r="AE9" s="46" t="e">
        <f>AE7*Simulador!$G$22</f>
        <v>#DIV/0!</v>
      </c>
      <c r="AF9" s="46" t="e">
        <f>AF7*Simulador!$G$22</f>
        <v>#DIV/0!</v>
      </c>
      <c r="AG9" s="46" t="e">
        <f>AG7*Simulador!$G$22</f>
        <v>#DIV/0!</v>
      </c>
      <c r="AH9" s="46" t="e">
        <f>AH7*Simulador!$G$22</f>
        <v>#DIV/0!</v>
      </c>
      <c r="AI9" s="46" t="e">
        <f>AI7*Simulador!$G$22</f>
        <v>#DIV/0!</v>
      </c>
      <c r="AJ9" s="46" t="e">
        <f>AJ7*Simulador!$G$22</f>
        <v>#DIV/0!</v>
      </c>
      <c r="AK9" s="46" t="e">
        <f>AK7*Simulador!$G$22</f>
        <v>#DIV/0!</v>
      </c>
      <c r="AL9" s="46" t="e">
        <f>AL7*Simulador!$G$22</f>
        <v>#DIV/0!</v>
      </c>
      <c r="AM9" s="46" t="e">
        <f>AM7*Simulador!$G$22</f>
        <v>#DIV/0!</v>
      </c>
      <c r="AN9" s="46" t="e">
        <f>AN7*Simulador!$G$22</f>
        <v>#DIV/0!</v>
      </c>
      <c r="AO9" s="46" t="e">
        <f>AO7*Simulador!$G$22</f>
        <v>#DIV/0!</v>
      </c>
      <c r="AP9" s="46" t="e">
        <f>AP7*Simulador!$G$22</f>
        <v>#DIV/0!</v>
      </c>
      <c r="AQ9" s="46" t="e">
        <f>AQ7*Simulador!$G$22</f>
        <v>#DIV/0!</v>
      </c>
      <c r="AR9" s="46" t="e">
        <f>AR7*Simulador!$G$22</f>
        <v>#DIV/0!</v>
      </c>
      <c r="AS9" s="46" t="e">
        <f>AS7*Simulador!$G$22</f>
        <v>#DIV/0!</v>
      </c>
      <c r="AT9" s="46" t="e">
        <f>AT7*Simulador!$G$22</f>
        <v>#DIV/0!</v>
      </c>
      <c r="AU9" s="46" t="e">
        <f>AU7*Simulador!$G$22</f>
        <v>#DIV/0!</v>
      </c>
      <c r="AV9" s="46" t="e">
        <f>AV7*Simulador!$G$22</f>
        <v>#DIV/0!</v>
      </c>
      <c r="AW9" s="46" t="e">
        <f>AW7*Simulador!$G$22</f>
        <v>#DIV/0!</v>
      </c>
      <c r="AX9" s="46" t="e">
        <f>AX7*Simulador!$G$22</f>
        <v>#DIV/0!</v>
      </c>
      <c r="AY9" s="46" t="e">
        <f>AY7*Simulador!$G$22</f>
        <v>#DIV/0!</v>
      </c>
      <c r="AZ9" s="46" t="e">
        <f>AZ7*Simulador!$G$22</f>
        <v>#DIV/0!</v>
      </c>
      <c r="BA9" s="46" t="e">
        <f>BA7*Simulador!$G$22</f>
        <v>#DIV/0!</v>
      </c>
      <c r="BB9" s="46" t="e">
        <f>BB7*Simulador!$G$22</f>
        <v>#DIV/0!</v>
      </c>
      <c r="BC9" s="46" t="e">
        <f>BC7*Simulador!$G$22</f>
        <v>#DIV/0!</v>
      </c>
      <c r="BD9" s="46" t="e">
        <f>BD7*Simulador!$G$22</f>
        <v>#DIV/0!</v>
      </c>
      <c r="BE9" s="46" t="e">
        <f>BE7*Simulador!$G$22</f>
        <v>#DIV/0!</v>
      </c>
      <c r="BF9" s="46" t="e">
        <f>BF7*Simulador!$G$22</f>
        <v>#DIV/0!</v>
      </c>
      <c r="BG9" s="46" t="e">
        <f>BG7*Simulador!$G$22</f>
        <v>#DIV/0!</v>
      </c>
      <c r="BH9" s="46" t="e">
        <f>BH7*Simulador!$G$22</f>
        <v>#DIV/0!</v>
      </c>
      <c r="BI9" s="46" t="e">
        <f>BI7*Simulador!$G$22</f>
        <v>#DIV/0!</v>
      </c>
      <c r="BJ9" s="46" t="e">
        <f>BJ7*Simulador!$G$22</f>
        <v>#DIV/0!</v>
      </c>
      <c r="BK9" s="46" t="e">
        <f>BK7*Simulador!$G$22</f>
        <v>#DIV/0!</v>
      </c>
      <c r="BL9" s="46" t="e">
        <f>BL7*Simulador!$G$22</f>
        <v>#DIV/0!</v>
      </c>
      <c r="BM9" s="46" t="e">
        <f>BM7*Simulador!$G$22</f>
        <v>#DIV/0!</v>
      </c>
      <c r="BN9" s="46" t="e">
        <f>BN7*Simulador!$G$22</f>
        <v>#DIV/0!</v>
      </c>
      <c r="BO9" s="46" t="e">
        <f>BO7*Simulador!$G$22</f>
        <v>#DIV/0!</v>
      </c>
      <c r="BP9" s="46" t="e">
        <f>BP7*Simulador!$G$22</f>
        <v>#DIV/0!</v>
      </c>
      <c r="BQ9" s="46" t="e">
        <f>BQ7*Simulador!$G$22</f>
        <v>#DIV/0!</v>
      </c>
      <c r="BR9" s="46" t="e">
        <f>BR7*Simulador!$G$22</f>
        <v>#DIV/0!</v>
      </c>
      <c r="BS9" s="46" t="e">
        <f>BS7*Simulador!$G$22</f>
        <v>#DIV/0!</v>
      </c>
      <c r="BT9" s="46" t="e">
        <f>BT7*Simulador!$G$22</f>
        <v>#DIV/0!</v>
      </c>
      <c r="BU9" s="46" t="e">
        <f>BU7*Simulador!$G$22</f>
        <v>#DIV/0!</v>
      </c>
      <c r="BV9" s="46" t="e">
        <f>BV7*Simulador!$G$22</f>
        <v>#DIV/0!</v>
      </c>
      <c r="BW9" s="46" t="e">
        <f>BW7*Simulador!$G$22</f>
        <v>#DIV/0!</v>
      </c>
      <c r="BX9" s="46" t="e">
        <f>BX7*Simulador!$G$22</f>
        <v>#DIV/0!</v>
      </c>
      <c r="BY9" s="46" t="e">
        <f>BY7*Simulador!$G$22</f>
        <v>#DIV/0!</v>
      </c>
      <c r="BZ9" s="46" t="e">
        <f>BZ7*Simulador!$G$22</f>
        <v>#DIV/0!</v>
      </c>
      <c r="CA9" s="46" t="e">
        <f>CA7*Simulador!$G$22</f>
        <v>#DIV/0!</v>
      </c>
      <c r="CB9" s="46" t="e">
        <f>CB7*Simulador!$G$22</f>
        <v>#DIV/0!</v>
      </c>
      <c r="CC9" s="46" t="e">
        <f>CC7*Simulador!$G$22</f>
        <v>#DIV/0!</v>
      </c>
      <c r="CD9" s="46" t="e">
        <f>CD7*Simulador!$G$22</f>
        <v>#DIV/0!</v>
      </c>
      <c r="CE9" s="46" t="e">
        <f>CE7*Simulador!$G$22</f>
        <v>#DIV/0!</v>
      </c>
      <c r="CF9" s="46" t="e">
        <f>CF7*Simulador!$G$22</f>
        <v>#DIV/0!</v>
      </c>
      <c r="CG9" s="46" t="e">
        <f>CG7*Simulador!$G$22</f>
        <v>#DIV/0!</v>
      </c>
      <c r="CH9" s="46" t="e">
        <f>CH7*Simulador!$G$22</f>
        <v>#DIV/0!</v>
      </c>
      <c r="CI9" s="46" t="e">
        <f>CI7*Simulador!$G$22</f>
        <v>#DIV/0!</v>
      </c>
      <c r="CJ9" s="46" t="e">
        <f>CJ7*Simulador!$G$22</f>
        <v>#DIV/0!</v>
      </c>
      <c r="CK9" s="46" t="e">
        <f>CK7*Simulador!$G$22</f>
        <v>#DIV/0!</v>
      </c>
      <c r="CL9" s="46" t="e">
        <f>CL7*Simulador!$G$22</f>
        <v>#DIV/0!</v>
      </c>
      <c r="CM9" s="46" t="e">
        <f>CM7*Simulador!$G$22</f>
        <v>#DIV/0!</v>
      </c>
      <c r="CN9" s="46" t="e">
        <f>CN7*Simulador!$G$22</f>
        <v>#DIV/0!</v>
      </c>
      <c r="CO9" s="46" t="e">
        <f>CO7*Simulador!$G$22</f>
        <v>#DIV/0!</v>
      </c>
      <c r="CP9" s="46" t="e">
        <f>CP7*Simulador!$G$22</f>
        <v>#DIV/0!</v>
      </c>
      <c r="CQ9" s="46" t="e">
        <f>CQ7*Simulador!$G$22</f>
        <v>#DIV/0!</v>
      </c>
      <c r="CR9" s="46" t="e">
        <f>CR7*Simulador!$G$22</f>
        <v>#DIV/0!</v>
      </c>
      <c r="CS9" s="46" t="e">
        <f>CS7*Simulador!$G$22</f>
        <v>#DIV/0!</v>
      </c>
      <c r="CT9" s="46" t="e">
        <f>CT7*Simulador!$G$22</f>
        <v>#DIV/0!</v>
      </c>
      <c r="CU9" s="46" t="e">
        <f>CU7*Simulador!$G$22</f>
        <v>#DIV/0!</v>
      </c>
      <c r="CV9" s="46" t="e">
        <f>CV7*Simulador!$G$22</f>
        <v>#DIV/0!</v>
      </c>
      <c r="CW9" s="46" t="e">
        <f>CW7*Simulador!$G$22</f>
        <v>#DIV/0!</v>
      </c>
      <c r="CX9" s="46" t="e">
        <f>CX7*Simulador!$G$22</f>
        <v>#DIV/0!</v>
      </c>
      <c r="CY9" s="46" t="e">
        <f>CY7*Simulador!$G$22</f>
        <v>#DIV/0!</v>
      </c>
      <c r="CZ9" s="46" t="e">
        <f>CZ7*Simulador!$G$22</f>
        <v>#DIV/0!</v>
      </c>
      <c r="DA9" s="46" t="e">
        <f>DA7*Simulador!$G$22</f>
        <v>#DIV/0!</v>
      </c>
      <c r="DB9" s="46" t="e">
        <f>DB7*Simulador!$G$22</f>
        <v>#DIV/0!</v>
      </c>
      <c r="DC9" s="46" t="e">
        <f>DC7*Simulador!$G$22</f>
        <v>#DIV/0!</v>
      </c>
      <c r="DD9" s="46" t="e">
        <f>DD7*Simulador!$G$22</f>
        <v>#DIV/0!</v>
      </c>
      <c r="DE9" s="46" t="e">
        <f>DE7*Simulador!$G$22</f>
        <v>#DIV/0!</v>
      </c>
      <c r="DF9" s="46" t="e">
        <f>DF7*Simulador!$G$22</f>
        <v>#DIV/0!</v>
      </c>
      <c r="DG9" s="46" t="e">
        <f>DG7*Simulador!$G$22</f>
        <v>#DIV/0!</v>
      </c>
      <c r="DH9" s="46" t="e">
        <f>DH7*Simulador!$G$22</f>
        <v>#DIV/0!</v>
      </c>
      <c r="DI9" s="46" t="e">
        <f>DI7*Simulador!$G$22</f>
        <v>#DIV/0!</v>
      </c>
      <c r="DJ9" s="46" t="e">
        <f>DJ7*Simulador!$G$22</f>
        <v>#DIV/0!</v>
      </c>
      <c r="DK9" s="46" t="e">
        <f>DK7*Simulador!$G$22</f>
        <v>#DIV/0!</v>
      </c>
      <c r="DL9" s="46" t="e">
        <f>DL7*Simulador!$G$22</f>
        <v>#DIV/0!</v>
      </c>
      <c r="DM9" s="46" t="e">
        <f>DM7*Simulador!$G$22</f>
        <v>#DIV/0!</v>
      </c>
      <c r="DN9" s="46" t="e">
        <f>DN7*Simulador!$G$22</f>
        <v>#DIV/0!</v>
      </c>
      <c r="DO9" s="46" t="e">
        <f>DO7*Simulador!$G$22</f>
        <v>#DIV/0!</v>
      </c>
      <c r="DP9" s="46" t="e">
        <f>DP7*Simulador!$G$22</f>
        <v>#DIV/0!</v>
      </c>
      <c r="DQ9" s="46" t="e">
        <f>DQ7*Simulador!$G$22</f>
        <v>#DIV/0!</v>
      </c>
      <c r="DR9" s="46" t="e">
        <f>DR7*Simulador!$G$22</f>
        <v>#DIV/0!</v>
      </c>
      <c r="DS9" s="46" t="e">
        <f>DS7*Simulador!$G$22</f>
        <v>#DIV/0!</v>
      </c>
      <c r="DT9" s="46" t="e">
        <f>DT7*Simulador!$G$22</f>
        <v>#DIV/0!</v>
      </c>
      <c r="DU9" s="46" t="e">
        <f>DU7*Simulador!$G$22</f>
        <v>#DIV/0!</v>
      </c>
      <c r="DV9" s="46" t="e">
        <f>DV7*Simulador!$G$22</f>
        <v>#DIV/0!</v>
      </c>
      <c r="DW9" s="46" t="e">
        <f>DW7*Simulador!$G$22</f>
        <v>#DIV/0!</v>
      </c>
      <c r="DX9" s="46" t="e">
        <f>DX7*Simulador!$G$22</f>
        <v>#DIV/0!</v>
      </c>
      <c r="DY9" s="46" t="e">
        <f>DY7*Simulador!$G$22</f>
        <v>#DIV/0!</v>
      </c>
      <c r="DZ9" s="46" t="e">
        <f>DZ7*Simulador!$G$22</f>
        <v>#DIV/0!</v>
      </c>
      <c r="EA9" s="46" t="e">
        <f>EA7*Simulador!$G$22</f>
        <v>#DIV/0!</v>
      </c>
      <c r="EB9" s="46" t="e">
        <f>EB7*Simulador!$G$22</f>
        <v>#DIV/0!</v>
      </c>
      <c r="EC9" s="46" t="e">
        <f>EC7*Simulador!$G$22</f>
        <v>#DIV/0!</v>
      </c>
      <c r="ED9" s="46" t="e">
        <f>ED7*Simulador!$G$22</f>
        <v>#DIV/0!</v>
      </c>
    </row>
    <row r="11" spans="2:135" ht="13" x14ac:dyDescent="0.3">
      <c r="B11" s="38" t="s">
        <v>63</v>
      </c>
      <c r="C11" s="53"/>
      <c r="D11" s="67" t="e">
        <f t="shared" ref="D11:H11" si="6">SUMIFS($O11:$BV11,$O$4:$BV$4,D$3)</f>
        <v>#DIV/0!</v>
      </c>
      <c r="E11" s="67" t="e">
        <f t="shared" si="6"/>
        <v>#DIV/0!</v>
      </c>
      <c r="F11" s="67" t="e">
        <f t="shared" si="6"/>
        <v>#DIV/0!</v>
      </c>
      <c r="G11" s="67" t="e">
        <f t="shared" si="6"/>
        <v>#DIV/0!</v>
      </c>
      <c r="H11" s="67" t="e">
        <f t="shared" si="6"/>
        <v>#DIV/0!</v>
      </c>
      <c r="I11" s="67" t="e">
        <f t="shared" ref="I11:M11" si="7">SUMIFS($O11:$ED11,$O$4:$ED$4,I$3)</f>
        <v>#DIV/0!</v>
      </c>
      <c r="J11" s="67" t="e">
        <f t="shared" si="7"/>
        <v>#DIV/0!</v>
      </c>
      <c r="K11" s="67" t="e">
        <f t="shared" si="7"/>
        <v>#DIV/0!</v>
      </c>
      <c r="L11" s="67" t="e">
        <f t="shared" si="7"/>
        <v>#DIV/0!</v>
      </c>
      <c r="M11" s="67" t="e">
        <f t="shared" si="7"/>
        <v>#DIV/0!</v>
      </c>
      <c r="N11" s="53"/>
      <c r="O11" s="62" t="e">
        <f>O9*Simulador!$G$14</f>
        <v>#DIV/0!</v>
      </c>
      <c r="P11" s="62" t="e">
        <f>P9*Simulador!$G$14</f>
        <v>#DIV/0!</v>
      </c>
      <c r="Q11" s="62" t="e">
        <f>Q9*Simulador!$G$14</f>
        <v>#DIV/0!</v>
      </c>
      <c r="R11" s="62" t="e">
        <f>R9*Simulador!$G$14</f>
        <v>#DIV/0!</v>
      </c>
      <c r="S11" s="62" t="e">
        <f>S9*Simulador!$G$14</f>
        <v>#DIV/0!</v>
      </c>
      <c r="T11" s="62" t="e">
        <f>T9*Simulador!$G$14</f>
        <v>#DIV/0!</v>
      </c>
      <c r="U11" s="62" t="e">
        <f>U9*Simulador!$G$14</f>
        <v>#DIV/0!</v>
      </c>
      <c r="V11" s="62" t="e">
        <f>V9*Simulador!$G$14</f>
        <v>#DIV/0!</v>
      </c>
      <c r="W11" s="62" t="e">
        <f>W9*Simulador!$G$14</f>
        <v>#DIV/0!</v>
      </c>
      <c r="X11" s="62" t="e">
        <f>X9*Simulador!$G$14</f>
        <v>#DIV/0!</v>
      </c>
      <c r="Y11" s="62" t="e">
        <f>Y9*Simulador!$G$14</f>
        <v>#DIV/0!</v>
      </c>
      <c r="Z11" s="62" t="e">
        <f>Z9*Simulador!$G$14</f>
        <v>#DIV/0!</v>
      </c>
      <c r="AA11" s="62" t="e">
        <f>AA9*Simulador!$G$14</f>
        <v>#DIV/0!</v>
      </c>
      <c r="AB11" s="62" t="e">
        <f>AB9*Simulador!$G$14</f>
        <v>#DIV/0!</v>
      </c>
      <c r="AC11" s="62" t="e">
        <f>AC9*Simulador!$G$14</f>
        <v>#DIV/0!</v>
      </c>
      <c r="AD11" s="62" t="e">
        <f>AD9*Simulador!$G$14</f>
        <v>#DIV/0!</v>
      </c>
      <c r="AE11" s="62" t="e">
        <f>AE9*Simulador!$G$14</f>
        <v>#DIV/0!</v>
      </c>
      <c r="AF11" s="62" t="e">
        <f>AF9*Simulador!$G$14</f>
        <v>#DIV/0!</v>
      </c>
      <c r="AG11" s="62" t="e">
        <f>AG9*Simulador!$G$14</f>
        <v>#DIV/0!</v>
      </c>
      <c r="AH11" s="62" t="e">
        <f>AH9*Simulador!$G$14</f>
        <v>#DIV/0!</v>
      </c>
      <c r="AI11" s="62" t="e">
        <f>AI9*Simulador!$G$14</f>
        <v>#DIV/0!</v>
      </c>
      <c r="AJ11" s="62" t="e">
        <f>AJ9*Simulador!$G$14</f>
        <v>#DIV/0!</v>
      </c>
      <c r="AK11" s="62" t="e">
        <f>AK9*Simulador!$G$14</f>
        <v>#DIV/0!</v>
      </c>
      <c r="AL11" s="62" t="e">
        <f>AL9*Simulador!$G$14</f>
        <v>#DIV/0!</v>
      </c>
      <c r="AM11" s="62" t="e">
        <f>AM9*Simulador!$G$14</f>
        <v>#DIV/0!</v>
      </c>
      <c r="AN11" s="62" t="e">
        <f>AN9*Simulador!$G$14</f>
        <v>#DIV/0!</v>
      </c>
      <c r="AO11" s="62" t="e">
        <f>AO9*Simulador!$G$14</f>
        <v>#DIV/0!</v>
      </c>
      <c r="AP11" s="62" t="e">
        <f>AP9*Simulador!$G$14</f>
        <v>#DIV/0!</v>
      </c>
      <c r="AQ11" s="62" t="e">
        <f>AQ9*Simulador!$G$14</f>
        <v>#DIV/0!</v>
      </c>
      <c r="AR11" s="62" t="e">
        <f>AR9*Simulador!$G$14</f>
        <v>#DIV/0!</v>
      </c>
      <c r="AS11" s="62" t="e">
        <f>AS9*Simulador!$G$14</f>
        <v>#DIV/0!</v>
      </c>
      <c r="AT11" s="62" t="e">
        <f>AT9*Simulador!$G$14</f>
        <v>#DIV/0!</v>
      </c>
      <c r="AU11" s="62" t="e">
        <f>AU9*Simulador!$G$14</f>
        <v>#DIV/0!</v>
      </c>
      <c r="AV11" s="62" t="e">
        <f>AV9*Simulador!$G$14</f>
        <v>#DIV/0!</v>
      </c>
      <c r="AW11" s="62" t="e">
        <f>AW9*Simulador!$G$14</f>
        <v>#DIV/0!</v>
      </c>
      <c r="AX11" s="62" t="e">
        <f>AX9*Simulador!$G$14</f>
        <v>#DIV/0!</v>
      </c>
      <c r="AY11" s="62" t="e">
        <f>AY9*Simulador!$G$14</f>
        <v>#DIV/0!</v>
      </c>
      <c r="AZ11" s="62" t="e">
        <f>AZ9*Simulador!$G$14</f>
        <v>#DIV/0!</v>
      </c>
      <c r="BA11" s="62" t="e">
        <f>BA9*Simulador!$G$14</f>
        <v>#DIV/0!</v>
      </c>
      <c r="BB11" s="62" t="e">
        <f>BB9*Simulador!$G$14</f>
        <v>#DIV/0!</v>
      </c>
      <c r="BC11" s="62" t="e">
        <f>BC9*Simulador!$G$14</f>
        <v>#DIV/0!</v>
      </c>
      <c r="BD11" s="62" t="e">
        <f>BD9*Simulador!$G$14</f>
        <v>#DIV/0!</v>
      </c>
      <c r="BE11" s="62" t="e">
        <f>BE9*Simulador!$G$14</f>
        <v>#DIV/0!</v>
      </c>
      <c r="BF11" s="62" t="e">
        <f>BF9*Simulador!$G$14</f>
        <v>#DIV/0!</v>
      </c>
      <c r="BG11" s="62" t="e">
        <f>BG9*Simulador!$G$14</f>
        <v>#DIV/0!</v>
      </c>
      <c r="BH11" s="62" t="e">
        <f>BH9*Simulador!$G$14</f>
        <v>#DIV/0!</v>
      </c>
      <c r="BI11" s="62" t="e">
        <f>BI9*Simulador!$G$14</f>
        <v>#DIV/0!</v>
      </c>
      <c r="BJ11" s="62" t="e">
        <f>BJ9*Simulador!$G$14</f>
        <v>#DIV/0!</v>
      </c>
      <c r="BK11" s="62" t="e">
        <f>BK9*Simulador!$G$14</f>
        <v>#DIV/0!</v>
      </c>
      <c r="BL11" s="62" t="e">
        <f>BL9*Simulador!$G$14</f>
        <v>#DIV/0!</v>
      </c>
      <c r="BM11" s="62" t="e">
        <f>BM9*Simulador!$G$14</f>
        <v>#DIV/0!</v>
      </c>
      <c r="BN11" s="62" t="e">
        <f>BN9*Simulador!$G$14</f>
        <v>#DIV/0!</v>
      </c>
      <c r="BO11" s="62" t="e">
        <f>BO9*Simulador!$G$14</f>
        <v>#DIV/0!</v>
      </c>
      <c r="BP11" s="62" t="e">
        <f>BP9*Simulador!$G$14</f>
        <v>#DIV/0!</v>
      </c>
      <c r="BQ11" s="62" t="e">
        <f>BQ9*Simulador!$G$14</f>
        <v>#DIV/0!</v>
      </c>
      <c r="BR11" s="62" t="e">
        <f>BR9*Simulador!$G$14</f>
        <v>#DIV/0!</v>
      </c>
      <c r="BS11" s="62" t="e">
        <f>BS9*Simulador!$G$14</f>
        <v>#DIV/0!</v>
      </c>
      <c r="BT11" s="62" t="e">
        <f>BT9*Simulador!$G$14</f>
        <v>#DIV/0!</v>
      </c>
      <c r="BU11" s="62" t="e">
        <f>BU9*Simulador!$G$14</f>
        <v>#DIV/0!</v>
      </c>
      <c r="BV11" s="62" t="e">
        <f>BV9*Simulador!$G$14</f>
        <v>#DIV/0!</v>
      </c>
      <c r="BW11" s="62" t="e">
        <f>BW9*Simulador!$G$14</f>
        <v>#DIV/0!</v>
      </c>
      <c r="BX11" s="62" t="e">
        <f>BX9*Simulador!$G$14</f>
        <v>#DIV/0!</v>
      </c>
      <c r="BY11" s="62" t="e">
        <f>BY9*Simulador!$G$14</f>
        <v>#DIV/0!</v>
      </c>
      <c r="BZ11" s="62" t="e">
        <f>BZ9*Simulador!$G$14</f>
        <v>#DIV/0!</v>
      </c>
      <c r="CA11" s="62" t="e">
        <f>CA9*Simulador!$G$14</f>
        <v>#DIV/0!</v>
      </c>
      <c r="CB11" s="62" t="e">
        <f>CB9*Simulador!$G$14</f>
        <v>#DIV/0!</v>
      </c>
      <c r="CC11" s="62" t="e">
        <f>CC9*Simulador!$G$14</f>
        <v>#DIV/0!</v>
      </c>
      <c r="CD11" s="62" t="e">
        <f>CD9*Simulador!$G$14</f>
        <v>#DIV/0!</v>
      </c>
      <c r="CE11" s="62" t="e">
        <f>CE9*Simulador!$G$14</f>
        <v>#DIV/0!</v>
      </c>
      <c r="CF11" s="62" t="e">
        <f>CF9*Simulador!$G$14</f>
        <v>#DIV/0!</v>
      </c>
      <c r="CG11" s="62" t="e">
        <f>CG9*Simulador!$G$14</f>
        <v>#DIV/0!</v>
      </c>
      <c r="CH11" s="62" t="e">
        <f>CH9*Simulador!$G$14</f>
        <v>#DIV/0!</v>
      </c>
      <c r="CI11" s="62" t="e">
        <f>CI9*Simulador!$G$14</f>
        <v>#DIV/0!</v>
      </c>
      <c r="CJ11" s="62" t="e">
        <f>CJ9*Simulador!$G$14</f>
        <v>#DIV/0!</v>
      </c>
      <c r="CK11" s="62" t="e">
        <f>CK9*Simulador!$G$14</f>
        <v>#DIV/0!</v>
      </c>
      <c r="CL11" s="62" t="e">
        <f>CL9*Simulador!$G$14</f>
        <v>#DIV/0!</v>
      </c>
      <c r="CM11" s="62" t="e">
        <f>CM9*Simulador!$G$14</f>
        <v>#DIV/0!</v>
      </c>
      <c r="CN11" s="62" t="e">
        <f>CN9*Simulador!$G$14</f>
        <v>#DIV/0!</v>
      </c>
      <c r="CO11" s="62" t="e">
        <f>CO9*Simulador!$G$14</f>
        <v>#DIV/0!</v>
      </c>
      <c r="CP11" s="62" t="e">
        <f>CP9*Simulador!$G$14</f>
        <v>#DIV/0!</v>
      </c>
      <c r="CQ11" s="62" t="e">
        <f>CQ9*Simulador!$G$14</f>
        <v>#DIV/0!</v>
      </c>
      <c r="CR11" s="62" t="e">
        <f>CR9*Simulador!$G$14</f>
        <v>#DIV/0!</v>
      </c>
      <c r="CS11" s="62" t="e">
        <f>CS9*Simulador!$G$14</f>
        <v>#DIV/0!</v>
      </c>
      <c r="CT11" s="62" t="e">
        <f>CT9*Simulador!$G$14</f>
        <v>#DIV/0!</v>
      </c>
      <c r="CU11" s="62" t="e">
        <f>CU9*Simulador!$G$14</f>
        <v>#DIV/0!</v>
      </c>
      <c r="CV11" s="62" t="e">
        <f>CV9*Simulador!$G$14</f>
        <v>#DIV/0!</v>
      </c>
      <c r="CW11" s="62" t="e">
        <f>CW9*Simulador!$G$14</f>
        <v>#DIV/0!</v>
      </c>
      <c r="CX11" s="62" t="e">
        <f>CX9*Simulador!$G$14</f>
        <v>#DIV/0!</v>
      </c>
      <c r="CY11" s="62" t="e">
        <f>CY9*Simulador!$G$14</f>
        <v>#DIV/0!</v>
      </c>
      <c r="CZ11" s="62" t="e">
        <f>CZ9*Simulador!$G$14</f>
        <v>#DIV/0!</v>
      </c>
      <c r="DA11" s="62" t="e">
        <f>DA9*Simulador!$G$14</f>
        <v>#DIV/0!</v>
      </c>
      <c r="DB11" s="62" t="e">
        <f>DB9*Simulador!$G$14</f>
        <v>#DIV/0!</v>
      </c>
      <c r="DC11" s="62" t="e">
        <f>DC9*Simulador!$G$14</f>
        <v>#DIV/0!</v>
      </c>
      <c r="DD11" s="62" t="e">
        <f>DD9*Simulador!$G$14</f>
        <v>#DIV/0!</v>
      </c>
      <c r="DE11" s="62" t="e">
        <f>DE9*Simulador!$G$14</f>
        <v>#DIV/0!</v>
      </c>
      <c r="DF11" s="62" t="e">
        <f>DF9*Simulador!$G$14</f>
        <v>#DIV/0!</v>
      </c>
      <c r="DG11" s="62" t="e">
        <f>DG9*Simulador!$G$14</f>
        <v>#DIV/0!</v>
      </c>
      <c r="DH11" s="62" t="e">
        <f>DH9*Simulador!$G$14</f>
        <v>#DIV/0!</v>
      </c>
      <c r="DI11" s="62" t="e">
        <f>DI9*Simulador!$G$14</f>
        <v>#DIV/0!</v>
      </c>
      <c r="DJ11" s="62" t="e">
        <f>DJ9*Simulador!$G$14</f>
        <v>#DIV/0!</v>
      </c>
      <c r="DK11" s="62" t="e">
        <f>DK9*Simulador!$G$14</f>
        <v>#DIV/0!</v>
      </c>
      <c r="DL11" s="62" t="e">
        <f>DL9*Simulador!$G$14</f>
        <v>#DIV/0!</v>
      </c>
      <c r="DM11" s="62" t="e">
        <f>DM9*Simulador!$G$14</f>
        <v>#DIV/0!</v>
      </c>
      <c r="DN11" s="62" t="e">
        <f>DN9*Simulador!$G$14</f>
        <v>#DIV/0!</v>
      </c>
      <c r="DO11" s="62" t="e">
        <f>DO9*Simulador!$G$14</f>
        <v>#DIV/0!</v>
      </c>
      <c r="DP11" s="62" t="e">
        <f>DP9*Simulador!$G$14</f>
        <v>#DIV/0!</v>
      </c>
      <c r="DQ11" s="62" t="e">
        <f>DQ9*Simulador!$G$14</f>
        <v>#DIV/0!</v>
      </c>
      <c r="DR11" s="62" t="e">
        <f>DR9*Simulador!$G$14</f>
        <v>#DIV/0!</v>
      </c>
      <c r="DS11" s="62" t="e">
        <f>DS9*Simulador!$G$14</f>
        <v>#DIV/0!</v>
      </c>
      <c r="DT11" s="62" t="e">
        <f>DT9*Simulador!$G$14</f>
        <v>#DIV/0!</v>
      </c>
      <c r="DU11" s="62" t="e">
        <f>DU9*Simulador!$G$14</f>
        <v>#DIV/0!</v>
      </c>
      <c r="DV11" s="62" t="e">
        <f>DV9*Simulador!$G$14</f>
        <v>#DIV/0!</v>
      </c>
      <c r="DW11" s="62" t="e">
        <f>DW9*Simulador!$G$14</f>
        <v>#DIV/0!</v>
      </c>
      <c r="DX11" s="62" t="e">
        <f>DX9*Simulador!$G$14</f>
        <v>#DIV/0!</v>
      </c>
      <c r="DY11" s="62" t="e">
        <f>DY9*Simulador!$G$14</f>
        <v>#DIV/0!</v>
      </c>
      <c r="DZ11" s="62" t="e">
        <f>DZ9*Simulador!$G$14</f>
        <v>#DIV/0!</v>
      </c>
      <c r="EA11" s="62" t="e">
        <f>EA9*Simulador!$G$14</f>
        <v>#DIV/0!</v>
      </c>
      <c r="EB11" s="62" t="e">
        <f>EB9*Simulador!$G$14</f>
        <v>#DIV/0!</v>
      </c>
      <c r="EC11" s="62" t="e">
        <f>EC9*Simulador!$G$14</f>
        <v>#DIV/0!</v>
      </c>
      <c r="ED11" s="62" t="e">
        <f>ED9*Simulador!$G$14</f>
        <v>#DIV/0!</v>
      </c>
    </row>
    <row r="12" spans="2:135" ht="13" x14ac:dyDescent="0.3">
      <c r="B12" s="38"/>
      <c r="C12" s="53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53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</row>
    <row r="13" spans="2:135" ht="13" x14ac:dyDescent="0.3">
      <c r="B13" s="38" t="s">
        <v>64</v>
      </c>
      <c r="C13" s="53"/>
      <c r="D13" s="67" t="e">
        <f t="shared" ref="D13:H13" si="8">SUMIFS($O13:$BV13,$O$4:$BV$4,D$3)</f>
        <v>#DIV/0!</v>
      </c>
      <c r="E13" s="67" t="e">
        <f t="shared" si="8"/>
        <v>#DIV/0!</v>
      </c>
      <c r="F13" s="67" t="e">
        <f t="shared" si="8"/>
        <v>#DIV/0!</v>
      </c>
      <c r="G13" s="67" t="e">
        <f t="shared" si="8"/>
        <v>#DIV/0!</v>
      </c>
      <c r="H13" s="67" t="e">
        <f t="shared" si="8"/>
        <v>#DIV/0!</v>
      </c>
      <c r="I13" s="67" t="e">
        <f t="shared" ref="I13:M13" si="9">SUMIFS($O13:$ED13,$O$4:$ED$4,I$3)</f>
        <v>#DIV/0!</v>
      </c>
      <c r="J13" s="67" t="e">
        <f t="shared" si="9"/>
        <v>#DIV/0!</v>
      </c>
      <c r="K13" s="67" t="e">
        <f t="shared" si="9"/>
        <v>#DIV/0!</v>
      </c>
      <c r="L13" s="67" t="e">
        <f t="shared" si="9"/>
        <v>#DIV/0!</v>
      </c>
      <c r="M13" s="67" t="e">
        <f t="shared" si="9"/>
        <v>#DIV/0!</v>
      </c>
      <c r="N13" s="53"/>
      <c r="O13" s="62" t="e">
        <f>O11*Simulador!$G$16</f>
        <v>#DIV/0!</v>
      </c>
      <c r="P13" s="62" t="e">
        <f>P11*Simulador!$G$16</f>
        <v>#DIV/0!</v>
      </c>
      <c r="Q13" s="62" t="e">
        <f>Q11*Simulador!$G$16</f>
        <v>#DIV/0!</v>
      </c>
      <c r="R13" s="62" t="e">
        <f>R11*Simulador!$G$16</f>
        <v>#DIV/0!</v>
      </c>
      <c r="S13" s="62" t="e">
        <f>S11*Simulador!$G$16</f>
        <v>#DIV/0!</v>
      </c>
      <c r="T13" s="62" t="e">
        <f>T11*Simulador!$G$16</f>
        <v>#DIV/0!</v>
      </c>
      <c r="U13" s="62" t="e">
        <f>U11*Simulador!$G$16</f>
        <v>#DIV/0!</v>
      </c>
      <c r="V13" s="62" t="e">
        <f>V11*Simulador!$G$16</f>
        <v>#DIV/0!</v>
      </c>
      <c r="W13" s="62" t="e">
        <f>W11*Simulador!$G$16</f>
        <v>#DIV/0!</v>
      </c>
      <c r="X13" s="62" t="e">
        <f>X11*Simulador!$G$16</f>
        <v>#DIV/0!</v>
      </c>
      <c r="Y13" s="62" t="e">
        <f>Y11*Simulador!$G$16</f>
        <v>#DIV/0!</v>
      </c>
      <c r="Z13" s="62" t="e">
        <f>Z11*Simulador!$G$16</f>
        <v>#DIV/0!</v>
      </c>
      <c r="AA13" s="62" t="e">
        <f>AA11*Simulador!$G$16</f>
        <v>#DIV/0!</v>
      </c>
      <c r="AB13" s="62" t="e">
        <f>AB11*Simulador!$G$16</f>
        <v>#DIV/0!</v>
      </c>
      <c r="AC13" s="62" t="e">
        <f>AC11*Simulador!$G$16</f>
        <v>#DIV/0!</v>
      </c>
      <c r="AD13" s="62" t="e">
        <f>AD11*Simulador!$G$16</f>
        <v>#DIV/0!</v>
      </c>
      <c r="AE13" s="62" t="e">
        <f>AE11*Simulador!$G$16</f>
        <v>#DIV/0!</v>
      </c>
      <c r="AF13" s="62" t="e">
        <f>AF11*Simulador!$G$16</f>
        <v>#DIV/0!</v>
      </c>
      <c r="AG13" s="62" t="e">
        <f>AG11*Simulador!$G$16</f>
        <v>#DIV/0!</v>
      </c>
      <c r="AH13" s="62" t="e">
        <f>AH11*Simulador!$G$16</f>
        <v>#DIV/0!</v>
      </c>
      <c r="AI13" s="62" t="e">
        <f>AI11*Simulador!$G$16</f>
        <v>#DIV/0!</v>
      </c>
      <c r="AJ13" s="62" t="e">
        <f>AJ11*Simulador!$G$16</f>
        <v>#DIV/0!</v>
      </c>
      <c r="AK13" s="62" t="e">
        <f>AK11*Simulador!$G$16</f>
        <v>#DIV/0!</v>
      </c>
      <c r="AL13" s="62" t="e">
        <f>AL11*Simulador!$G$16</f>
        <v>#DIV/0!</v>
      </c>
      <c r="AM13" s="62" t="e">
        <f>AM11*Simulador!$G$16</f>
        <v>#DIV/0!</v>
      </c>
      <c r="AN13" s="62" t="e">
        <f>AN11*Simulador!$G$16</f>
        <v>#DIV/0!</v>
      </c>
      <c r="AO13" s="62" t="e">
        <f>AO11*Simulador!$G$16</f>
        <v>#DIV/0!</v>
      </c>
      <c r="AP13" s="62" t="e">
        <f>AP11*Simulador!$G$16</f>
        <v>#DIV/0!</v>
      </c>
      <c r="AQ13" s="62" t="e">
        <f>AQ11*Simulador!$G$16</f>
        <v>#DIV/0!</v>
      </c>
      <c r="AR13" s="62" t="e">
        <f>AR11*Simulador!$G$16</f>
        <v>#DIV/0!</v>
      </c>
      <c r="AS13" s="62" t="e">
        <f>AS11*Simulador!$G$16</f>
        <v>#DIV/0!</v>
      </c>
      <c r="AT13" s="62" t="e">
        <f>AT11*Simulador!$G$16</f>
        <v>#DIV/0!</v>
      </c>
      <c r="AU13" s="62" t="e">
        <f>AU11*Simulador!$G$16</f>
        <v>#DIV/0!</v>
      </c>
      <c r="AV13" s="62" t="e">
        <f>AV11*Simulador!$G$16</f>
        <v>#DIV/0!</v>
      </c>
      <c r="AW13" s="62" t="e">
        <f>AW11*Simulador!$G$16</f>
        <v>#DIV/0!</v>
      </c>
      <c r="AX13" s="62" t="e">
        <f>AX11*Simulador!$G$16</f>
        <v>#DIV/0!</v>
      </c>
      <c r="AY13" s="62" t="e">
        <f>AY11*Simulador!$G$16</f>
        <v>#DIV/0!</v>
      </c>
      <c r="AZ13" s="62" t="e">
        <f>AZ11*Simulador!$G$16</f>
        <v>#DIV/0!</v>
      </c>
      <c r="BA13" s="62" t="e">
        <f>BA11*Simulador!$G$16</f>
        <v>#DIV/0!</v>
      </c>
      <c r="BB13" s="62" t="e">
        <f>BB11*Simulador!$G$16</f>
        <v>#DIV/0!</v>
      </c>
      <c r="BC13" s="62" t="e">
        <f>BC11*Simulador!$G$16</f>
        <v>#DIV/0!</v>
      </c>
      <c r="BD13" s="62" t="e">
        <f>BD11*Simulador!$G$16</f>
        <v>#DIV/0!</v>
      </c>
      <c r="BE13" s="62" t="e">
        <f>BE11*Simulador!$G$16</f>
        <v>#DIV/0!</v>
      </c>
      <c r="BF13" s="62" t="e">
        <f>BF11*Simulador!$G$16</f>
        <v>#DIV/0!</v>
      </c>
      <c r="BG13" s="62" t="e">
        <f>BG11*Simulador!$G$16</f>
        <v>#DIV/0!</v>
      </c>
      <c r="BH13" s="62" t="e">
        <f>BH11*Simulador!$G$16</f>
        <v>#DIV/0!</v>
      </c>
      <c r="BI13" s="62" t="e">
        <f>BI11*Simulador!$G$16</f>
        <v>#DIV/0!</v>
      </c>
      <c r="BJ13" s="62" t="e">
        <f>BJ11*Simulador!$G$16</f>
        <v>#DIV/0!</v>
      </c>
      <c r="BK13" s="62" t="e">
        <f>BK11*Simulador!$G$16</f>
        <v>#DIV/0!</v>
      </c>
      <c r="BL13" s="62" t="e">
        <f>BL11*Simulador!$G$16</f>
        <v>#DIV/0!</v>
      </c>
      <c r="BM13" s="62" t="e">
        <f>BM11*Simulador!$G$16</f>
        <v>#DIV/0!</v>
      </c>
      <c r="BN13" s="62" t="e">
        <f>BN11*Simulador!$G$16</f>
        <v>#DIV/0!</v>
      </c>
      <c r="BO13" s="62" t="e">
        <f>BO11*Simulador!$G$16</f>
        <v>#DIV/0!</v>
      </c>
      <c r="BP13" s="62" t="e">
        <f>BP11*Simulador!$G$16</f>
        <v>#DIV/0!</v>
      </c>
      <c r="BQ13" s="62" t="e">
        <f>BQ11*Simulador!$G$16</f>
        <v>#DIV/0!</v>
      </c>
      <c r="BR13" s="62" t="e">
        <f>BR11*Simulador!$G$16</f>
        <v>#DIV/0!</v>
      </c>
      <c r="BS13" s="62" t="e">
        <f>BS11*Simulador!$G$16</f>
        <v>#DIV/0!</v>
      </c>
      <c r="BT13" s="62" t="e">
        <f>BT11*Simulador!$G$16</f>
        <v>#DIV/0!</v>
      </c>
      <c r="BU13" s="62" t="e">
        <f>BU11*Simulador!$G$16</f>
        <v>#DIV/0!</v>
      </c>
      <c r="BV13" s="62" t="e">
        <f>BV11*Simulador!$G$16</f>
        <v>#DIV/0!</v>
      </c>
      <c r="BW13" s="62" t="e">
        <f>BW11*Simulador!$G$16</f>
        <v>#DIV/0!</v>
      </c>
      <c r="BX13" s="62" t="e">
        <f>BX11*Simulador!$G$16</f>
        <v>#DIV/0!</v>
      </c>
      <c r="BY13" s="62" t="e">
        <f>BY11*Simulador!$G$16</f>
        <v>#DIV/0!</v>
      </c>
      <c r="BZ13" s="62" t="e">
        <f>BZ11*Simulador!$G$16</f>
        <v>#DIV/0!</v>
      </c>
      <c r="CA13" s="62" t="e">
        <f>CA11*Simulador!$G$16</f>
        <v>#DIV/0!</v>
      </c>
      <c r="CB13" s="62" t="e">
        <f>CB11*Simulador!$G$16</f>
        <v>#DIV/0!</v>
      </c>
      <c r="CC13" s="62" t="e">
        <f>CC11*Simulador!$G$16</f>
        <v>#DIV/0!</v>
      </c>
      <c r="CD13" s="62" t="e">
        <f>CD11*Simulador!$G$16</f>
        <v>#DIV/0!</v>
      </c>
      <c r="CE13" s="62" t="e">
        <f>CE11*Simulador!$G$16</f>
        <v>#DIV/0!</v>
      </c>
      <c r="CF13" s="62" t="e">
        <f>CF11*Simulador!$G$16</f>
        <v>#DIV/0!</v>
      </c>
      <c r="CG13" s="62" t="e">
        <f>CG11*Simulador!$G$16</f>
        <v>#DIV/0!</v>
      </c>
      <c r="CH13" s="62" t="e">
        <f>CH11*Simulador!$G$16</f>
        <v>#DIV/0!</v>
      </c>
      <c r="CI13" s="62" t="e">
        <f>CI11*Simulador!$G$16</f>
        <v>#DIV/0!</v>
      </c>
      <c r="CJ13" s="62" t="e">
        <f>CJ11*Simulador!$G$16</f>
        <v>#DIV/0!</v>
      </c>
      <c r="CK13" s="62" t="e">
        <f>CK11*Simulador!$G$16</f>
        <v>#DIV/0!</v>
      </c>
      <c r="CL13" s="62" t="e">
        <f>CL11*Simulador!$G$16</f>
        <v>#DIV/0!</v>
      </c>
      <c r="CM13" s="62" t="e">
        <f>CM11*Simulador!$G$16</f>
        <v>#DIV/0!</v>
      </c>
      <c r="CN13" s="62" t="e">
        <f>CN11*Simulador!$G$16</f>
        <v>#DIV/0!</v>
      </c>
      <c r="CO13" s="62" t="e">
        <f>CO11*Simulador!$G$16</f>
        <v>#DIV/0!</v>
      </c>
      <c r="CP13" s="62" t="e">
        <f>CP11*Simulador!$G$16</f>
        <v>#DIV/0!</v>
      </c>
      <c r="CQ13" s="62" t="e">
        <f>CQ11*Simulador!$G$16</f>
        <v>#DIV/0!</v>
      </c>
      <c r="CR13" s="62" t="e">
        <f>CR11*Simulador!$G$16</f>
        <v>#DIV/0!</v>
      </c>
      <c r="CS13" s="62" t="e">
        <f>CS11*Simulador!$G$16</f>
        <v>#DIV/0!</v>
      </c>
      <c r="CT13" s="62" t="e">
        <f>CT11*Simulador!$G$16</f>
        <v>#DIV/0!</v>
      </c>
      <c r="CU13" s="62" t="e">
        <f>CU11*Simulador!$G$16</f>
        <v>#DIV/0!</v>
      </c>
      <c r="CV13" s="62" t="e">
        <f>CV11*Simulador!$G$16</f>
        <v>#DIV/0!</v>
      </c>
      <c r="CW13" s="62" t="e">
        <f>CW11*Simulador!$G$16</f>
        <v>#DIV/0!</v>
      </c>
      <c r="CX13" s="62" t="e">
        <f>CX11*Simulador!$G$16</f>
        <v>#DIV/0!</v>
      </c>
      <c r="CY13" s="62" t="e">
        <f>CY11*Simulador!$G$16</f>
        <v>#DIV/0!</v>
      </c>
      <c r="CZ13" s="62" t="e">
        <f>CZ11*Simulador!$G$16</f>
        <v>#DIV/0!</v>
      </c>
      <c r="DA13" s="62" t="e">
        <f>DA11*Simulador!$G$16</f>
        <v>#DIV/0!</v>
      </c>
      <c r="DB13" s="62" t="e">
        <f>DB11*Simulador!$G$16</f>
        <v>#DIV/0!</v>
      </c>
      <c r="DC13" s="62" t="e">
        <f>DC11*Simulador!$G$16</f>
        <v>#DIV/0!</v>
      </c>
      <c r="DD13" s="62" t="e">
        <f>DD11*Simulador!$G$16</f>
        <v>#DIV/0!</v>
      </c>
      <c r="DE13" s="62" t="e">
        <f>DE11*Simulador!$G$16</f>
        <v>#DIV/0!</v>
      </c>
      <c r="DF13" s="62" t="e">
        <f>DF11*Simulador!$G$16</f>
        <v>#DIV/0!</v>
      </c>
      <c r="DG13" s="62" t="e">
        <f>DG11*Simulador!$G$16</f>
        <v>#DIV/0!</v>
      </c>
      <c r="DH13" s="62" t="e">
        <f>DH11*Simulador!$G$16</f>
        <v>#DIV/0!</v>
      </c>
      <c r="DI13" s="62" t="e">
        <f>DI11*Simulador!$G$16</f>
        <v>#DIV/0!</v>
      </c>
      <c r="DJ13" s="62" t="e">
        <f>DJ11*Simulador!$G$16</f>
        <v>#DIV/0!</v>
      </c>
      <c r="DK13" s="62" t="e">
        <f>DK11*Simulador!$G$16</f>
        <v>#DIV/0!</v>
      </c>
      <c r="DL13" s="62" t="e">
        <f>DL11*Simulador!$G$16</f>
        <v>#DIV/0!</v>
      </c>
      <c r="DM13" s="62" t="e">
        <f>DM11*Simulador!$G$16</f>
        <v>#DIV/0!</v>
      </c>
      <c r="DN13" s="62" t="e">
        <f>DN11*Simulador!$G$16</f>
        <v>#DIV/0!</v>
      </c>
      <c r="DO13" s="62" t="e">
        <f>DO11*Simulador!$G$16</f>
        <v>#DIV/0!</v>
      </c>
      <c r="DP13" s="62" t="e">
        <f>DP11*Simulador!$G$16</f>
        <v>#DIV/0!</v>
      </c>
      <c r="DQ13" s="62" t="e">
        <f>DQ11*Simulador!$G$16</f>
        <v>#DIV/0!</v>
      </c>
      <c r="DR13" s="62" t="e">
        <f>DR11*Simulador!$G$16</f>
        <v>#DIV/0!</v>
      </c>
      <c r="DS13" s="62" t="e">
        <f>DS11*Simulador!$G$16</f>
        <v>#DIV/0!</v>
      </c>
      <c r="DT13" s="62" t="e">
        <f>DT11*Simulador!$G$16</f>
        <v>#DIV/0!</v>
      </c>
      <c r="DU13" s="62" t="e">
        <f>DU11*Simulador!$G$16</f>
        <v>#DIV/0!</v>
      </c>
      <c r="DV13" s="62" t="e">
        <f>DV11*Simulador!$G$16</f>
        <v>#DIV/0!</v>
      </c>
      <c r="DW13" s="62" t="e">
        <f>DW11*Simulador!$G$16</f>
        <v>#DIV/0!</v>
      </c>
      <c r="DX13" s="62" t="e">
        <f>DX11*Simulador!$G$16</f>
        <v>#DIV/0!</v>
      </c>
      <c r="DY13" s="62" t="e">
        <f>DY11*Simulador!$G$16</f>
        <v>#DIV/0!</v>
      </c>
      <c r="DZ13" s="62" t="e">
        <f>DZ11*Simulador!$G$16</f>
        <v>#DIV/0!</v>
      </c>
      <c r="EA13" s="62" t="e">
        <f>EA11*Simulador!$G$16</f>
        <v>#DIV/0!</v>
      </c>
      <c r="EB13" s="62" t="e">
        <f>EB11*Simulador!$G$16</f>
        <v>#DIV/0!</v>
      </c>
      <c r="EC13" s="62" t="e">
        <f>EC11*Simulador!$G$16</f>
        <v>#DIV/0!</v>
      </c>
      <c r="ED13" s="62" t="e">
        <f>ED11*Simulador!$G$16</f>
        <v>#DIV/0!</v>
      </c>
    </row>
    <row r="14" spans="2:135" ht="13" x14ac:dyDescent="0.3">
      <c r="B14" s="38"/>
      <c r="C14" s="53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53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</row>
    <row r="15" spans="2:135" ht="13" x14ac:dyDescent="0.3">
      <c r="B15" s="38" t="s">
        <v>190</v>
      </c>
      <c r="C15" s="53"/>
      <c r="D15" s="67">
        <f t="shared" ref="D15:H15" si="10">SUMIFS($O15:$BV15,$O$4:$BV$4,D$3)</f>
        <v>0</v>
      </c>
      <c r="E15" s="67">
        <f t="shared" si="10"/>
        <v>0</v>
      </c>
      <c r="F15" s="67">
        <f t="shared" si="10"/>
        <v>0</v>
      </c>
      <c r="G15" s="67">
        <f t="shared" si="10"/>
        <v>0</v>
      </c>
      <c r="H15" s="67">
        <f t="shared" si="10"/>
        <v>0</v>
      </c>
      <c r="I15" s="67">
        <f t="shared" ref="I15:M15" si="11">SUMIFS($O15:$ED15,$O$4:$ED$4,I$3)</f>
        <v>0</v>
      </c>
      <c r="J15" s="67">
        <f t="shared" si="11"/>
        <v>0</v>
      </c>
      <c r="K15" s="67">
        <f t="shared" si="11"/>
        <v>0</v>
      </c>
      <c r="L15" s="67">
        <f t="shared" si="11"/>
        <v>0</v>
      </c>
      <c r="M15" s="67">
        <f t="shared" si="11"/>
        <v>0</v>
      </c>
      <c r="N15" s="53"/>
      <c r="O15" s="62">
        <f>IF(Simulador!$G$18=TRUE,O13,0)</f>
        <v>0</v>
      </c>
      <c r="P15" s="62">
        <f>IF(Simulador!$G$18=TRUE,P13,0)</f>
        <v>0</v>
      </c>
      <c r="Q15" s="62">
        <f>IF(Simulador!$G$18=TRUE,Q13,0)</f>
        <v>0</v>
      </c>
      <c r="R15" s="62">
        <f>IF(Simulador!$G$18=TRUE,R13,0)</f>
        <v>0</v>
      </c>
      <c r="S15" s="62">
        <f>IF(Simulador!$G$18=TRUE,S13,0)</f>
        <v>0</v>
      </c>
      <c r="T15" s="62">
        <f>IF(Simulador!$G$18=TRUE,T13,0)</f>
        <v>0</v>
      </c>
      <c r="U15" s="62">
        <f>IF(Simulador!$G$18=TRUE,U13,0)</f>
        <v>0</v>
      </c>
      <c r="V15" s="62">
        <f>IF(Simulador!$G$18=TRUE,V13,0)</f>
        <v>0</v>
      </c>
      <c r="W15" s="62">
        <f>IF(Simulador!$G$18=TRUE,W13,0)</f>
        <v>0</v>
      </c>
      <c r="X15" s="62">
        <f>IF(Simulador!$G$18=TRUE,X13,0)</f>
        <v>0</v>
      </c>
      <c r="Y15" s="62">
        <f>IF(Simulador!$G$18=TRUE,Y13,0)</f>
        <v>0</v>
      </c>
      <c r="Z15" s="62">
        <f>IF(Simulador!$G$18=TRUE,Z13,0)</f>
        <v>0</v>
      </c>
      <c r="AA15" s="62">
        <f>IF(Simulador!$G$18=TRUE,AA13,0)</f>
        <v>0</v>
      </c>
      <c r="AB15" s="62">
        <f>IF(Simulador!$G$18=TRUE,AB13,0)</f>
        <v>0</v>
      </c>
      <c r="AC15" s="62">
        <f>IF(Simulador!$G$18=TRUE,AC13,0)</f>
        <v>0</v>
      </c>
      <c r="AD15" s="62">
        <f>IF(Simulador!$G$18=TRUE,AD13,0)</f>
        <v>0</v>
      </c>
      <c r="AE15" s="62">
        <f>IF(Simulador!$G$18=TRUE,AE13,0)</f>
        <v>0</v>
      </c>
      <c r="AF15" s="62">
        <f>IF(Simulador!$G$18=TRUE,AF13,0)</f>
        <v>0</v>
      </c>
      <c r="AG15" s="62">
        <f>IF(Simulador!$G$18=TRUE,AG13,0)</f>
        <v>0</v>
      </c>
      <c r="AH15" s="62">
        <f>IF(Simulador!$G$18=TRUE,AH13,0)</f>
        <v>0</v>
      </c>
      <c r="AI15" s="62">
        <f>IF(Simulador!$G$18=TRUE,AI13,0)</f>
        <v>0</v>
      </c>
      <c r="AJ15" s="62">
        <f>IF(Simulador!$G$18=TRUE,AJ13,0)</f>
        <v>0</v>
      </c>
      <c r="AK15" s="62">
        <f>IF(Simulador!$G$18=TRUE,AK13,0)</f>
        <v>0</v>
      </c>
      <c r="AL15" s="62">
        <f>IF(Simulador!$G$18=TRUE,AL13,0)</f>
        <v>0</v>
      </c>
      <c r="AM15" s="62">
        <f>IF(Simulador!$G$18=TRUE,AM13,0)</f>
        <v>0</v>
      </c>
      <c r="AN15" s="62">
        <f>IF(Simulador!$G$18=TRUE,AN13,0)</f>
        <v>0</v>
      </c>
      <c r="AO15" s="62">
        <f>IF(Simulador!$G$18=TRUE,AO13,0)</f>
        <v>0</v>
      </c>
      <c r="AP15" s="62">
        <f>IF(Simulador!$G$18=TRUE,AP13,0)</f>
        <v>0</v>
      </c>
      <c r="AQ15" s="62">
        <f>IF(Simulador!$G$18=TRUE,AQ13,0)</f>
        <v>0</v>
      </c>
      <c r="AR15" s="62">
        <f>IF(Simulador!$G$18=TRUE,AR13,0)</f>
        <v>0</v>
      </c>
      <c r="AS15" s="62">
        <f>IF(Simulador!$G$18=TRUE,AS13,0)</f>
        <v>0</v>
      </c>
      <c r="AT15" s="62">
        <f>IF(Simulador!$G$18=TRUE,AT13,0)</f>
        <v>0</v>
      </c>
      <c r="AU15" s="62">
        <f>IF(Simulador!$G$18=TRUE,AU13,0)</f>
        <v>0</v>
      </c>
      <c r="AV15" s="62">
        <f>IF(Simulador!$G$18=TRUE,AV13,0)</f>
        <v>0</v>
      </c>
      <c r="AW15" s="62">
        <f>IF(Simulador!$G$18=TRUE,AW13,0)</f>
        <v>0</v>
      </c>
      <c r="AX15" s="62">
        <f>IF(Simulador!$G$18=TRUE,AX13,0)</f>
        <v>0</v>
      </c>
      <c r="AY15" s="62">
        <f>IF(Simulador!$G$18=TRUE,AY13,0)</f>
        <v>0</v>
      </c>
      <c r="AZ15" s="62">
        <f>IF(Simulador!$G$18=TRUE,AZ13,0)</f>
        <v>0</v>
      </c>
      <c r="BA15" s="62">
        <f>IF(Simulador!$G$18=TRUE,BA13,0)</f>
        <v>0</v>
      </c>
      <c r="BB15" s="62">
        <f>IF(Simulador!$G$18=TRUE,BB13,0)</f>
        <v>0</v>
      </c>
      <c r="BC15" s="62">
        <f>IF(Simulador!$G$18=TRUE,BC13,0)</f>
        <v>0</v>
      </c>
      <c r="BD15" s="62">
        <f>IF(Simulador!$G$18=TRUE,BD13,0)</f>
        <v>0</v>
      </c>
      <c r="BE15" s="62">
        <f>IF(Simulador!$G$18=TRUE,BE13,0)</f>
        <v>0</v>
      </c>
      <c r="BF15" s="62">
        <f>IF(Simulador!$G$18=TRUE,BF13,0)</f>
        <v>0</v>
      </c>
      <c r="BG15" s="62">
        <f>IF(Simulador!$G$18=TRUE,BG13,0)</f>
        <v>0</v>
      </c>
      <c r="BH15" s="62">
        <f>IF(Simulador!$G$18=TRUE,BH13,0)</f>
        <v>0</v>
      </c>
      <c r="BI15" s="62">
        <f>IF(Simulador!$G$18=TRUE,BI13,0)</f>
        <v>0</v>
      </c>
      <c r="BJ15" s="62">
        <f>IF(Simulador!$G$18=TRUE,BJ13,0)</f>
        <v>0</v>
      </c>
      <c r="BK15" s="62">
        <f>IF(Simulador!$G$18=TRUE,BK13,0)</f>
        <v>0</v>
      </c>
      <c r="BL15" s="62">
        <f>IF(Simulador!$G$18=TRUE,BL13,0)</f>
        <v>0</v>
      </c>
      <c r="BM15" s="62">
        <f>IF(Simulador!$G$18=TRUE,BM13,0)</f>
        <v>0</v>
      </c>
      <c r="BN15" s="62">
        <f>IF(Simulador!$G$18=TRUE,BN13,0)</f>
        <v>0</v>
      </c>
      <c r="BO15" s="62">
        <f>IF(Simulador!$G$18=TRUE,BO13,0)</f>
        <v>0</v>
      </c>
      <c r="BP15" s="62">
        <f>IF(Simulador!$G$18=TRUE,BP13,0)</f>
        <v>0</v>
      </c>
      <c r="BQ15" s="62">
        <f>IF(Simulador!$G$18=TRUE,BQ13,0)</f>
        <v>0</v>
      </c>
      <c r="BR15" s="62">
        <f>IF(Simulador!$G$18=TRUE,BR13,0)</f>
        <v>0</v>
      </c>
      <c r="BS15" s="62">
        <f>IF(Simulador!$G$18=TRUE,BS13,0)</f>
        <v>0</v>
      </c>
      <c r="BT15" s="62">
        <f>IF(Simulador!$G$18=TRUE,BT13,0)</f>
        <v>0</v>
      </c>
      <c r="BU15" s="62">
        <f>IF(Simulador!$G$18=TRUE,BU13,0)</f>
        <v>0</v>
      </c>
      <c r="BV15" s="62">
        <f>IF(Simulador!$G$18=TRUE,BV13,0)</f>
        <v>0</v>
      </c>
      <c r="BW15" s="62">
        <f>IF(Simulador!$G$18=TRUE,BW13,0)</f>
        <v>0</v>
      </c>
      <c r="BX15" s="62">
        <f>IF(Simulador!$G$18=TRUE,BX13,0)</f>
        <v>0</v>
      </c>
      <c r="BY15" s="62">
        <f>IF(Simulador!$G$18=TRUE,BY13,0)</f>
        <v>0</v>
      </c>
      <c r="BZ15" s="62">
        <f>IF(Simulador!$G$18=TRUE,BZ13,0)</f>
        <v>0</v>
      </c>
      <c r="CA15" s="62">
        <f>IF(Simulador!$G$18=TRUE,CA13,0)</f>
        <v>0</v>
      </c>
      <c r="CB15" s="62">
        <f>IF(Simulador!$G$18=TRUE,CB13,0)</f>
        <v>0</v>
      </c>
      <c r="CC15" s="62">
        <f>IF(Simulador!$G$18=TRUE,CC13,0)</f>
        <v>0</v>
      </c>
      <c r="CD15" s="62">
        <f>IF(Simulador!$G$18=TRUE,CD13,0)</f>
        <v>0</v>
      </c>
      <c r="CE15" s="62">
        <f>IF(Simulador!$G$18=TRUE,CE13,0)</f>
        <v>0</v>
      </c>
      <c r="CF15" s="62">
        <f>IF(Simulador!$G$18=TRUE,CF13,0)</f>
        <v>0</v>
      </c>
      <c r="CG15" s="62">
        <f>IF(Simulador!$G$18=TRUE,CG13,0)</f>
        <v>0</v>
      </c>
      <c r="CH15" s="62">
        <f>IF(Simulador!$G$18=TRUE,CH13,0)</f>
        <v>0</v>
      </c>
      <c r="CI15" s="62">
        <f>IF(Simulador!$G$18=TRUE,CI13,0)</f>
        <v>0</v>
      </c>
      <c r="CJ15" s="62">
        <f>IF(Simulador!$G$18=TRUE,CJ13,0)</f>
        <v>0</v>
      </c>
      <c r="CK15" s="62">
        <f>IF(Simulador!$G$18=TRUE,CK13,0)</f>
        <v>0</v>
      </c>
      <c r="CL15" s="62">
        <f>IF(Simulador!$G$18=TRUE,CL13,0)</f>
        <v>0</v>
      </c>
      <c r="CM15" s="62">
        <f>IF(Simulador!$G$18=TRUE,CM13,0)</f>
        <v>0</v>
      </c>
      <c r="CN15" s="62">
        <f>IF(Simulador!$G$18=TRUE,CN13,0)</f>
        <v>0</v>
      </c>
      <c r="CO15" s="62">
        <f>IF(Simulador!$G$18=TRUE,CO13,0)</f>
        <v>0</v>
      </c>
      <c r="CP15" s="62">
        <f>IF(Simulador!$G$18=TRUE,CP13,0)</f>
        <v>0</v>
      </c>
      <c r="CQ15" s="62">
        <f>IF(Simulador!$G$18=TRUE,CQ13,0)</f>
        <v>0</v>
      </c>
      <c r="CR15" s="62">
        <f>IF(Simulador!$G$18=TRUE,CR13,0)</f>
        <v>0</v>
      </c>
      <c r="CS15" s="62">
        <f>IF(Simulador!$G$18=TRUE,CS13,0)</f>
        <v>0</v>
      </c>
      <c r="CT15" s="62">
        <f>IF(Simulador!$G$18=TRUE,CT13,0)</f>
        <v>0</v>
      </c>
      <c r="CU15" s="62">
        <f>IF(Simulador!$G$18=TRUE,CU13,0)</f>
        <v>0</v>
      </c>
      <c r="CV15" s="62">
        <f>IF(Simulador!$G$18=TRUE,CV13,0)</f>
        <v>0</v>
      </c>
      <c r="CW15" s="62">
        <f>IF(Simulador!$G$18=TRUE,CW13,0)</f>
        <v>0</v>
      </c>
      <c r="CX15" s="62">
        <f>IF(Simulador!$G$18=TRUE,CX13,0)</f>
        <v>0</v>
      </c>
      <c r="CY15" s="62">
        <f>IF(Simulador!$G$18=TRUE,CY13,0)</f>
        <v>0</v>
      </c>
      <c r="CZ15" s="62">
        <f>IF(Simulador!$G$18=TRUE,CZ13,0)</f>
        <v>0</v>
      </c>
      <c r="DA15" s="62">
        <f>IF(Simulador!$G$18=TRUE,DA13,0)</f>
        <v>0</v>
      </c>
      <c r="DB15" s="62">
        <f>IF(Simulador!$G$18=TRUE,DB13,0)</f>
        <v>0</v>
      </c>
      <c r="DC15" s="62">
        <f>IF(Simulador!$G$18=TRUE,DC13,0)</f>
        <v>0</v>
      </c>
      <c r="DD15" s="62">
        <f>IF(Simulador!$G$18=TRUE,DD13,0)</f>
        <v>0</v>
      </c>
      <c r="DE15" s="62">
        <f>IF(Simulador!$G$18=TRUE,DE13,0)</f>
        <v>0</v>
      </c>
      <c r="DF15" s="62">
        <f>IF(Simulador!$G$18=TRUE,DF13,0)</f>
        <v>0</v>
      </c>
      <c r="DG15" s="62">
        <f>IF(Simulador!$G$18=TRUE,DG13,0)</f>
        <v>0</v>
      </c>
      <c r="DH15" s="62">
        <f>IF(Simulador!$G$18=TRUE,DH13,0)</f>
        <v>0</v>
      </c>
      <c r="DI15" s="62">
        <f>IF(Simulador!$G$18=TRUE,DI13,0)</f>
        <v>0</v>
      </c>
      <c r="DJ15" s="62">
        <f>IF(Simulador!$G$18=TRUE,DJ13,0)</f>
        <v>0</v>
      </c>
      <c r="DK15" s="62">
        <f>IF(Simulador!$G$18=TRUE,DK13,0)</f>
        <v>0</v>
      </c>
      <c r="DL15" s="62">
        <f>IF(Simulador!$G$18=TRUE,DL13,0)</f>
        <v>0</v>
      </c>
      <c r="DM15" s="62">
        <f>IF(Simulador!$G$18=TRUE,DM13,0)</f>
        <v>0</v>
      </c>
      <c r="DN15" s="62">
        <f>IF(Simulador!$G$18=TRUE,DN13,0)</f>
        <v>0</v>
      </c>
      <c r="DO15" s="62">
        <f>IF(Simulador!$G$18=TRUE,DO13,0)</f>
        <v>0</v>
      </c>
      <c r="DP15" s="62">
        <f>IF(Simulador!$G$18=TRUE,DP13,0)</f>
        <v>0</v>
      </c>
      <c r="DQ15" s="62">
        <f>IF(Simulador!$G$18=TRUE,DQ13,0)</f>
        <v>0</v>
      </c>
      <c r="DR15" s="62">
        <f>IF(Simulador!$G$18=TRUE,DR13,0)</f>
        <v>0</v>
      </c>
      <c r="DS15" s="62">
        <f>IF(Simulador!$G$18=TRUE,DS13,0)</f>
        <v>0</v>
      </c>
      <c r="DT15" s="62">
        <f>IF(Simulador!$G$18=TRUE,DT13,0)</f>
        <v>0</v>
      </c>
      <c r="DU15" s="62">
        <f>IF(Simulador!$G$18=TRUE,DU13,0)</f>
        <v>0</v>
      </c>
      <c r="DV15" s="62">
        <f>IF(Simulador!$G$18=TRUE,DV13,0)</f>
        <v>0</v>
      </c>
      <c r="DW15" s="62">
        <f>IF(Simulador!$G$18=TRUE,DW13,0)</f>
        <v>0</v>
      </c>
      <c r="DX15" s="62">
        <f>IF(Simulador!$G$18=TRUE,DX13,0)</f>
        <v>0</v>
      </c>
      <c r="DY15" s="62">
        <f>IF(Simulador!$G$18=TRUE,DY13,0)</f>
        <v>0</v>
      </c>
      <c r="DZ15" s="62">
        <f>IF(Simulador!$G$18=TRUE,DZ13,0)</f>
        <v>0</v>
      </c>
      <c r="EA15" s="62">
        <f>IF(Simulador!$G$18=TRUE,EA13,0)</f>
        <v>0</v>
      </c>
      <c r="EB15" s="62">
        <f>IF(Simulador!$G$18=TRUE,EB13,0)</f>
        <v>0</v>
      </c>
      <c r="EC15" s="62">
        <f>IF(Simulador!$G$18=TRUE,EC13,0)</f>
        <v>0</v>
      </c>
      <c r="ED15" s="62">
        <f>IF(Simulador!$G$18=TRUE,ED13,0)</f>
        <v>0</v>
      </c>
    </row>
    <row r="16" spans="2:135" ht="12.5" x14ac:dyDescent="0.25">
      <c r="C16" s="53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53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</row>
    <row r="18" spans="2:134" ht="13" x14ac:dyDescent="0.3">
      <c r="B18" s="38" t="s">
        <v>191</v>
      </c>
      <c r="C18" s="53"/>
      <c r="D18" s="67" t="e">
        <f t="shared" ref="D18:M18" si="12">SUM(D19:D23)</f>
        <v>#DIV/0!</v>
      </c>
      <c r="E18" s="67" t="e">
        <f t="shared" si="12"/>
        <v>#DIV/0!</v>
      </c>
      <c r="F18" s="67" t="e">
        <f t="shared" si="12"/>
        <v>#DIV/0!</v>
      </c>
      <c r="G18" s="67" t="e">
        <f t="shared" si="12"/>
        <v>#DIV/0!</v>
      </c>
      <c r="H18" s="67" t="e">
        <f t="shared" si="12"/>
        <v>#DIV/0!</v>
      </c>
      <c r="I18" s="67" t="e">
        <f t="shared" si="12"/>
        <v>#DIV/0!</v>
      </c>
      <c r="J18" s="67" t="e">
        <f t="shared" si="12"/>
        <v>#DIV/0!</v>
      </c>
      <c r="K18" s="67" t="e">
        <f t="shared" si="12"/>
        <v>#DIV/0!</v>
      </c>
      <c r="L18" s="67" t="e">
        <f t="shared" si="12"/>
        <v>#DIV/0!</v>
      </c>
      <c r="M18" s="67" t="e">
        <f t="shared" si="12"/>
        <v>#DIV/0!</v>
      </c>
      <c r="N18" s="53"/>
      <c r="O18" s="67" t="e">
        <f t="shared" ref="O18:ED18" si="13">SUM(O19:O23)</f>
        <v>#DIV/0!</v>
      </c>
      <c r="P18" s="67" t="e">
        <f t="shared" si="13"/>
        <v>#DIV/0!</v>
      </c>
      <c r="Q18" s="67" t="e">
        <f t="shared" si="13"/>
        <v>#DIV/0!</v>
      </c>
      <c r="R18" s="67" t="e">
        <f t="shared" si="13"/>
        <v>#DIV/0!</v>
      </c>
      <c r="S18" s="67" t="e">
        <f t="shared" si="13"/>
        <v>#DIV/0!</v>
      </c>
      <c r="T18" s="67" t="e">
        <f t="shared" si="13"/>
        <v>#DIV/0!</v>
      </c>
      <c r="U18" s="67" t="e">
        <f t="shared" si="13"/>
        <v>#DIV/0!</v>
      </c>
      <c r="V18" s="67" t="e">
        <f t="shared" si="13"/>
        <v>#DIV/0!</v>
      </c>
      <c r="W18" s="67" t="e">
        <f t="shared" si="13"/>
        <v>#DIV/0!</v>
      </c>
      <c r="X18" s="67" t="e">
        <f t="shared" si="13"/>
        <v>#DIV/0!</v>
      </c>
      <c r="Y18" s="67" t="e">
        <f t="shared" si="13"/>
        <v>#DIV/0!</v>
      </c>
      <c r="Z18" s="67" t="e">
        <f t="shared" si="13"/>
        <v>#DIV/0!</v>
      </c>
      <c r="AA18" s="67" t="e">
        <f t="shared" si="13"/>
        <v>#DIV/0!</v>
      </c>
      <c r="AB18" s="67" t="e">
        <f t="shared" si="13"/>
        <v>#DIV/0!</v>
      </c>
      <c r="AC18" s="67" t="e">
        <f t="shared" si="13"/>
        <v>#DIV/0!</v>
      </c>
      <c r="AD18" s="67" t="e">
        <f t="shared" si="13"/>
        <v>#DIV/0!</v>
      </c>
      <c r="AE18" s="67" t="e">
        <f t="shared" si="13"/>
        <v>#DIV/0!</v>
      </c>
      <c r="AF18" s="67" t="e">
        <f t="shared" si="13"/>
        <v>#DIV/0!</v>
      </c>
      <c r="AG18" s="67" t="e">
        <f t="shared" si="13"/>
        <v>#DIV/0!</v>
      </c>
      <c r="AH18" s="67" t="e">
        <f t="shared" si="13"/>
        <v>#DIV/0!</v>
      </c>
      <c r="AI18" s="67" t="e">
        <f t="shared" si="13"/>
        <v>#DIV/0!</v>
      </c>
      <c r="AJ18" s="67" t="e">
        <f t="shared" si="13"/>
        <v>#DIV/0!</v>
      </c>
      <c r="AK18" s="67" t="e">
        <f t="shared" si="13"/>
        <v>#DIV/0!</v>
      </c>
      <c r="AL18" s="67" t="e">
        <f t="shared" si="13"/>
        <v>#DIV/0!</v>
      </c>
      <c r="AM18" s="67" t="e">
        <f t="shared" si="13"/>
        <v>#DIV/0!</v>
      </c>
      <c r="AN18" s="67" t="e">
        <f t="shared" si="13"/>
        <v>#DIV/0!</v>
      </c>
      <c r="AO18" s="67" t="e">
        <f t="shared" si="13"/>
        <v>#DIV/0!</v>
      </c>
      <c r="AP18" s="67" t="e">
        <f t="shared" si="13"/>
        <v>#DIV/0!</v>
      </c>
      <c r="AQ18" s="67" t="e">
        <f t="shared" si="13"/>
        <v>#DIV/0!</v>
      </c>
      <c r="AR18" s="67" t="e">
        <f t="shared" si="13"/>
        <v>#DIV/0!</v>
      </c>
      <c r="AS18" s="67" t="e">
        <f t="shared" si="13"/>
        <v>#DIV/0!</v>
      </c>
      <c r="AT18" s="67" t="e">
        <f t="shared" si="13"/>
        <v>#DIV/0!</v>
      </c>
      <c r="AU18" s="67" t="e">
        <f t="shared" si="13"/>
        <v>#DIV/0!</v>
      </c>
      <c r="AV18" s="67" t="e">
        <f t="shared" si="13"/>
        <v>#DIV/0!</v>
      </c>
      <c r="AW18" s="67" t="e">
        <f t="shared" si="13"/>
        <v>#DIV/0!</v>
      </c>
      <c r="AX18" s="67" t="e">
        <f t="shared" si="13"/>
        <v>#DIV/0!</v>
      </c>
      <c r="AY18" s="67" t="e">
        <f t="shared" si="13"/>
        <v>#DIV/0!</v>
      </c>
      <c r="AZ18" s="67" t="e">
        <f t="shared" si="13"/>
        <v>#DIV/0!</v>
      </c>
      <c r="BA18" s="67" t="e">
        <f t="shared" si="13"/>
        <v>#DIV/0!</v>
      </c>
      <c r="BB18" s="67" t="e">
        <f t="shared" si="13"/>
        <v>#DIV/0!</v>
      </c>
      <c r="BC18" s="67" t="e">
        <f t="shared" si="13"/>
        <v>#DIV/0!</v>
      </c>
      <c r="BD18" s="67" t="e">
        <f t="shared" si="13"/>
        <v>#DIV/0!</v>
      </c>
      <c r="BE18" s="67" t="e">
        <f t="shared" si="13"/>
        <v>#DIV/0!</v>
      </c>
      <c r="BF18" s="67" t="e">
        <f t="shared" si="13"/>
        <v>#DIV/0!</v>
      </c>
      <c r="BG18" s="67" t="e">
        <f t="shared" si="13"/>
        <v>#DIV/0!</v>
      </c>
      <c r="BH18" s="67" t="e">
        <f t="shared" si="13"/>
        <v>#DIV/0!</v>
      </c>
      <c r="BI18" s="67" t="e">
        <f t="shared" si="13"/>
        <v>#DIV/0!</v>
      </c>
      <c r="BJ18" s="67" t="e">
        <f t="shared" si="13"/>
        <v>#DIV/0!</v>
      </c>
      <c r="BK18" s="67" t="e">
        <f t="shared" si="13"/>
        <v>#DIV/0!</v>
      </c>
      <c r="BL18" s="67" t="e">
        <f t="shared" si="13"/>
        <v>#DIV/0!</v>
      </c>
      <c r="BM18" s="67" t="e">
        <f t="shared" si="13"/>
        <v>#DIV/0!</v>
      </c>
      <c r="BN18" s="67" t="e">
        <f t="shared" si="13"/>
        <v>#DIV/0!</v>
      </c>
      <c r="BO18" s="67" t="e">
        <f t="shared" si="13"/>
        <v>#DIV/0!</v>
      </c>
      <c r="BP18" s="67" t="e">
        <f t="shared" si="13"/>
        <v>#DIV/0!</v>
      </c>
      <c r="BQ18" s="67" t="e">
        <f t="shared" si="13"/>
        <v>#DIV/0!</v>
      </c>
      <c r="BR18" s="67" t="e">
        <f t="shared" si="13"/>
        <v>#DIV/0!</v>
      </c>
      <c r="BS18" s="67" t="e">
        <f t="shared" si="13"/>
        <v>#DIV/0!</v>
      </c>
      <c r="BT18" s="67" t="e">
        <f t="shared" si="13"/>
        <v>#DIV/0!</v>
      </c>
      <c r="BU18" s="67" t="e">
        <f t="shared" si="13"/>
        <v>#DIV/0!</v>
      </c>
      <c r="BV18" s="67" t="e">
        <f t="shared" si="13"/>
        <v>#DIV/0!</v>
      </c>
      <c r="BW18" s="67" t="e">
        <f t="shared" si="13"/>
        <v>#DIV/0!</v>
      </c>
      <c r="BX18" s="67" t="e">
        <f t="shared" si="13"/>
        <v>#DIV/0!</v>
      </c>
      <c r="BY18" s="67" t="e">
        <f t="shared" si="13"/>
        <v>#DIV/0!</v>
      </c>
      <c r="BZ18" s="67" t="e">
        <f t="shared" si="13"/>
        <v>#DIV/0!</v>
      </c>
      <c r="CA18" s="67" t="e">
        <f t="shared" si="13"/>
        <v>#DIV/0!</v>
      </c>
      <c r="CB18" s="67" t="e">
        <f t="shared" si="13"/>
        <v>#DIV/0!</v>
      </c>
      <c r="CC18" s="67" t="e">
        <f t="shared" si="13"/>
        <v>#DIV/0!</v>
      </c>
      <c r="CD18" s="67" t="e">
        <f t="shared" si="13"/>
        <v>#DIV/0!</v>
      </c>
      <c r="CE18" s="67" t="e">
        <f t="shared" si="13"/>
        <v>#DIV/0!</v>
      </c>
      <c r="CF18" s="67" t="e">
        <f t="shared" si="13"/>
        <v>#DIV/0!</v>
      </c>
      <c r="CG18" s="67" t="e">
        <f t="shared" si="13"/>
        <v>#DIV/0!</v>
      </c>
      <c r="CH18" s="67" t="e">
        <f t="shared" si="13"/>
        <v>#DIV/0!</v>
      </c>
      <c r="CI18" s="67" t="e">
        <f t="shared" si="13"/>
        <v>#DIV/0!</v>
      </c>
      <c r="CJ18" s="67" t="e">
        <f t="shared" si="13"/>
        <v>#DIV/0!</v>
      </c>
      <c r="CK18" s="67" t="e">
        <f t="shared" si="13"/>
        <v>#DIV/0!</v>
      </c>
      <c r="CL18" s="67" t="e">
        <f t="shared" si="13"/>
        <v>#DIV/0!</v>
      </c>
      <c r="CM18" s="67" t="e">
        <f t="shared" si="13"/>
        <v>#DIV/0!</v>
      </c>
      <c r="CN18" s="67" t="e">
        <f t="shared" si="13"/>
        <v>#DIV/0!</v>
      </c>
      <c r="CO18" s="67" t="e">
        <f t="shared" si="13"/>
        <v>#DIV/0!</v>
      </c>
      <c r="CP18" s="67" t="e">
        <f t="shared" si="13"/>
        <v>#DIV/0!</v>
      </c>
      <c r="CQ18" s="67" t="e">
        <f t="shared" si="13"/>
        <v>#DIV/0!</v>
      </c>
      <c r="CR18" s="67" t="e">
        <f t="shared" si="13"/>
        <v>#DIV/0!</v>
      </c>
      <c r="CS18" s="67" t="e">
        <f t="shared" si="13"/>
        <v>#DIV/0!</v>
      </c>
      <c r="CT18" s="67" t="e">
        <f t="shared" si="13"/>
        <v>#DIV/0!</v>
      </c>
      <c r="CU18" s="67" t="e">
        <f t="shared" si="13"/>
        <v>#DIV/0!</v>
      </c>
      <c r="CV18" s="67" t="e">
        <f t="shared" si="13"/>
        <v>#DIV/0!</v>
      </c>
      <c r="CW18" s="67" t="e">
        <f t="shared" si="13"/>
        <v>#DIV/0!</v>
      </c>
      <c r="CX18" s="67" t="e">
        <f t="shared" si="13"/>
        <v>#DIV/0!</v>
      </c>
      <c r="CY18" s="67" t="e">
        <f t="shared" si="13"/>
        <v>#DIV/0!</v>
      </c>
      <c r="CZ18" s="67" t="e">
        <f t="shared" si="13"/>
        <v>#DIV/0!</v>
      </c>
      <c r="DA18" s="67" t="e">
        <f t="shared" si="13"/>
        <v>#DIV/0!</v>
      </c>
      <c r="DB18" s="67" t="e">
        <f t="shared" si="13"/>
        <v>#DIV/0!</v>
      </c>
      <c r="DC18" s="67" t="e">
        <f t="shared" si="13"/>
        <v>#DIV/0!</v>
      </c>
      <c r="DD18" s="67" t="e">
        <f t="shared" si="13"/>
        <v>#DIV/0!</v>
      </c>
      <c r="DE18" s="67" t="e">
        <f t="shared" si="13"/>
        <v>#DIV/0!</v>
      </c>
      <c r="DF18" s="67" t="e">
        <f t="shared" si="13"/>
        <v>#DIV/0!</v>
      </c>
      <c r="DG18" s="67" t="e">
        <f t="shared" si="13"/>
        <v>#DIV/0!</v>
      </c>
      <c r="DH18" s="67" t="e">
        <f t="shared" si="13"/>
        <v>#DIV/0!</v>
      </c>
      <c r="DI18" s="67" t="e">
        <f t="shared" si="13"/>
        <v>#DIV/0!</v>
      </c>
      <c r="DJ18" s="67" t="e">
        <f t="shared" si="13"/>
        <v>#DIV/0!</v>
      </c>
      <c r="DK18" s="67" t="e">
        <f t="shared" si="13"/>
        <v>#DIV/0!</v>
      </c>
      <c r="DL18" s="67" t="e">
        <f t="shared" si="13"/>
        <v>#DIV/0!</v>
      </c>
      <c r="DM18" s="67" t="e">
        <f t="shared" si="13"/>
        <v>#DIV/0!</v>
      </c>
      <c r="DN18" s="67" t="e">
        <f t="shared" si="13"/>
        <v>#DIV/0!</v>
      </c>
      <c r="DO18" s="67" t="e">
        <f t="shared" si="13"/>
        <v>#DIV/0!</v>
      </c>
      <c r="DP18" s="67" t="e">
        <f t="shared" si="13"/>
        <v>#DIV/0!</v>
      </c>
      <c r="DQ18" s="67" t="e">
        <f t="shared" si="13"/>
        <v>#DIV/0!</v>
      </c>
      <c r="DR18" s="67" t="e">
        <f t="shared" si="13"/>
        <v>#DIV/0!</v>
      </c>
      <c r="DS18" s="67" t="e">
        <f t="shared" si="13"/>
        <v>#DIV/0!</v>
      </c>
      <c r="DT18" s="67" t="e">
        <f t="shared" si="13"/>
        <v>#DIV/0!</v>
      </c>
      <c r="DU18" s="67" t="e">
        <f t="shared" si="13"/>
        <v>#DIV/0!</v>
      </c>
      <c r="DV18" s="67" t="e">
        <f t="shared" si="13"/>
        <v>#DIV/0!</v>
      </c>
      <c r="DW18" s="67" t="e">
        <f t="shared" si="13"/>
        <v>#DIV/0!</v>
      </c>
      <c r="DX18" s="67" t="e">
        <f t="shared" si="13"/>
        <v>#DIV/0!</v>
      </c>
      <c r="DY18" s="67" t="e">
        <f t="shared" si="13"/>
        <v>#DIV/0!</v>
      </c>
      <c r="DZ18" s="67" t="e">
        <f t="shared" si="13"/>
        <v>#DIV/0!</v>
      </c>
      <c r="EA18" s="67" t="e">
        <f t="shared" si="13"/>
        <v>#DIV/0!</v>
      </c>
      <c r="EB18" s="67" t="e">
        <f t="shared" si="13"/>
        <v>#DIV/0!</v>
      </c>
      <c r="EC18" s="67" t="e">
        <f t="shared" si="13"/>
        <v>#DIV/0!</v>
      </c>
      <c r="ED18" s="67" t="e">
        <f t="shared" si="13"/>
        <v>#DIV/0!</v>
      </c>
    </row>
    <row r="19" spans="2:134" ht="12.5" x14ac:dyDescent="0.25">
      <c r="B19" s="46" t="s">
        <v>192</v>
      </c>
      <c r="C19" s="53"/>
      <c r="D19" s="62" t="e">
        <f t="shared" ref="D19:H19" si="14">SUMIFS($O19:$BV19,$O$4:$BV$4,D$3)</f>
        <v>#DIV/0!</v>
      </c>
      <c r="E19" s="62" t="e">
        <f t="shared" si="14"/>
        <v>#DIV/0!</v>
      </c>
      <c r="F19" s="62" t="e">
        <f t="shared" si="14"/>
        <v>#DIV/0!</v>
      </c>
      <c r="G19" s="62" t="e">
        <f t="shared" si="14"/>
        <v>#DIV/0!</v>
      </c>
      <c r="H19" s="62" t="e">
        <f t="shared" si="14"/>
        <v>#DIV/0!</v>
      </c>
      <c r="I19" s="62" t="e">
        <f t="shared" ref="I19:M19" si="15">SUMIFS($O19:$ED19,$O$4:$ED$4,I$3)</f>
        <v>#DIV/0!</v>
      </c>
      <c r="J19" s="62" t="e">
        <f t="shared" si="15"/>
        <v>#DIV/0!</v>
      </c>
      <c r="K19" s="62" t="e">
        <f t="shared" si="15"/>
        <v>#DIV/0!</v>
      </c>
      <c r="L19" s="62" t="e">
        <f t="shared" si="15"/>
        <v>#DIV/0!</v>
      </c>
      <c r="M19" s="62" t="e">
        <f t="shared" si="15"/>
        <v>#DIV/0!</v>
      </c>
      <c r="N19" s="53"/>
      <c r="O19" s="62">
        <f>IF(O$1&lt;=Simulador!$G$37,0,O9*Simulador!$G$23)</f>
        <v>0</v>
      </c>
      <c r="P19" s="62" t="e">
        <f>IF(P$1&lt;=Simulador!$G$37,0,P9*Simulador!$G$23)</f>
        <v>#DIV/0!</v>
      </c>
      <c r="Q19" s="62" t="e">
        <f>IF(Q$1&lt;=Simulador!$G$37,0,Q9*Simulador!$G$23)</f>
        <v>#DIV/0!</v>
      </c>
      <c r="R19" s="62" t="e">
        <f>IF(R$1&lt;=Simulador!$G$37,0,R9*Simulador!$G$23)</f>
        <v>#DIV/0!</v>
      </c>
      <c r="S19" s="62" t="e">
        <f>IF(S$1&lt;=Simulador!$G$37,0,S9*Simulador!$G$23)</f>
        <v>#DIV/0!</v>
      </c>
      <c r="T19" s="62" t="e">
        <f>IF(T$1&lt;=Simulador!$G$37,0,T9*Simulador!$G$23)</f>
        <v>#DIV/0!</v>
      </c>
      <c r="U19" s="62" t="e">
        <f>IF(U$1&lt;=Simulador!$G$37,0,U9*Simulador!$G$23)</f>
        <v>#DIV/0!</v>
      </c>
      <c r="V19" s="62" t="e">
        <f>IF(V$1&lt;=Simulador!$G$37,0,V9*Simulador!$G$23)</f>
        <v>#DIV/0!</v>
      </c>
      <c r="W19" s="62" t="e">
        <f>IF(W$1&lt;=Simulador!$G$37,0,W9*Simulador!$G$23)</f>
        <v>#DIV/0!</v>
      </c>
      <c r="X19" s="62" t="e">
        <f>IF(X$1&lt;=Simulador!$G$37,0,X9*Simulador!$G$23)</f>
        <v>#DIV/0!</v>
      </c>
      <c r="Y19" s="62" t="e">
        <f>IF(Y$1&lt;=Simulador!$G$37,0,Y9*Simulador!$G$23)</f>
        <v>#DIV/0!</v>
      </c>
      <c r="Z19" s="62" t="e">
        <f>IF(Z$1&lt;=Simulador!$G$37,0,Z9*Simulador!$G$23)</f>
        <v>#DIV/0!</v>
      </c>
      <c r="AA19" s="62" t="e">
        <f>IF(AA$1&lt;=Simulador!$G$37,0,AA9*Simulador!$G$23)</f>
        <v>#DIV/0!</v>
      </c>
      <c r="AB19" s="62" t="e">
        <f>IF(AB$1&lt;=Simulador!$G$37,0,AB9*Simulador!$G$23)</f>
        <v>#DIV/0!</v>
      </c>
      <c r="AC19" s="62" t="e">
        <f>IF(AC$1&lt;=Simulador!$G$37,0,AC9*Simulador!$G$23)</f>
        <v>#DIV/0!</v>
      </c>
      <c r="AD19" s="62" t="e">
        <f>IF(AD$1&lt;=Simulador!$G$37,0,AD9*Simulador!$G$23)</f>
        <v>#DIV/0!</v>
      </c>
      <c r="AE19" s="62" t="e">
        <f>IF(AE$1&lt;=Simulador!$G$37,0,AE9*Simulador!$G$23)</f>
        <v>#DIV/0!</v>
      </c>
      <c r="AF19" s="62" t="e">
        <f>IF(AF$1&lt;=Simulador!$G$37,0,AF9*Simulador!$G$23)</f>
        <v>#DIV/0!</v>
      </c>
      <c r="AG19" s="62" t="e">
        <f>IF(AG$1&lt;=Simulador!$G$37,0,AG9*Simulador!$G$23)</f>
        <v>#DIV/0!</v>
      </c>
      <c r="AH19" s="62" t="e">
        <f>IF(AH$1&lt;=Simulador!$G$37,0,AH9*Simulador!$G$23)</f>
        <v>#DIV/0!</v>
      </c>
      <c r="AI19" s="62" t="e">
        <f>IF(AI$1&lt;=Simulador!$G$37,0,AI9*Simulador!$G$23)</f>
        <v>#DIV/0!</v>
      </c>
      <c r="AJ19" s="62" t="e">
        <f>IF(AJ$1&lt;=Simulador!$G$37,0,AJ9*Simulador!$G$23)</f>
        <v>#DIV/0!</v>
      </c>
      <c r="AK19" s="62" t="e">
        <f>IF(AK$1&lt;=Simulador!$G$37,0,AK9*Simulador!$G$23)</f>
        <v>#DIV/0!</v>
      </c>
      <c r="AL19" s="62" t="e">
        <f>IF(AL$1&lt;=Simulador!$G$37,0,AL9*Simulador!$G$23)</f>
        <v>#DIV/0!</v>
      </c>
      <c r="AM19" s="62" t="e">
        <f>IF(AM$1&lt;=Simulador!$G$37,0,AM9*Simulador!$G$23)</f>
        <v>#DIV/0!</v>
      </c>
      <c r="AN19" s="62" t="e">
        <f>IF(AN$1&lt;=Simulador!$G$37,0,AN9*Simulador!$G$23)</f>
        <v>#DIV/0!</v>
      </c>
      <c r="AO19" s="62" t="e">
        <f>IF(AO$1&lt;=Simulador!$G$37,0,AO9*Simulador!$G$23)</f>
        <v>#DIV/0!</v>
      </c>
      <c r="AP19" s="62" t="e">
        <f>IF(AP$1&lt;=Simulador!$G$37,0,AP9*Simulador!$G$23)</f>
        <v>#DIV/0!</v>
      </c>
      <c r="AQ19" s="62" t="e">
        <f>IF(AQ$1&lt;=Simulador!$G$37,0,AQ9*Simulador!$G$23)</f>
        <v>#DIV/0!</v>
      </c>
      <c r="AR19" s="62" t="e">
        <f>IF(AR$1&lt;=Simulador!$G$37,0,AR9*Simulador!$G$23)</f>
        <v>#DIV/0!</v>
      </c>
      <c r="AS19" s="62" t="e">
        <f>IF(AS$1&lt;=Simulador!$G$37,0,AS9*Simulador!$G$23)</f>
        <v>#DIV/0!</v>
      </c>
      <c r="AT19" s="62" t="e">
        <f>IF(AT$1&lt;=Simulador!$G$37,0,AT9*Simulador!$G$23)</f>
        <v>#DIV/0!</v>
      </c>
      <c r="AU19" s="62" t="e">
        <f>IF(AU$1&lt;=Simulador!$G$37,0,AU9*Simulador!$G$23)</f>
        <v>#DIV/0!</v>
      </c>
      <c r="AV19" s="62" t="e">
        <f>IF(AV$1&lt;=Simulador!$G$37,0,AV9*Simulador!$G$23)</f>
        <v>#DIV/0!</v>
      </c>
      <c r="AW19" s="62" t="e">
        <f>IF(AW$1&lt;=Simulador!$G$37,0,AW9*Simulador!$G$23)</f>
        <v>#DIV/0!</v>
      </c>
      <c r="AX19" s="62" t="e">
        <f>IF(AX$1&lt;=Simulador!$G$37,0,AX9*Simulador!$G$23)</f>
        <v>#DIV/0!</v>
      </c>
      <c r="AY19" s="62" t="e">
        <f>IF(AY$1&lt;=Simulador!$G$37,0,AY9*Simulador!$G$23)</f>
        <v>#DIV/0!</v>
      </c>
      <c r="AZ19" s="62" t="e">
        <f>IF(AZ$1&lt;=Simulador!$G$37,0,AZ9*Simulador!$G$23)</f>
        <v>#DIV/0!</v>
      </c>
      <c r="BA19" s="62" t="e">
        <f>IF(BA$1&lt;=Simulador!$G$37,0,BA9*Simulador!$G$23)</f>
        <v>#DIV/0!</v>
      </c>
      <c r="BB19" s="62" t="e">
        <f>IF(BB$1&lt;=Simulador!$G$37,0,BB9*Simulador!$G$23)</f>
        <v>#DIV/0!</v>
      </c>
      <c r="BC19" s="62" t="e">
        <f>IF(BC$1&lt;=Simulador!$G$37,0,BC9*Simulador!$G$23)</f>
        <v>#DIV/0!</v>
      </c>
      <c r="BD19" s="62" t="e">
        <f>IF(BD$1&lt;=Simulador!$G$37,0,BD9*Simulador!$G$23)</f>
        <v>#DIV/0!</v>
      </c>
      <c r="BE19" s="62" t="e">
        <f>IF(BE$1&lt;=Simulador!$G$37,0,BE9*Simulador!$G$23)</f>
        <v>#DIV/0!</v>
      </c>
      <c r="BF19" s="62" t="e">
        <f>IF(BF$1&lt;=Simulador!$G$37,0,BF9*Simulador!$G$23)</f>
        <v>#DIV/0!</v>
      </c>
      <c r="BG19" s="62" t="e">
        <f>IF(BG$1&lt;=Simulador!$G$37,0,BG9*Simulador!$G$23)</f>
        <v>#DIV/0!</v>
      </c>
      <c r="BH19" s="62" t="e">
        <f>IF(BH$1&lt;=Simulador!$G$37,0,BH9*Simulador!$G$23)</f>
        <v>#DIV/0!</v>
      </c>
      <c r="BI19" s="62" t="e">
        <f>IF(BI$1&lt;=Simulador!$G$37,0,BI9*Simulador!$G$23)</f>
        <v>#DIV/0!</v>
      </c>
      <c r="BJ19" s="62" t="e">
        <f>IF(BJ$1&lt;=Simulador!$G$37,0,BJ9*Simulador!$G$23)</f>
        <v>#DIV/0!</v>
      </c>
      <c r="BK19" s="62" t="e">
        <f>IF(BK$1&lt;=Simulador!$G$37,0,BK9*Simulador!$G$23)</f>
        <v>#DIV/0!</v>
      </c>
      <c r="BL19" s="62" t="e">
        <f>IF(BL$1&lt;=Simulador!$G$37,0,BL9*Simulador!$G$23)</f>
        <v>#DIV/0!</v>
      </c>
      <c r="BM19" s="62" t="e">
        <f>IF(BM$1&lt;=Simulador!$G$37,0,BM9*Simulador!$G$23)</f>
        <v>#DIV/0!</v>
      </c>
      <c r="BN19" s="62" t="e">
        <f>IF(BN$1&lt;=Simulador!$G$37,0,BN9*Simulador!$G$23)</f>
        <v>#DIV/0!</v>
      </c>
      <c r="BO19" s="62" t="e">
        <f>IF(BO$1&lt;=Simulador!$G$37,0,BO9*Simulador!$G$23)</f>
        <v>#DIV/0!</v>
      </c>
      <c r="BP19" s="62" t="e">
        <f>IF(BP$1&lt;=Simulador!$G$37,0,BP9*Simulador!$G$23)</f>
        <v>#DIV/0!</v>
      </c>
      <c r="BQ19" s="62" t="e">
        <f>IF(BQ$1&lt;=Simulador!$G$37,0,BQ9*Simulador!$G$23)</f>
        <v>#DIV/0!</v>
      </c>
      <c r="BR19" s="62" t="e">
        <f>IF(BR$1&lt;=Simulador!$G$37,0,BR9*Simulador!$G$23)</f>
        <v>#DIV/0!</v>
      </c>
      <c r="BS19" s="62" t="e">
        <f>IF(BS$1&lt;=Simulador!$G$37,0,BS9*Simulador!$G$23)</f>
        <v>#DIV/0!</v>
      </c>
      <c r="BT19" s="62" t="e">
        <f>IF(BT$1&lt;=Simulador!$G$37,0,BT9*Simulador!$G$23)</f>
        <v>#DIV/0!</v>
      </c>
      <c r="BU19" s="62" t="e">
        <f>IF(BU$1&lt;=Simulador!$G$37,0,BU9*Simulador!$G$23)</f>
        <v>#DIV/0!</v>
      </c>
      <c r="BV19" s="62" t="e">
        <f>IF(BV$1&lt;=Simulador!$G$37,0,BV9*Simulador!$G$23)</f>
        <v>#DIV/0!</v>
      </c>
      <c r="BW19" s="62" t="e">
        <f>IF(BW$1&lt;=Simulador!$G$37,0,BW9*Simulador!$G$23)</f>
        <v>#DIV/0!</v>
      </c>
      <c r="BX19" s="62" t="e">
        <f>IF(BX$1&lt;=Simulador!$G$37,0,BX9*Simulador!$G$23)</f>
        <v>#DIV/0!</v>
      </c>
      <c r="BY19" s="62" t="e">
        <f>IF(BY$1&lt;=Simulador!$G$37,0,BY9*Simulador!$G$23)</f>
        <v>#DIV/0!</v>
      </c>
      <c r="BZ19" s="62" t="e">
        <f>IF(BZ$1&lt;=Simulador!$G$37,0,BZ9*Simulador!$G$23)</f>
        <v>#DIV/0!</v>
      </c>
      <c r="CA19" s="62" t="e">
        <f>IF(CA$1&lt;=Simulador!$G$37,0,CA9*Simulador!$G$23)</f>
        <v>#DIV/0!</v>
      </c>
      <c r="CB19" s="62" t="e">
        <f>IF(CB$1&lt;=Simulador!$G$37,0,CB9*Simulador!$G$23)</f>
        <v>#DIV/0!</v>
      </c>
      <c r="CC19" s="62" t="e">
        <f>IF(CC$1&lt;=Simulador!$G$37,0,CC9*Simulador!$G$23)</f>
        <v>#DIV/0!</v>
      </c>
      <c r="CD19" s="62" t="e">
        <f>IF(CD$1&lt;=Simulador!$G$37,0,CD9*Simulador!$G$23)</f>
        <v>#DIV/0!</v>
      </c>
      <c r="CE19" s="62" t="e">
        <f>IF(CE$1&lt;=Simulador!$G$37,0,CE9*Simulador!$G$23)</f>
        <v>#DIV/0!</v>
      </c>
      <c r="CF19" s="62" t="e">
        <f>IF(CF$1&lt;=Simulador!$G$37,0,CF9*Simulador!$G$23)</f>
        <v>#DIV/0!</v>
      </c>
      <c r="CG19" s="62" t="e">
        <f>IF(CG$1&lt;=Simulador!$G$37,0,CG9*Simulador!$G$23)</f>
        <v>#DIV/0!</v>
      </c>
      <c r="CH19" s="62" t="e">
        <f>IF(CH$1&lt;=Simulador!$G$37,0,CH9*Simulador!$G$23)</f>
        <v>#DIV/0!</v>
      </c>
      <c r="CI19" s="62" t="e">
        <f>IF(CI$1&lt;=Simulador!$G$37,0,CI9*Simulador!$G$23)</f>
        <v>#DIV/0!</v>
      </c>
      <c r="CJ19" s="62" t="e">
        <f>IF(CJ$1&lt;=Simulador!$G$37,0,CJ9*Simulador!$G$23)</f>
        <v>#DIV/0!</v>
      </c>
      <c r="CK19" s="62" t="e">
        <f>IF(CK$1&lt;=Simulador!$G$37,0,CK9*Simulador!$G$23)</f>
        <v>#DIV/0!</v>
      </c>
      <c r="CL19" s="62" t="e">
        <f>IF(CL$1&lt;=Simulador!$G$37,0,CL9*Simulador!$G$23)</f>
        <v>#DIV/0!</v>
      </c>
      <c r="CM19" s="62" t="e">
        <f>IF(CM$1&lt;=Simulador!$G$37,0,CM9*Simulador!$G$23)</f>
        <v>#DIV/0!</v>
      </c>
      <c r="CN19" s="62" t="e">
        <f>IF(CN$1&lt;=Simulador!$G$37,0,CN9*Simulador!$G$23)</f>
        <v>#DIV/0!</v>
      </c>
      <c r="CO19" s="62" t="e">
        <f>IF(CO$1&lt;=Simulador!$G$37,0,CO9*Simulador!$G$23)</f>
        <v>#DIV/0!</v>
      </c>
      <c r="CP19" s="62" t="e">
        <f>IF(CP$1&lt;=Simulador!$G$37,0,CP9*Simulador!$G$23)</f>
        <v>#DIV/0!</v>
      </c>
      <c r="CQ19" s="62" t="e">
        <f>IF(CQ$1&lt;=Simulador!$G$37,0,CQ9*Simulador!$G$23)</f>
        <v>#DIV/0!</v>
      </c>
      <c r="CR19" s="62" t="e">
        <f>IF(CR$1&lt;=Simulador!$G$37,0,CR9*Simulador!$G$23)</f>
        <v>#DIV/0!</v>
      </c>
      <c r="CS19" s="62" t="e">
        <f>IF(CS$1&lt;=Simulador!$G$37,0,CS9*Simulador!$G$23)</f>
        <v>#DIV/0!</v>
      </c>
      <c r="CT19" s="62" t="e">
        <f>IF(CT$1&lt;=Simulador!$G$37,0,CT9*Simulador!$G$23)</f>
        <v>#DIV/0!</v>
      </c>
      <c r="CU19" s="62" t="e">
        <f>IF(CU$1&lt;=Simulador!$G$37,0,CU9*Simulador!$G$23)</f>
        <v>#DIV/0!</v>
      </c>
      <c r="CV19" s="62" t="e">
        <f>IF(CV$1&lt;=Simulador!$G$37,0,CV9*Simulador!$G$23)</f>
        <v>#DIV/0!</v>
      </c>
      <c r="CW19" s="62" t="e">
        <f>IF(CW$1&lt;=Simulador!$G$37,0,CW9*Simulador!$G$23)</f>
        <v>#DIV/0!</v>
      </c>
      <c r="CX19" s="62" t="e">
        <f>IF(CX$1&lt;=Simulador!$G$37,0,CX9*Simulador!$G$23)</f>
        <v>#DIV/0!</v>
      </c>
      <c r="CY19" s="62" t="e">
        <f>IF(CY$1&lt;=Simulador!$G$37,0,CY9*Simulador!$G$23)</f>
        <v>#DIV/0!</v>
      </c>
      <c r="CZ19" s="62" t="e">
        <f>IF(CZ$1&lt;=Simulador!$G$37,0,CZ9*Simulador!$G$23)</f>
        <v>#DIV/0!</v>
      </c>
      <c r="DA19" s="62" t="e">
        <f>IF(DA$1&lt;=Simulador!$G$37,0,DA9*Simulador!$G$23)</f>
        <v>#DIV/0!</v>
      </c>
      <c r="DB19" s="62" t="e">
        <f>IF(DB$1&lt;=Simulador!$G$37,0,DB9*Simulador!$G$23)</f>
        <v>#DIV/0!</v>
      </c>
      <c r="DC19" s="62" t="e">
        <f>IF(DC$1&lt;=Simulador!$G$37,0,DC9*Simulador!$G$23)</f>
        <v>#DIV/0!</v>
      </c>
      <c r="DD19" s="62" t="e">
        <f>IF(DD$1&lt;=Simulador!$G$37,0,DD9*Simulador!$G$23)</f>
        <v>#DIV/0!</v>
      </c>
      <c r="DE19" s="62" t="e">
        <f>IF(DE$1&lt;=Simulador!$G$37,0,DE9*Simulador!$G$23)</f>
        <v>#DIV/0!</v>
      </c>
      <c r="DF19" s="62" t="e">
        <f>IF(DF$1&lt;=Simulador!$G$37,0,DF9*Simulador!$G$23)</f>
        <v>#DIV/0!</v>
      </c>
      <c r="DG19" s="62" t="e">
        <f>IF(DG$1&lt;=Simulador!$G$37,0,DG9*Simulador!$G$23)</f>
        <v>#DIV/0!</v>
      </c>
      <c r="DH19" s="62" t="e">
        <f>IF(DH$1&lt;=Simulador!$G$37,0,DH9*Simulador!$G$23)</f>
        <v>#DIV/0!</v>
      </c>
      <c r="DI19" s="62" t="e">
        <f>IF(DI$1&lt;=Simulador!$G$37,0,DI9*Simulador!$G$23)</f>
        <v>#DIV/0!</v>
      </c>
      <c r="DJ19" s="62" t="e">
        <f>IF(DJ$1&lt;=Simulador!$G$37,0,DJ9*Simulador!$G$23)</f>
        <v>#DIV/0!</v>
      </c>
      <c r="DK19" s="62" t="e">
        <f>IF(DK$1&lt;=Simulador!$G$37,0,DK9*Simulador!$G$23)</f>
        <v>#DIV/0!</v>
      </c>
      <c r="DL19" s="62" t="e">
        <f>IF(DL$1&lt;=Simulador!$G$37,0,DL9*Simulador!$G$23)</f>
        <v>#DIV/0!</v>
      </c>
      <c r="DM19" s="62" t="e">
        <f>IF(DM$1&lt;=Simulador!$G$37,0,DM9*Simulador!$G$23)</f>
        <v>#DIV/0!</v>
      </c>
      <c r="DN19" s="62" t="e">
        <f>IF(DN$1&lt;=Simulador!$G$37,0,DN9*Simulador!$G$23)</f>
        <v>#DIV/0!</v>
      </c>
      <c r="DO19" s="62" t="e">
        <f>IF(DO$1&lt;=Simulador!$G$37,0,DO9*Simulador!$G$23)</f>
        <v>#DIV/0!</v>
      </c>
      <c r="DP19" s="62" t="e">
        <f>IF(DP$1&lt;=Simulador!$G$37,0,DP9*Simulador!$G$23)</f>
        <v>#DIV/0!</v>
      </c>
      <c r="DQ19" s="62" t="e">
        <f>IF(DQ$1&lt;=Simulador!$G$37,0,DQ9*Simulador!$G$23)</f>
        <v>#DIV/0!</v>
      </c>
      <c r="DR19" s="62" t="e">
        <f>IF(DR$1&lt;=Simulador!$G$37,0,DR9*Simulador!$G$23)</f>
        <v>#DIV/0!</v>
      </c>
      <c r="DS19" s="62" t="e">
        <f>IF(DS$1&lt;=Simulador!$G$37,0,DS9*Simulador!$G$23)</f>
        <v>#DIV/0!</v>
      </c>
      <c r="DT19" s="62" t="e">
        <f>IF(DT$1&lt;=Simulador!$G$37,0,DT9*Simulador!$G$23)</f>
        <v>#DIV/0!</v>
      </c>
      <c r="DU19" s="62" t="e">
        <f>IF(DU$1&lt;=Simulador!$G$37,0,DU9*Simulador!$G$23)</f>
        <v>#DIV/0!</v>
      </c>
      <c r="DV19" s="62" t="e">
        <f>IF(DV$1&lt;=Simulador!$G$37,0,DV9*Simulador!$G$23)</f>
        <v>#DIV/0!</v>
      </c>
      <c r="DW19" s="62" t="e">
        <f>IF(DW$1&lt;=Simulador!$G$37,0,DW9*Simulador!$G$23)</f>
        <v>#DIV/0!</v>
      </c>
      <c r="DX19" s="62" t="e">
        <f>IF(DX$1&lt;=Simulador!$G$37,0,DX9*Simulador!$G$23)</f>
        <v>#DIV/0!</v>
      </c>
      <c r="DY19" s="62" t="e">
        <f>IF(DY$1&lt;=Simulador!$G$37,0,DY9*Simulador!$G$23)</f>
        <v>#DIV/0!</v>
      </c>
      <c r="DZ19" s="62" t="e">
        <f>IF(DZ$1&lt;=Simulador!$G$37,0,DZ9*Simulador!$G$23)</f>
        <v>#DIV/0!</v>
      </c>
      <c r="EA19" s="62" t="e">
        <f>IF(EA$1&lt;=Simulador!$G$37,0,EA9*Simulador!$G$23)</f>
        <v>#DIV/0!</v>
      </c>
      <c r="EB19" s="62" t="e">
        <f>IF(EB$1&lt;=Simulador!$G$37,0,EB9*Simulador!$G$23)</f>
        <v>#DIV/0!</v>
      </c>
      <c r="EC19" s="62" t="e">
        <f>IF(EC$1&lt;=Simulador!$G$37,0,EC9*Simulador!$G$23)</f>
        <v>#DIV/0!</v>
      </c>
      <c r="ED19" s="62" t="e">
        <f>IF(ED$1&lt;=Simulador!$G$37,0,ED9*Simulador!$G$23)</f>
        <v>#DIV/0!</v>
      </c>
    </row>
    <row r="20" spans="2:134" ht="13" x14ac:dyDescent="0.3">
      <c r="B20" s="37" t="s">
        <v>193</v>
      </c>
      <c r="D20" s="38" t="e">
        <f>IF(AND(SUMIFS($O20:$BV20,$O$3:$BV$3,D$4)=0,D$11&lt;&gt;0),MAX(O20:BV20),SUMIFS($O20:$BV20,$O$3:$BV$3,D$4))</f>
        <v>#DIV/0!</v>
      </c>
      <c r="E20" s="38" t="e">
        <f t="shared" ref="E20:H20" si="16">IF(AND(SUMIFS($O20:$BV20,$O$3:$BV$3,E$4)=0,E$11&lt;&gt;0),MAX(P20:EE20),SUMIFS($O20:$BV20,$O$3:$BV$3,E$4))</f>
        <v>#DIV/0!</v>
      </c>
      <c r="F20" s="38" t="e">
        <f t="shared" si="16"/>
        <v>#DIV/0!</v>
      </c>
      <c r="G20" s="38" t="e">
        <f t="shared" si="16"/>
        <v>#DIV/0!</v>
      </c>
      <c r="H20" s="38" t="e">
        <f t="shared" si="16"/>
        <v>#DIV/0!</v>
      </c>
      <c r="I20" s="38" t="e">
        <f t="shared" ref="I20:M20" si="17">IF(AND(SUMIFS($O20:$ED20,$O$3:$ED$3,I$4)=0,I$11&lt;&gt;0),MAX(T20:EI20),SUMIFS($O20:$ED20,$O$3:$ED$3,I$4))</f>
        <v>#DIV/0!</v>
      </c>
      <c r="J20" s="38" t="e">
        <f t="shared" si="17"/>
        <v>#DIV/0!</v>
      </c>
      <c r="K20" s="38" t="e">
        <f t="shared" si="17"/>
        <v>#DIV/0!</v>
      </c>
      <c r="L20" s="38" t="e">
        <f t="shared" si="17"/>
        <v>#DIV/0!</v>
      </c>
      <c r="M20" s="38" t="e">
        <f t="shared" si="17"/>
        <v>#DIV/0!</v>
      </c>
      <c r="O20" s="46" t="e">
        <f>O$7*Simulador!$G$26</f>
        <v>#DIV/0!</v>
      </c>
      <c r="P20" s="46" t="e">
        <f>P$7*Simulador!$G$26</f>
        <v>#DIV/0!</v>
      </c>
      <c r="Q20" s="46" t="e">
        <f>Q$7*Simulador!$G$26</f>
        <v>#DIV/0!</v>
      </c>
      <c r="R20" s="46" t="e">
        <f>R$7*Simulador!$G$26</f>
        <v>#DIV/0!</v>
      </c>
      <c r="S20" s="46" t="e">
        <f>S$7*Simulador!$G$26</f>
        <v>#DIV/0!</v>
      </c>
      <c r="T20" s="46" t="e">
        <f>T$7*Simulador!$G$26</f>
        <v>#DIV/0!</v>
      </c>
      <c r="U20" s="46" t="e">
        <f>U$7*Simulador!$G$26</f>
        <v>#DIV/0!</v>
      </c>
      <c r="V20" s="46" t="e">
        <f>V$7*Simulador!$G$26</f>
        <v>#DIV/0!</v>
      </c>
      <c r="W20" s="46" t="e">
        <f>W$7*Simulador!$G$26</f>
        <v>#DIV/0!</v>
      </c>
      <c r="X20" s="46" t="e">
        <f>X$7*Simulador!$G$26</f>
        <v>#DIV/0!</v>
      </c>
      <c r="Y20" s="46" t="e">
        <f>Y$7*Simulador!$G$26</f>
        <v>#DIV/0!</v>
      </c>
      <c r="Z20" s="46" t="e">
        <f>Z$7*Simulador!$G$26</f>
        <v>#DIV/0!</v>
      </c>
      <c r="AA20" s="46" t="e">
        <f>AA$7*Simulador!$G$26</f>
        <v>#DIV/0!</v>
      </c>
      <c r="AB20" s="46" t="e">
        <f>AB$7*Simulador!$G$26</f>
        <v>#DIV/0!</v>
      </c>
      <c r="AC20" s="46" t="e">
        <f>AC$7*Simulador!$G$26</f>
        <v>#DIV/0!</v>
      </c>
      <c r="AD20" s="46" t="e">
        <f>AD$7*Simulador!$G$26</f>
        <v>#DIV/0!</v>
      </c>
      <c r="AE20" s="46" t="e">
        <f>AE$7*Simulador!$G$26</f>
        <v>#DIV/0!</v>
      </c>
      <c r="AF20" s="46" t="e">
        <f>AF$7*Simulador!$G$26</f>
        <v>#DIV/0!</v>
      </c>
      <c r="AG20" s="46" t="e">
        <f>AG$7*Simulador!$G$26</f>
        <v>#DIV/0!</v>
      </c>
      <c r="AH20" s="46" t="e">
        <f>AH$7*Simulador!$G$26</f>
        <v>#DIV/0!</v>
      </c>
      <c r="AI20" s="46" t="e">
        <f>AI$7*Simulador!$G$26</f>
        <v>#DIV/0!</v>
      </c>
      <c r="AJ20" s="46" t="e">
        <f>AJ$7*Simulador!$G$26</f>
        <v>#DIV/0!</v>
      </c>
      <c r="AK20" s="46" t="e">
        <f>AK$7*Simulador!$G$26</f>
        <v>#DIV/0!</v>
      </c>
      <c r="AL20" s="46" t="e">
        <f>AL$7*Simulador!$G$26</f>
        <v>#DIV/0!</v>
      </c>
      <c r="AM20" s="46" t="e">
        <f>AM$7*Simulador!$G$26</f>
        <v>#DIV/0!</v>
      </c>
      <c r="AN20" s="46" t="e">
        <f>AN$7*Simulador!$G$26</f>
        <v>#DIV/0!</v>
      </c>
      <c r="AO20" s="46" t="e">
        <f>AO$7*Simulador!$G$26</f>
        <v>#DIV/0!</v>
      </c>
      <c r="AP20" s="46" t="e">
        <f>AP$7*Simulador!$G$26</f>
        <v>#DIV/0!</v>
      </c>
      <c r="AQ20" s="46" t="e">
        <f>AQ$7*Simulador!$G$26</f>
        <v>#DIV/0!</v>
      </c>
      <c r="AR20" s="46" t="e">
        <f>AR$7*Simulador!$G$26</f>
        <v>#DIV/0!</v>
      </c>
      <c r="AS20" s="46" t="e">
        <f>AS$7*Simulador!$G$26</f>
        <v>#DIV/0!</v>
      </c>
      <c r="AT20" s="46" t="e">
        <f>AT$7*Simulador!$G$26</f>
        <v>#DIV/0!</v>
      </c>
      <c r="AU20" s="46" t="e">
        <f>AU$7*Simulador!$G$26</f>
        <v>#DIV/0!</v>
      </c>
      <c r="AV20" s="46" t="e">
        <f>AV$7*Simulador!$G$26</f>
        <v>#DIV/0!</v>
      </c>
      <c r="AW20" s="46" t="e">
        <f>AW$7*Simulador!$G$26</f>
        <v>#DIV/0!</v>
      </c>
      <c r="AX20" s="46" t="e">
        <f>AX$7*Simulador!$G$26</f>
        <v>#DIV/0!</v>
      </c>
      <c r="AY20" s="46" t="e">
        <f>AY$7*Simulador!$G$26</f>
        <v>#DIV/0!</v>
      </c>
      <c r="AZ20" s="46" t="e">
        <f>AZ$7*Simulador!$G$26</f>
        <v>#DIV/0!</v>
      </c>
      <c r="BA20" s="46" t="e">
        <f>BA$7*Simulador!$G$26</f>
        <v>#DIV/0!</v>
      </c>
      <c r="BB20" s="46" t="e">
        <f>BB$7*Simulador!$G$26</f>
        <v>#DIV/0!</v>
      </c>
      <c r="BC20" s="46" t="e">
        <f>BC$7*Simulador!$G$26</f>
        <v>#DIV/0!</v>
      </c>
      <c r="BD20" s="46" t="e">
        <f>BD$7*Simulador!$G$26</f>
        <v>#DIV/0!</v>
      </c>
      <c r="BE20" s="46" t="e">
        <f>BE$7*Simulador!$G$26</f>
        <v>#DIV/0!</v>
      </c>
      <c r="BF20" s="46" t="e">
        <f>BF$7*Simulador!$G$26</f>
        <v>#DIV/0!</v>
      </c>
      <c r="BG20" s="46" t="e">
        <f>BG$7*Simulador!$G$26</f>
        <v>#DIV/0!</v>
      </c>
      <c r="BH20" s="46" t="e">
        <f>BH$7*Simulador!$G$26</f>
        <v>#DIV/0!</v>
      </c>
      <c r="BI20" s="46" t="e">
        <f>BI$7*Simulador!$G$26</f>
        <v>#DIV/0!</v>
      </c>
      <c r="BJ20" s="46" t="e">
        <f>BJ$7*Simulador!$G$26</f>
        <v>#DIV/0!</v>
      </c>
      <c r="BK20" s="46" t="e">
        <f>BK$7*Simulador!$G$26</f>
        <v>#DIV/0!</v>
      </c>
      <c r="BL20" s="46" t="e">
        <f>BL$7*Simulador!$G$26</f>
        <v>#DIV/0!</v>
      </c>
      <c r="BM20" s="46" t="e">
        <f>BM$7*Simulador!$G$26</f>
        <v>#DIV/0!</v>
      </c>
      <c r="BN20" s="46" t="e">
        <f>BN$7*Simulador!$G$26</f>
        <v>#DIV/0!</v>
      </c>
      <c r="BO20" s="46" t="e">
        <f>BO$7*Simulador!$G$26</f>
        <v>#DIV/0!</v>
      </c>
      <c r="BP20" s="46" t="e">
        <f>BP$7*Simulador!$G$26</f>
        <v>#DIV/0!</v>
      </c>
      <c r="BQ20" s="46" t="e">
        <f>BQ$7*Simulador!$G$26</f>
        <v>#DIV/0!</v>
      </c>
      <c r="BR20" s="46" t="e">
        <f>BR$7*Simulador!$G$26</f>
        <v>#DIV/0!</v>
      </c>
      <c r="BS20" s="46" t="e">
        <f>BS$7*Simulador!$G$26</f>
        <v>#DIV/0!</v>
      </c>
      <c r="BT20" s="46" t="e">
        <f>BT$7*Simulador!$G$26</f>
        <v>#DIV/0!</v>
      </c>
      <c r="BU20" s="46" t="e">
        <f>BU$7*Simulador!$G$26</f>
        <v>#DIV/0!</v>
      </c>
      <c r="BV20" s="46" t="e">
        <f>BV$7*Simulador!$G$26</f>
        <v>#DIV/0!</v>
      </c>
      <c r="BW20" s="46" t="e">
        <f>BW$7*Simulador!$G$26</f>
        <v>#DIV/0!</v>
      </c>
      <c r="BX20" s="46" t="e">
        <f>BX$7*Simulador!$G$26</f>
        <v>#DIV/0!</v>
      </c>
      <c r="BY20" s="46" t="e">
        <f>BY$7*Simulador!$G$26</f>
        <v>#DIV/0!</v>
      </c>
      <c r="BZ20" s="46" t="e">
        <f>BZ$7*Simulador!$G$26</f>
        <v>#DIV/0!</v>
      </c>
      <c r="CA20" s="46" t="e">
        <f>CA$7*Simulador!$G$26</f>
        <v>#DIV/0!</v>
      </c>
      <c r="CB20" s="46" t="e">
        <f>CB$7*Simulador!$G$26</f>
        <v>#DIV/0!</v>
      </c>
      <c r="CC20" s="46" t="e">
        <f>CC$7*Simulador!$G$26</f>
        <v>#DIV/0!</v>
      </c>
      <c r="CD20" s="46" t="e">
        <f>CD$7*Simulador!$G$26</f>
        <v>#DIV/0!</v>
      </c>
      <c r="CE20" s="46" t="e">
        <f>CE$7*Simulador!$G$26</f>
        <v>#DIV/0!</v>
      </c>
      <c r="CF20" s="46" t="e">
        <f>CF$7*Simulador!$G$26</f>
        <v>#DIV/0!</v>
      </c>
      <c r="CG20" s="46" t="e">
        <f>CG$7*Simulador!$G$26</f>
        <v>#DIV/0!</v>
      </c>
      <c r="CH20" s="46" t="e">
        <f>CH$7*Simulador!$G$26</f>
        <v>#DIV/0!</v>
      </c>
      <c r="CI20" s="46" t="e">
        <f>CI$7*Simulador!$G$26</f>
        <v>#DIV/0!</v>
      </c>
      <c r="CJ20" s="46" t="e">
        <f>CJ$7*Simulador!$G$26</f>
        <v>#DIV/0!</v>
      </c>
      <c r="CK20" s="46" t="e">
        <f>CK$7*Simulador!$G$26</f>
        <v>#DIV/0!</v>
      </c>
      <c r="CL20" s="46" t="e">
        <f>CL$7*Simulador!$G$26</f>
        <v>#DIV/0!</v>
      </c>
      <c r="CM20" s="46" t="e">
        <f>CM$7*Simulador!$G$26</f>
        <v>#DIV/0!</v>
      </c>
      <c r="CN20" s="46" t="e">
        <f>CN$7*Simulador!$G$26</f>
        <v>#DIV/0!</v>
      </c>
      <c r="CO20" s="46" t="e">
        <f>CO$7*Simulador!$G$26</f>
        <v>#DIV/0!</v>
      </c>
      <c r="CP20" s="46" t="e">
        <f>CP$7*Simulador!$G$26</f>
        <v>#DIV/0!</v>
      </c>
      <c r="CQ20" s="46" t="e">
        <f>CQ$7*Simulador!$G$26</f>
        <v>#DIV/0!</v>
      </c>
      <c r="CR20" s="46" t="e">
        <f>CR$7*Simulador!$G$26</f>
        <v>#DIV/0!</v>
      </c>
      <c r="CS20" s="46" t="e">
        <f>CS$7*Simulador!$G$26</f>
        <v>#DIV/0!</v>
      </c>
      <c r="CT20" s="46" t="e">
        <f>CT$7*Simulador!$G$26</f>
        <v>#DIV/0!</v>
      </c>
      <c r="CU20" s="46" t="e">
        <f>CU$7*Simulador!$G$26</f>
        <v>#DIV/0!</v>
      </c>
      <c r="CV20" s="46" t="e">
        <f>CV$7*Simulador!$G$26</f>
        <v>#DIV/0!</v>
      </c>
      <c r="CW20" s="46" t="e">
        <f>CW$7*Simulador!$G$26</f>
        <v>#DIV/0!</v>
      </c>
      <c r="CX20" s="46" t="e">
        <f>CX$7*Simulador!$G$26</f>
        <v>#DIV/0!</v>
      </c>
      <c r="CY20" s="46" t="e">
        <f>CY$7*Simulador!$G$26</f>
        <v>#DIV/0!</v>
      </c>
      <c r="CZ20" s="46" t="e">
        <f>CZ$7*Simulador!$G$26</f>
        <v>#DIV/0!</v>
      </c>
      <c r="DA20" s="46" t="e">
        <f>DA$7*Simulador!$G$26</f>
        <v>#DIV/0!</v>
      </c>
      <c r="DB20" s="46" t="e">
        <f>DB$7*Simulador!$G$26</f>
        <v>#DIV/0!</v>
      </c>
      <c r="DC20" s="46" t="e">
        <f>DC$7*Simulador!$G$26</f>
        <v>#DIV/0!</v>
      </c>
      <c r="DD20" s="46" t="e">
        <f>DD$7*Simulador!$G$26</f>
        <v>#DIV/0!</v>
      </c>
      <c r="DE20" s="46" t="e">
        <f>DE$7*Simulador!$G$26</f>
        <v>#DIV/0!</v>
      </c>
      <c r="DF20" s="46" t="e">
        <f>DF$7*Simulador!$G$26</f>
        <v>#DIV/0!</v>
      </c>
      <c r="DG20" s="46" t="e">
        <f>DG$7*Simulador!$G$26</f>
        <v>#DIV/0!</v>
      </c>
      <c r="DH20" s="46" t="e">
        <f>DH$7*Simulador!$G$26</f>
        <v>#DIV/0!</v>
      </c>
      <c r="DI20" s="46" t="e">
        <f>DI$7*Simulador!$G$26</f>
        <v>#DIV/0!</v>
      </c>
      <c r="DJ20" s="46" t="e">
        <f>DJ$7*Simulador!$G$26</f>
        <v>#DIV/0!</v>
      </c>
      <c r="DK20" s="46" t="e">
        <f>DK$7*Simulador!$G$26</f>
        <v>#DIV/0!</v>
      </c>
      <c r="DL20" s="46" t="e">
        <f>DL$7*Simulador!$G$26</f>
        <v>#DIV/0!</v>
      </c>
      <c r="DM20" s="46" t="e">
        <f>DM$7*Simulador!$G$26</f>
        <v>#DIV/0!</v>
      </c>
      <c r="DN20" s="46" t="e">
        <f>DN$7*Simulador!$G$26</f>
        <v>#DIV/0!</v>
      </c>
      <c r="DO20" s="46" t="e">
        <f>DO$7*Simulador!$G$26</f>
        <v>#DIV/0!</v>
      </c>
      <c r="DP20" s="46" t="e">
        <f>DP$7*Simulador!$G$26</f>
        <v>#DIV/0!</v>
      </c>
      <c r="DQ20" s="46" t="e">
        <f>DQ$7*Simulador!$G$26</f>
        <v>#DIV/0!</v>
      </c>
      <c r="DR20" s="46" t="e">
        <f>DR$7*Simulador!$G$26</f>
        <v>#DIV/0!</v>
      </c>
      <c r="DS20" s="46" t="e">
        <f>DS$7*Simulador!$G$26</f>
        <v>#DIV/0!</v>
      </c>
      <c r="DT20" s="46" t="e">
        <f>DT$7*Simulador!$G$26</f>
        <v>#DIV/0!</v>
      </c>
      <c r="DU20" s="46" t="e">
        <f>DU$7*Simulador!$G$26</f>
        <v>#DIV/0!</v>
      </c>
      <c r="DV20" s="46" t="e">
        <f>DV$7*Simulador!$G$26</f>
        <v>#DIV/0!</v>
      </c>
      <c r="DW20" s="46" t="e">
        <f>DW$7*Simulador!$G$26</f>
        <v>#DIV/0!</v>
      </c>
      <c r="DX20" s="46" t="e">
        <f>DX$7*Simulador!$G$26</f>
        <v>#DIV/0!</v>
      </c>
      <c r="DY20" s="46" t="e">
        <f>DY$7*Simulador!$G$26</f>
        <v>#DIV/0!</v>
      </c>
      <c r="DZ20" s="46" t="e">
        <f>DZ$7*Simulador!$G$26</f>
        <v>#DIV/0!</v>
      </c>
      <c r="EA20" s="46" t="e">
        <f>EA$7*Simulador!$G$26</f>
        <v>#DIV/0!</v>
      </c>
      <c r="EB20" s="46" t="e">
        <f>EB$7*Simulador!$G$26</f>
        <v>#DIV/0!</v>
      </c>
      <c r="EC20" s="46" t="e">
        <f>EC$7*Simulador!$G$26</f>
        <v>#DIV/0!</v>
      </c>
      <c r="ED20" s="46" t="e">
        <f>ED$7*Simulador!$G$26</f>
        <v>#DIV/0!</v>
      </c>
    </row>
    <row r="21" spans="2:134" ht="12.5" x14ac:dyDescent="0.25">
      <c r="B21" s="46" t="s">
        <v>194</v>
      </c>
      <c r="C21" s="53"/>
      <c r="D21" s="62">
        <f t="shared" ref="D21:H21" si="18">SUMIFS($O21:$BV21,$O$4:$BV$4,D$3)</f>
        <v>0</v>
      </c>
      <c r="E21" s="62">
        <f t="shared" si="18"/>
        <v>0</v>
      </c>
      <c r="F21" s="62">
        <f t="shared" si="18"/>
        <v>0</v>
      </c>
      <c r="G21" s="62">
        <f t="shared" si="18"/>
        <v>0</v>
      </c>
      <c r="H21" s="62">
        <f t="shared" si="18"/>
        <v>0</v>
      </c>
      <c r="I21" s="62">
        <f t="shared" ref="I21:M21" si="19">SUMIFS($O21:$ED21,$O$4:$ED$4,I$3)</f>
        <v>0</v>
      </c>
      <c r="J21" s="62">
        <f t="shared" si="19"/>
        <v>0</v>
      </c>
      <c r="K21" s="62">
        <f t="shared" si="19"/>
        <v>0</v>
      </c>
      <c r="L21" s="62">
        <f t="shared" si="19"/>
        <v>0</v>
      </c>
      <c r="M21" s="62">
        <f t="shared" si="19"/>
        <v>0</v>
      </c>
      <c r="N21" s="53"/>
      <c r="O21" s="62">
        <v>0</v>
      </c>
      <c r="P21" s="62">
        <f>P$15*Premissas!$C$3</f>
        <v>0</v>
      </c>
      <c r="Q21" s="62">
        <f>Q$15*Premissas!$C$3</f>
        <v>0</v>
      </c>
      <c r="R21" s="62">
        <f>R$15*Premissas!$C$3</f>
        <v>0</v>
      </c>
      <c r="S21" s="62">
        <f>S$15*Premissas!$C$3</f>
        <v>0</v>
      </c>
      <c r="T21" s="62">
        <f>T$15*Premissas!$C$3</f>
        <v>0</v>
      </c>
      <c r="U21" s="62">
        <f>U$15*Premissas!$C$3</f>
        <v>0</v>
      </c>
      <c r="V21" s="62">
        <f>V$15*Premissas!$C$3</f>
        <v>0</v>
      </c>
      <c r="W21" s="62">
        <f>W$15*Premissas!$C$3</f>
        <v>0</v>
      </c>
      <c r="X21" s="62">
        <f>X$15*Premissas!$C$3</f>
        <v>0</v>
      </c>
      <c r="Y21" s="62">
        <f>Y$15*Premissas!$C$3</f>
        <v>0</v>
      </c>
      <c r="Z21" s="62">
        <f>Z$15*Premissas!$C$3</f>
        <v>0</v>
      </c>
      <c r="AA21" s="62">
        <f>AA$15*Premissas!$C$3</f>
        <v>0</v>
      </c>
      <c r="AB21" s="62">
        <f>AB$15*Premissas!$C$3</f>
        <v>0</v>
      </c>
      <c r="AC21" s="62">
        <f>AC$15*Premissas!$C$3</f>
        <v>0</v>
      </c>
      <c r="AD21" s="62">
        <f>AD$15*Premissas!$C$3</f>
        <v>0</v>
      </c>
      <c r="AE21" s="62">
        <f>AE$15*Premissas!$C$3</f>
        <v>0</v>
      </c>
      <c r="AF21" s="62">
        <f>AF$15*Premissas!$C$3</f>
        <v>0</v>
      </c>
      <c r="AG21" s="62">
        <f>AG$15*Premissas!$C$3</f>
        <v>0</v>
      </c>
      <c r="AH21" s="62">
        <f>AH$15*Premissas!$C$3</f>
        <v>0</v>
      </c>
      <c r="AI21" s="62">
        <f>AI$15*Premissas!$C$3</f>
        <v>0</v>
      </c>
      <c r="AJ21" s="62">
        <f>AJ$15*Premissas!$C$3</f>
        <v>0</v>
      </c>
      <c r="AK21" s="62">
        <f>AK$15*Premissas!$C$3</f>
        <v>0</v>
      </c>
      <c r="AL21" s="62">
        <f>AL$15*Premissas!$C$3</f>
        <v>0</v>
      </c>
      <c r="AM21" s="62">
        <f>AM$15*Premissas!$C$3</f>
        <v>0</v>
      </c>
      <c r="AN21" s="62">
        <f>AN$15*Premissas!$C$3</f>
        <v>0</v>
      </c>
      <c r="AO21" s="62">
        <f>AO$15*Premissas!$C$3</f>
        <v>0</v>
      </c>
      <c r="AP21" s="62">
        <f>AP$15*Premissas!$C$3</f>
        <v>0</v>
      </c>
      <c r="AQ21" s="62">
        <f>AQ$15*Premissas!$C$3</f>
        <v>0</v>
      </c>
      <c r="AR21" s="62">
        <f>AR$15*Premissas!$C$3</f>
        <v>0</v>
      </c>
      <c r="AS21" s="62">
        <f>AS$15*Premissas!$C$3</f>
        <v>0</v>
      </c>
      <c r="AT21" s="62">
        <f>AT$15*Premissas!$C$3</f>
        <v>0</v>
      </c>
      <c r="AU21" s="62">
        <f>AU$15*Premissas!$C$3</f>
        <v>0</v>
      </c>
      <c r="AV21" s="62">
        <f>AV$15*Premissas!$C$3</f>
        <v>0</v>
      </c>
      <c r="AW21" s="62">
        <f>AW$15*Premissas!$C$3</f>
        <v>0</v>
      </c>
      <c r="AX21" s="62">
        <f>AX$15*Premissas!$C$3</f>
        <v>0</v>
      </c>
      <c r="AY21" s="62">
        <f>AY$15*Premissas!$C$3</f>
        <v>0</v>
      </c>
      <c r="AZ21" s="62">
        <f>AZ$15*Premissas!$C$3</f>
        <v>0</v>
      </c>
      <c r="BA21" s="62">
        <f>BA$15*Premissas!$C$3</f>
        <v>0</v>
      </c>
      <c r="BB21" s="62">
        <f>BB$15*Premissas!$C$3</f>
        <v>0</v>
      </c>
      <c r="BC21" s="62">
        <f>BC$15*Premissas!$C$3</f>
        <v>0</v>
      </c>
      <c r="BD21" s="62">
        <f>BD$15*Premissas!$C$3</f>
        <v>0</v>
      </c>
      <c r="BE21" s="62">
        <f>BE$15*Premissas!$C$3</f>
        <v>0</v>
      </c>
      <c r="BF21" s="62">
        <f>BF$15*Premissas!$C$3</f>
        <v>0</v>
      </c>
      <c r="BG21" s="62">
        <f>BG$15*Premissas!$C$3</f>
        <v>0</v>
      </c>
      <c r="BH21" s="62">
        <f>BH$15*Premissas!$C$3</f>
        <v>0</v>
      </c>
      <c r="BI21" s="62">
        <f>BI$15*Premissas!$C$3</f>
        <v>0</v>
      </c>
      <c r="BJ21" s="62">
        <f>BJ$15*Premissas!$C$3</f>
        <v>0</v>
      </c>
      <c r="BK21" s="62">
        <f>BK$15*Premissas!$C$3</f>
        <v>0</v>
      </c>
      <c r="BL21" s="62">
        <f>BL$15*Premissas!$C$3</f>
        <v>0</v>
      </c>
      <c r="BM21" s="62">
        <f>BM$15*Premissas!$C$3</f>
        <v>0</v>
      </c>
      <c r="BN21" s="62">
        <f>BN$15*Premissas!$C$3</f>
        <v>0</v>
      </c>
      <c r="BO21" s="62">
        <f>BO$15*Premissas!$C$3</f>
        <v>0</v>
      </c>
      <c r="BP21" s="62">
        <f>BP$15*Premissas!$C$3</f>
        <v>0</v>
      </c>
      <c r="BQ21" s="62">
        <f>BQ$15*Premissas!$C$3</f>
        <v>0</v>
      </c>
      <c r="BR21" s="62">
        <f>BR$15*Premissas!$C$3</f>
        <v>0</v>
      </c>
      <c r="BS21" s="62">
        <f>BS$15*Premissas!$C$3</f>
        <v>0</v>
      </c>
      <c r="BT21" s="62">
        <f>BT$15*Premissas!$C$3</f>
        <v>0</v>
      </c>
      <c r="BU21" s="62">
        <f>BU$15*Premissas!$C$3</f>
        <v>0</v>
      </c>
      <c r="BV21" s="62">
        <f>BV$15*Premissas!$C$3</f>
        <v>0</v>
      </c>
      <c r="BW21" s="62">
        <f>BW$15*Premissas!$C$3</f>
        <v>0</v>
      </c>
      <c r="BX21" s="62">
        <f>BX$15*Premissas!$C$3</f>
        <v>0</v>
      </c>
      <c r="BY21" s="62">
        <f>BY$15*Premissas!$C$3</f>
        <v>0</v>
      </c>
      <c r="BZ21" s="62">
        <f>BZ$15*Premissas!$C$3</f>
        <v>0</v>
      </c>
      <c r="CA21" s="62">
        <f>CA$15*Premissas!$C$3</f>
        <v>0</v>
      </c>
      <c r="CB21" s="62">
        <f>CB$15*Premissas!$C$3</f>
        <v>0</v>
      </c>
      <c r="CC21" s="62">
        <f>CC$15*Premissas!$C$3</f>
        <v>0</v>
      </c>
      <c r="CD21" s="62">
        <f>CD$15*Premissas!$C$3</f>
        <v>0</v>
      </c>
      <c r="CE21" s="62">
        <f>CE$15*Premissas!$C$3</f>
        <v>0</v>
      </c>
      <c r="CF21" s="62">
        <f>CF$15*Premissas!$C$3</f>
        <v>0</v>
      </c>
      <c r="CG21" s="62">
        <f>CG$15*Premissas!$C$3</f>
        <v>0</v>
      </c>
      <c r="CH21" s="62">
        <f>CH$15*Premissas!$C$3</f>
        <v>0</v>
      </c>
      <c r="CI21" s="62">
        <f>CI$15*Premissas!$C$3</f>
        <v>0</v>
      </c>
      <c r="CJ21" s="62">
        <f>CJ$15*Premissas!$C$3</f>
        <v>0</v>
      </c>
      <c r="CK21" s="62">
        <f>CK$15*Premissas!$C$3</f>
        <v>0</v>
      </c>
      <c r="CL21" s="62">
        <f>CL$15*Premissas!$C$3</f>
        <v>0</v>
      </c>
      <c r="CM21" s="62">
        <f>CM$15*Premissas!$C$3</f>
        <v>0</v>
      </c>
      <c r="CN21" s="62">
        <f>CN$15*Premissas!$C$3</f>
        <v>0</v>
      </c>
      <c r="CO21" s="62">
        <f>CO$15*Premissas!$C$3</f>
        <v>0</v>
      </c>
      <c r="CP21" s="62">
        <f>CP$15*Premissas!$C$3</f>
        <v>0</v>
      </c>
      <c r="CQ21" s="62">
        <f>CQ$15*Premissas!$C$3</f>
        <v>0</v>
      </c>
      <c r="CR21" s="62">
        <f>CR$15*Premissas!$C$3</f>
        <v>0</v>
      </c>
      <c r="CS21" s="62">
        <f>CS$15*Premissas!$C$3</f>
        <v>0</v>
      </c>
      <c r="CT21" s="62">
        <f>CT$15*Premissas!$C$3</f>
        <v>0</v>
      </c>
      <c r="CU21" s="62">
        <f>CU$15*Premissas!$C$3</f>
        <v>0</v>
      </c>
      <c r="CV21" s="62">
        <f>CV$15*Premissas!$C$3</f>
        <v>0</v>
      </c>
      <c r="CW21" s="62">
        <f>CW$15*Premissas!$C$3</f>
        <v>0</v>
      </c>
      <c r="CX21" s="62">
        <f>CX$15*Premissas!$C$3</f>
        <v>0</v>
      </c>
      <c r="CY21" s="62">
        <f>CY$15*Premissas!$C$3</f>
        <v>0</v>
      </c>
      <c r="CZ21" s="62">
        <f>CZ$15*Premissas!$C$3</f>
        <v>0</v>
      </c>
      <c r="DA21" s="62">
        <f>DA$15*Premissas!$C$3</f>
        <v>0</v>
      </c>
      <c r="DB21" s="62">
        <f>DB$15*Premissas!$C$3</f>
        <v>0</v>
      </c>
      <c r="DC21" s="62">
        <f>DC$15*Premissas!$C$3</f>
        <v>0</v>
      </c>
      <c r="DD21" s="62">
        <f>DD$15*Premissas!$C$3</f>
        <v>0</v>
      </c>
      <c r="DE21" s="62">
        <f>DE$15*Premissas!$C$3</f>
        <v>0</v>
      </c>
      <c r="DF21" s="62">
        <f>DF$15*Premissas!$C$3</f>
        <v>0</v>
      </c>
      <c r="DG21" s="62">
        <f>DG$15*Premissas!$C$3</f>
        <v>0</v>
      </c>
      <c r="DH21" s="62">
        <f>DH$15*Premissas!$C$3</f>
        <v>0</v>
      </c>
      <c r="DI21" s="62">
        <f>DI$15*Premissas!$C$3</f>
        <v>0</v>
      </c>
      <c r="DJ21" s="62">
        <f>DJ$15*Premissas!$C$3</f>
        <v>0</v>
      </c>
      <c r="DK21" s="62">
        <f>DK$15*Premissas!$C$3</f>
        <v>0</v>
      </c>
      <c r="DL21" s="62">
        <f>DL$15*Premissas!$C$3</f>
        <v>0</v>
      </c>
      <c r="DM21" s="62">
        <f>DM$15*Premissas!$C$3</f>
        <v>0</v>
      </c>
      <c r="DN21" s="62">
        <f>DN$15*Premissas!$C$3</f>
        <v>0</v>
      </c>
      <c r="DO21" s="62">
        <f>DO$15*Premissas!$C$3</f>
        <v>0</v>
      </c>
      <c r="DP21" s="62">
        <f>DP$15*Premissas!$C$3</f>
        <v>0</v>
      </c>
      <c r="DQ21" s="62">
        <f>DQ$15*Premissas!$C$3</f>
        <v>0</v>
      </c>
      <c r="DR21" s="62">
        <f>DR$15*Premissas!$C$3</f>
        <v>0</v>
      </c>
      <c r="DS21" s="62">
        <f>DS$15*Premissas!$C$3</f>
        <v>0</v>
      </c>
      <c r="DT21" s="62">
        <f>DT$15*Premissas!$C$3</f>
        <v>0</v>
      </c>
      <c r="DU21" s="62">
        <f>DU$15*Premissas!$C$3</f>
        <v>0</v>
      </c>
      <c r="DV21" s="62">
        <f>DV$15*Premissas!$C$3</f>
        <v>0</v>
      </c>
      <c r="DW21" s="62">
        <f>DW$15*Premissas!$C$3</f>
        <v>0</v>
      </c>
      <c r="DX21" s="62">
        <f>DX$15*Premissas!$C$3</f>
        <v>0</v>
      </c>
      <c r="DY21" s="62">
        <f>DY$15*Premissas!$C$3</f>
        <v>0</v>
      </c>
      <c r="DZ21" s="62">
        <f>DZ$15*Premissas!$C$3</f>
        <v>0</v>
      </c>
      <c r="EA21" s="62">
        <f>EA$15*Premissas!$C$3</f>
        <v>0</v>
      </c>
      <c r="EB21" s="62">
        <f>EB$15*Premissas!$C$3</f>
        <v>0</v>
      </c>
      <c r="EC21" s="62">
        <f>EC$15*Premissas!$C$3</f>
        <v>0</v>
      </c>
      <c r="ED21" s="62">
        <f>ED$15*Premissas!$C$3</f>
        <v>0</v>
      </c>
    </row>
    <row r="22" spans="2:134" ht="12.5" x14ac:dyDescent="0.25">
      <c r="B22" s="46" t="s">
        <v>195</v>
      </c>
      <c r="C22" s="53"/>
      <c r="D22" s="62" t="e">
        <f t="shared" ref="D22:H22" si="20">SUMIFS($O22:$BV22,$O$4:$BV$4,D$3)</f>
        <v>#DIV/0!</v>
      </c>
      <c r="E22" s="62" t="e">
        <f t="shared" si="20"/>
        <v>#DIV/0!</v>
      </c>
      <c r="F22" s="62" t="e">
        <f t="shared" si="20"/>
        <v>#DIV/0!</v>
      </c>
      <c r="G22" s="62" t="e">
        <f t="shared" si="20"/>
        <v>#DIV/0!</v>
      </c>
      <c r="H22" s="62" t="e">
        <f t="shared" si="20"/>
        <v>#DIV/0!</v>
      </c>
      <c r="I22" s="62" t="e">
        <f t="shared" ref="I22:M22" si="21">SUMIFS($O22:$ED22,$O$4:$ED$4,I$3)</f>
        <v>#DIV/0!</v>
      </c>
      <c r="J22" s="62" t="e">
        <f t="shared" si="21"/>
        <v>#DIV/0!</v>
      </c>
      <c r="K22" s="62" t="e">
        <f t="shared" si="21"/>
        <v>#DIV/0!</v>
      </c>
      <c r="L22" s="62" t="e">
        <f t="shared" si="21"/>
        <v>#DIV/0!</v>
      </c>
      <c r="M22" s="62" t="e">
        <f t="shared" si="21"/>
        <v>#DIV/0!</v>
      </c>
      <c r="N22" s="53"/>
      <c r="O22" s="62" t="e">
        <f>IF(IF(O7&gt;Simulador!$G$10,Simulador!$G$28*(O7-N7),(Simulador!$G$28*(1-Simulador!$G$39)*(O7-N7)))&lt;0,0,IF(O7&gt;Simulador!$G$10,Simulador!$G$28*(O7-N7),(Simulador!$G$28*(1-Simulador!$G$39)*(O7-N7))))</f>
        <v>#DIV/0!</v>
      </c>
      <c r="P22" s="62" t="e">
        <f>IF(IF(P7&gt;Simulador!$G$10,Simulador!$G$28*(P7-O7),(Simulador!$G$28*(1-Simulador!$G$39)*(P7-O7)))&lt;0,0,IF(P7&gt;Simulador!$G$10,Simulador!$G$28*(P7-O7),(Simulador!$G$28*(1-Simulador!$G$39)*(P7-O7))))</f>
        <v>#DIV/0!</v>
      </c>
      <c r="Q22" s="62" t="e">
        <f>IF(IF(Q7&gt;Simulador!$G$10,Simulador!$G$28*(Q7-P7),(Simulador!$G$28*(1-Simulador!$G$39)*(Q7-P7)))&lt;0,0,IF(Q7&gt;Simulador!$G$10,Simulador!$G$28*(Q7-P7),(Simulador!$G$28*(1-Simulador!$G$39)*(Q7-P7))))</f>
        <v>#DIV/0!</v>
      </c>
      <c r="R22" s="62" t="e">
        <f>IF(IF(R7&gt;Simulador!$G$10,Simulador!$G$28*(R7-Q7),(Simulador!$G$28*(1-Simulador!$G$39)*(R7-Q7)))&lt;0,0,IF(R7&gt;Simulador!$G$10,Simulador!$G$28*(R7-Q7),(Simulador!$G$28*(1-Simulador!$G$39)*(R7-Q7))))</f>
        <v>#DIV/0!</v>
      </c>
      <c r="S22" s="62" t="e">
        <f>IF(IF(S7&gt;Simulador!$G$10,Simulador!$G$28*(S7-R7),(Simulador!$G$28*(1-Simulador!$G$39)*(S7-R7)))&lt;0,0,IF(S7&gt;Simulador!$G$10,Simulador!$G$28*(S7-R7),(Simulador!$G$28*(1-Simulador!$G$39)*(S7-R7))))</f>
        <v>#DIV/0!</v>
      </c>
      <c r="T22" s="62" t="e">
        <f>IF(IF(T7&gt;Simulador!$G$10,Simulador!$G$28*(T7-S7),(Simulador!$G$28*(1-Simulador!$G$39)*(T7-S7)))&lt;0,0,IF(T7&gt;Simulador!$G$10,Simulador!$G$28*(T7-S7),(Simulador!$G$28*(1-Simulador!$G$39)*(T7-S7))))</f>
        <v>#DIV/0!</v>
      </c>
      <c r="U22" s="62" t="e">
        <f>IF(IF(U7&gt;Simulador!$G$10,Simulador!$G$28*(U7-T7),(Simulador!$G$28*(1-Simulador!$G$39)*(U7-T7)))&lt;0,0,IF(U7&gt;Simulador!$G$10,Simulador!$G$28*(U7-T7),(Simulador!$G$28*(1-Simulador!$G$39)*(U7-T7))))</f>
        <v>#DIV/0!</v>
      </c>
      <c r="V22" s="62" t="e">
        <f>IF(IF(V7&gt;Simulador!$G$10,Simulador!$G$28*(V7-U7),(Simulador!$G$28*(1-Simulador!$G$39)*(V7-U7)))&lt;0,0,IF(V7&gt;Simulador!$G$10,Simulador!$G$28*(V7-U7),(Simulador!$G$28*(1-Simulador!$G$39)*(V7-U7))))</f>
        <v>#DIV/0!</v>
      </c>
      <c r="W22" s="62" t="e">
        <f>IF(IF(W7&gt;Simulador!$G$10,Simulador!$G$28*(W7-V7),(Simulador!$G$28*(1-Simulador!$G$39)*(W7-V7)))&lt;0,0,IF(W7&gt;Simulador!$G$10,Simulador!$G$28*(W7-V7),(Simulador!$G$28*(1-Simulador!$G$39)*(W7-V7))))</f>
        <v>#DIV/0!</v>
      </c>
      <c r="X22" s="62" t="e">
        <f>IF(IF(X7&gt;Simulador!$G$10,Simulador!$G$28*(X7-W7),(Simulador!$G$28*(1-Simulador!$G$39)*(X7-W7)))&lt;0,0,IF(X7&gt;Simulador!$G$10,Simulador!$G$28*(X7-W7),(Simulador!$G$28*(1-Simulador!$G$39)*(X7-W7))))</f>
        <v>#DIV/0!</v>
      </c>
      <c r="Y22" s="62" t="e">
        <f>IF(IF(Y7&gt;Simulador!$G$10,Simulador!$G$28*(Y7-X7),(Simulador!$G$28*(1-Simulador!$G$39)*(Y7-X7)))&lt;0,0,IF(Y7&gt;Simulador!$G$10,Simulador!$G$28*(Y7-X7),(Simulador!$G$28*(1-Simulador!$G$39)*(Y7-X7))))</f>
        <v>#DIV/0!</v>
      </c>
      <c r="Z22" s="62" t="e">
        <f>IF(IF(Z7&gt;Simulador!$G$10,Simulador!$G$28*(Z7-Y7),(Simulador!$G$28*(1-Simulador!$G$39)*(Z7-Y7)))&lt;0,0,IF(Z7&gt;Simulador!$G$10,Simulador!$G$28*(Z7-Y7),(Simulador!$G$28*(1-Simulador!$G$39)*(Z7-Y7))))</f>
        <v>#DIV/0!</v>
      </c>
      <c r="AA22" s="62" t="e">
        <f>IF(IF(AA7&gt;Simulador!$G$10,Simulador!$G$28*(AA7-Z7),(Simulador!$G$28*(1-Simulador!$G$39)*(AA7-Z7)))&lt;0,0,IF(AA7&gt;Simulador!$G$10,Simulador!$G$28*(AA7-Z7),(Simulador!$G$28*(1-Simulador!$G$39)*(AA7-Z7))))</f>
        <v>#DIV/0!</v>
      </c>
      <c r="AB22" s="62" t="e">
        <f>IF(IF(AB7&gt;Simulador!$G$10,Simulador!$G$28*(AB7-AA7),(Simulador!$G$28*(1-Simulador!$G$39)*(AB7-AA7)))&lt;0,0,IF(AB7&gt;Simulador!$G$10,Simulador!$G$28*(AB7-AA7),(Simulador!$G$28*(1-Simulador!$G$39)*(AB7-AA7))))</f>
        <v>#DIV/0!</v>
      </c>
      <c r="AC22" s="62" t="e">
        <f>IF(IF(AC7&gt;Simulador!$G$10,Simulador!$G$28*(AC7-AB7),(Simulador!$G$28*(1-Simulador!$G$39)*(AC7-AB7)))&lt;0,0,IF(AC7&gt;Simulador!$G$10,Simulador!$G$28*(AC7-AB7),(Simulador!$G$28*(1-Simulador!$G$39)*(AC7-AB7))))</f>
        <v>#DIV/0!</v>
      </c>
      <c r="AD22" s="62" t="e">
        <f>IF(IF(AD7&gt;Simulador!$G$10,Simulador!$G$28*(AD7-AC7),(Simulador!$G$28*(1-Simulador!$G$39)*(AD7-AC7)))&lt;0,0,IF(AD7&gt;Simulador!$G$10,Simulador!$G$28*(AD7-AC7),(Simulador!$G$28*(1-Simulador!$G$39)*(AD7-AC7))))</f>
        <v>#DIV/0!</v>
      </c>
      <c r="AE22" s="62" t="e">
        <f>IF(IF(AE7&gt;Simulador!$G$10,Simulador!$G$28*(AE7-AD7),(Simulador!$G$28*(1-Simulador!$G$39)*(AE7-AD7)))&lt;0,0,IF(AE7&gt;Simulador!$G$10,Simulador!$G$28*(AE7-AD7),(Simulador!$G$28*(1-Simulador!$G$39)*(AE7-AD7))))</f>
        <v>#DIV/0!</v>
      </c>
      <c r="AF22" s="62" t="e">
        <f>IF(IF(AF7&gt;Simulador!$G$10,Simulador!$G$28*(AF7-AE7),(Simulador!$G$28*(1-Simulador!$G$39)*(AF7-AE7)))&lt;0,0,IF(AF7&gt;Simulador!$G$10,Simulador!$G$28*(AF7-AE7),(Simulador!$G$28*(1-Simulador!$G$39)*(AF7-AE7))))</f>
        <v>#DIV/0!</v>
      </c>
      <c r="AG22" s="62" t="e">
        <f>IF(IF(AG7&gt;Simulador!$G$10,Simulador!$G$28*(AG7-AF7),(Simulador!$G$28*(1-Simulador!$G$39)*(AG7-AF7)))&lt;0,0,IF(AG7&gt;Simulador!$G$10,Simulador!$G$28*(AG7-AF7),(Simulador!$G$28*(1-Simulador!$G$39)*(AG7-AF7))))</f>
        <v>#DIV/0!</v>
      </c>
      <c r="AH22" s="62" t="e">
        <f>IF(IF(AH7&gt;Simulador!$G$10,Simulador!$G$28*(AH7-AG7),(Simulador!$G$28*(1-Simulador!$G$39)*(AH7-AG7)))&lt;0,0,IF(AH7&gt;Simulador!$G$10,Simulador!$G$28*(AH7-AG7),(Simulador!$G$28*(1-Simulador!$G$39)*(AH7-AG7))))</f>
        <v>#DIV/0!</v>
      </c>
      <c r="AI22" s="62" t="e">
        <f>IF(IF(AI7&gt;Simulador!$G$10,Simulador!$G$28*(AI7-AH7),(Simulador!$G$28*(1-Simulador!$G$39)*(AI7-AH7)))&lt;0,0,IF(AI7&gt;Simulador!$G$10,Simulador!$G$28*(AI7-AH7),(Simulador!$G$28*(1-Simulador!$G$39)*(AI7-AH7))))</f>
        <v>#DIV/0!</v>
      </c>
      <c r="AJ22" s="62" t="e">
        <f>IF(IF(AJ7&gt;Simulador!$G$10,Simulador!$G$28*(AJ7-AI7),(Simulador!$G$28*(1-Simulador!$G$39)*(AJ7-AI7)))&lt;0,0,IF(AJ7&gt;Simulador!$G$10,Simulador!$G$28*(AJ7-AI7),(Simulador!$G$28*(1-Simulador!$G$39)*(AJ7-AI7))))</f>
        <v>#DIV/0!</v>
      </c>
      <c r="AK22" s="62" t="e">
        <f>IF(IF(AK7&gt;Simulador!$G$10,Simulador!$G$28*(AK7-AJ7),(Simulador!$G$28*(1-Simulador!$G$39)*(AK7-AJ7)))&lt;0,0,IF(AK7&gt;Simulador!$G$10,Simulador!$G$28*(AK7-AJ7),(Simulador!$G$28*(1-Simulador!$G$39)*(AK7-AJ7))))</f>
        <v>#DIV/0!</v>
      </c>
      <c r="AL22" s="62" t="e">
        <f>IF(IF(AL7&gt;Simulador!$G$10,Simulador!$G$28*(AL7-AK7),(Simulador!$G$28*(1-Simulador!$G$39)*(AL7-AK7)))&lt;0,0,IF(AL7&gt;Simulador!$G$10,Simulador!$G$28*(AL7-AK7),(Simulador!$G$28*(1-Simulador!$G$39)*(AL7-AK7))))</f>
        <v>#DIV/0!</v>
      </c>
      <c r="AM22" s="62" t="e">
        <f>IF(IF(AM7&gt;Simulador!$G$10,Simulador!$G$28*(AM7-AL7),(Simulador!$G$28*(1-Simulador!$G$39)*(AM7-AL7)))&lt;0,0,IF(AM7&gt;Simulador!$G$10,Simulador!$G$28*(AM7-AL7),(Simulador!$G$28*(1-Simulador!$G$39)*(AM7-AL7))))</f>
        <v>#DIV/0!</v>
      </c>
      <c r="AN22" s="62" t="e">
        <f>IF(IF(AN7&gt;Simulador!$G$10,Simulador!$G$28*(AN7-AM7),(Simulador!$G$28*(1-Simulador!$G$39)*(AN7-AM7)))&lt;0,0,IF(AN7&gt;Simulador!$G$10,Simulador!$G$28*(AN7-AM7),(Simulador!$G$28*(1-Simulador!$G$39)*(AN7-AM7))))</f>
        <v>#DIV/0!</v>
      </c>
      <c r="AO22" s="62" t="e">
        <f>IF(IF(AO7&gt;Simulador!$G$10,Simulador!$G$28*(AO7-AN7),(Simulador!$G$28*(1-Simulador!$G$39)*(AO7-AN7)))&lt;0,0,IF(AO7&gt;Simulador!$G$10,Simulador!$G$28*(AO7-AN7),(Simulador!$G$28*(1-Simulador!$G$39)*(AO7-AN7))))</f>
        <v>#DIV/0!</v>
      </c>
      <c r="AP22" s="62" t="e">
        <f>IF(IF(AP7&gt;Simulador!$G$10,Simulador!$G$28*(AP7-AO7),(Simulador!$G$28*(1-Simulador!$G$39)*(AP7-AO7)))&lt;0,0,IF(AP7&gt;Simulador!$G$10,Simulador!$G$28*(AP7-AO7),(Simulador!$G$28*(1-Simulador!$G$39)*(AP7-AO7))))</f>
        <v>#DIV/0!</v>
      </c>
      <c r="AQ22" s="62" t="e">
        <f>IF(IF(AQ7&gt;Simulador!$G$10,Simulador!$G$28*(AQ7-AP7),(Simulador!$G$28*(1-Simulador!$G$39)*(AQ7-AP7)))&lt;0,0,IF(AQ7&gt;Simulador!$G$10,Simulador!$G$28*(AQ7-AP7),(Simulador!$G$28*(1-Simulador!$G$39)*(AQ7-AP7))))</f>
        <v>#DIV/0!</v>
      </c>
      <c r="AR22" s="62" t="e">
        <f>IF(IF(AR7&gt;Simulador!$G$10,Simulador!$G$28*(AR7-AQ7),(Simulador!$G$28*(1-Simulador!$G$39)*(AR7-AQ7)))&lt;0,0,IF(AR7&gt;Simulador!$G$10,Simulador!$G$28*(AR7-AQ7),(Simulador!$G$28*(1-Simulador!$G$39)*(AR7-AQ7))))</f>
        <v>#DIV/0!</v>
      </c>
      <c r="AS22" s="62" t="e">
        <f>IF(IF(AS7&gt;Simulador!$G$10,Simulador!$G$28*(AS7-AR7),(Simulador!$G$28*(1-Simulador!$G$39)*(AS7-AR7)))&lt;0,0,IF(AS7&gt;Simulador!$G$10,Simulador!$G$28*(AS7-AR7),(Simulador!$G$28*(1-Simulador!$G$39)*(AS7-AR7))))</f>
        <v>#DIV/0!</v>
      </c>
      <c r="AT22" s="62" t="e">
        <f>IF(IF(AT7&gt;Simulador!$G$10,Simulador!$G$28*(AT7-AS7),(Simulador!$G$28*(1-Simulador!$G$39)*(AT7-AS7)))&lt;0,0,IF(AT7&gt;Simulador!$G$10,Simulador!$G$28*(AT7-AS7),(Simulador!$G$28*(1-Simulador!$G$39)*(AT7-AS7))))</f>
        <v>#DIV/0!</v>
      </c>
      <c r="AU22" s="62" t="e">
        <f>IF(IF(AU7&gt;Simulador!$G$10,Simulador!$G$28*(AU7-AT7),(Simulador!$G$28*(1-Simulador!$G$39)*(AU7-AT7)))&lt;0,0,IF(AU7&gt;Simulador!$G$10,Simulador!$G$28*(AU7-AT7),(Simulador!$G$28*(1-Simulador!$G$39)*(AU7-AT7))))</f>
        <v>#DIV/0!</v>
      </c>
      <c r="AV22" s="62" t="e">
        <f>IF(IF(AV7&gt;Simulador!$G$10,Simulador!$G$28*(AV7-AU7),(Simulador!$G$28*(1-Simulador!$G$39)*(AV7-AU7)))&lt;0,0,IF(AV7&gt;Simulador!$G$10,Simulador!$G$28*(AV7-AU7),(Simulador!$G$28*(1-Simulador!$G$39)*(AV7-AU7))))</f>
        <v>#DIV/0!</v>
      </c>
      <c r="AW22" s="62" t="e">
        <f>IF(IF(AW7&gt;Simulador!$G$10,Simulador!$G$28*(AW7-AV7),(Simulador!$G$28*(1-Simulador!$G$39)*(AW7-AV7)))&lt;0,0,IF(AW7&gt;Simulador!$G$10,Simulador!$G$28*(AW7-AV7),(Simulador!$G$28*(1-Simulador!$G$39)*(AW7-AV7))))</f>
        <v>#DIV/0!</v>
      </c>
      <c r="AX22" s="62" t="e">
        <f>IF(IF(AX7&gt;Simulador!$G$10,Simulador!$G$28*(AX7-AW7),(Simulador!$G$28*(1-Simulador!$G$39)*(AX7-AW7)))&lt;0,0,IF(AX7&gt;Simulador!$G$10,Simulador!$G$28*(AX7-AW7),(Simulador!$G$28*(1-Simulador!$G$39)*(AX7-AW7))))</f>
        <v>#DIV/0!</v>
      </c>
      <c r="AY22" s="62" t="e">
        <f>IF(IF(AY7&gt;Simulador!$G$10,Simulador!$G$28*(AY7-AX7),(Simulador!$G$28*(1-Simulador!$G$39)*(AY7-AX7)))&lt;0,0,IF(AY7&gt;Simulador!$G$10,Simulador!$G$28*(AY7-AX7),(Simulador!$G$28*(1-Simulador!$G$39)*(AY7-AX7))))</f>
        <v>#DIV/0!</v>
      </c>
      <c r="AZ22" s="62" t="e">
        <f>IF(IF(AZ7&gt;Simulador!$G$10,Simulador!$G$28*(AZ7-AY7),(Simulador!$G$28*(1-Simulador!$G$39)*(AZ7-AY7)))&lt;0,0,IF(AZ7&gt;Simulador!$G$10,Simulador!$G$28*(AZ7-AY7),(Simulador!$G$28*(1-Simulador!$G$39)*(AZ7-AY7))))</f>
        <v>#DIV/0!</v>
      </c>
      <c r="BA22" s="62" t="e">
        <f>IF(IF(BA7&gt;Simulador!$G$10,Simulador!$G$28*(BA7-AZ7),(Simulador!$G$28*(1-Simulador!$G$39)*(BA7-AZ7)))&lt;0,0,IF(BA7&gt;Simulador!$G$10,Simulador!$G$28*(BA7-AZ7),(Simulador!$G$28*(1-Simulador!$G$39)*(BA7-AZ7))))</f>
        <v>#DIV/0!</v>
      </c>
      <c r="BB22" s="62" t="e">
        <f>IF(IF(BB7&gt;Simulador!$G$10,Simulador!$G$28*(BB7-BA7),(Simulador!$G$28*(1-Simulador!$G$39)*(BB7-BA7)))&lt;0,0,IF(BB7&gt;Simulador!$G$10,Simulador!$G$28*(BB7-BA7),(Simulador!$G$28*(1-Simulador!$G$39)*(BB7-BA7))))</f>
        <v>#DIV/0!</v>
      </c>
      <c r="BC22" s="62" t="e">
        <f>IF(IF(BC7&gt;Simulador!$G$10,Simulador!$G$28*(BC7-BB7),(Simulador!$G$28*(1-Simulador!$G$39)*(BC7-BB7)))&lt;0,0,IF(BC7&gt;Simulador!$G$10,Simulador!$G$28*(BC7-BB7),(Simulador!$G$28*(1-Simulador!$G$39)*(BC7-BB7))))</f>
        <v>#DIV/0!</v>
      </c>
      <c r="BD22" s="62" t="e">
        <f>IF(IF(BD7&gt;Simulador!$G$10,Simulador!$G$28*(BD7-BC7),(Simulador!$G$28*(1-Simulador!$G$39)*(BD7-BC7)))&lt;0,0,IF(BD7&gt;Simulador!$G$10,Simulador!$G$28*(BD7-BC7),(Simulador!$G$28*(1-Simulador!$G$39)*(BD7-BC7))))</f>
        <v>#DIV/0!</v>
      </c>
      <c r="BE22" s="62" t="e">
        <f>IF(IF(BE7&gt;Simulador!$G$10,Simulador!$G$28*(BE7-BD7),(Simulador!$G$28*(1-Simulador!$G$39)*(BE7-BD7)))&lt;0,0,IF(BE7&gt;Simulador!$G$10,Simulador!$G$28*(BE7-BD7),(Simulador!$G$28*(1-Simulador!$G$39)*(BE7-BD7))))</f>
        <v>#DIV/0!</v>
      </c>
      <c r="BF22" s="62" t="e">
        <f>IF(IF(BF7&gt;Simulador!$G$10,Simulador!$G$28*(BF7-BE7),(Simulador!$G$28*(1-Simulador!$G$39)*(BF7-BE7)))&lt;0,0,IF(BF7&gt;Simulador!$G$10,Simulador!$G$28*(BF7-BE7),(Simulador!$G$28*(1-Simulador!$G$39)*(BF7-BE7))))</f>
        <v>#DIV/0!</v>
      </c>
      <c r="BG22" s="62" t="e">
        <f>IF(IF(BG7&gt;Simulador!$G$10,Simulador!$G$28*(BG7-BF7),(Simulador!$G$28*(1-Simulador!$G$39)*(BG7-BF7)))&lt;0,0,IF(BG7&gt;Simulador!$G$10,Simulador!$G$28*(BG7-BF7),(Simulador!$G$28*(1-Simulador!$G$39)*(BG7-BF7))))</f>
        <v>#DIV/0!</v>
      </c>
      <c r="BH22" s="62" t="e">
        <f>IF(IF(BH7&gt;Simulador!$G$10,Simulador!$G$28*(BH7-BG7),(Simulador!$G$28*(1-Simulador!$G$39)*(BH7-BG7)))&lt;0,0,IF(BH7&gt;Simulador!$G$10,Simulador!$G$28*(BH7-BG7),(Simulador!$G$28*(1-Simulador!$G$39)*(BH7-BG7))))</f>
        <v>#DIV/0!</v>
      </c>
      <c r="BI22" s="62" t="e">
        <f>IF(IF(BI7&gt;Simulador!$G$10,Simulador!$G$28*(BI7-BH7),(Simulador!$G$28*(1-Simulador!$G$39)*(BI7-BH7)))&lt;0,0,IF(BI7&gt;Simulador!$G$10,Simulador!$G$28*(BI7-BH7),(Simulador!$G$28*(1-Simulador!$G$39)*(BI7-BH7))))</f>
        <v>#DIV/0!</v>
      </c>
      <c r="BJ22" s="62" t="e">
        <f>IF(IF(BJ7&gt;Simulador!$G$10,Simulador!$G$28*(BJ7-BI7),(Simulador!$G$28*(1-Simulador!$G$39)*(BJ7-BI7)))&lt;0,0,IF(BJ7&gt;Simulador!$G$10,Simulador!$G$28*(BJ7-BI7),(Simulador!$G$28*(1-Simulador!$G$39)*(BJ7-BI7))))</f>
        <v>#DIV/0!</v>
      </c>
      <c r="BK22" s="62" t="e">
        <f>IF(IF(BK7&gt;Simulador!$G$10,Simulador!$G$28*(BK7-BJ7),(Simulador!$G$28*(1-Simulador!$G$39)*(BK7-BJ7)))&lt;0,0,IF(BK7&gt;Simulador!$G$10,Simulador!$G$28*(BK7-BJ7),(Simulador!$G$28*(1-Simulador!$G$39)*(BK7-BJ7))))</f>
        <v>#DIV/0!</v>
      </c>
      <c r="BL22" s="62" t="e">
        <f>IF(IF(BL7&gt;Simulador!$G$10,Simulador!$G$28*(BL7-BK7),(Simulador!$G$28*(1-Simulador!$G$39)*(BL7-BK7)))&lt;0,0,IF(BL7&gt;Simulador!$G$10,Simulador!$G$28*(BL7-BK7),(Simulador!$G$28*(1-Simulador!$G$39)*(BL7-BK7))))</f>
        <v>#DIV/0!</v>
      </c>
      <c r="BM22" s="62" t="e">
        <f>IF(IF(BM7&gt;Simulador!$G$10,Simulador!$G$28*(BM7-BL7),(Simulador!$G$28*(1-Simulador!$G$39)*(BM7-BL7)))&lt;0,0,IF(BM7&gt;Simulador!$G$10,Simulador!$G$28*(BM7-BL7),(Simulador!$G$28*(1-Simulador!$G$39)*(BM7-BL7))))</f>
        <v>#DIV/0!</v>
      </c>
      <c r="BN22" s="62" t="e">
        <f>IF(IF(BN7&gt;Simulador!$G$10,Simulador!$G$28*(BN7-BM7),(Simulador!$G$28*(1-Simulador!$G$39)*(BN7-BM7)))&lt;0,0,IF(BN7&gt;Simulador!$G$10,Simulador!$G$28*(BN7-BM7),(Simulador!$G$28*(1-Simulador!$G$39)*(BN7-BM7))))</f>
        <v>#DIV/0!</v>
      </c>
      <c r="BO22" s="62" t="e">
        <f>IF(IF(BO7&gt;Simulador!$G$10,Simulador!$G$28*(BO7-BN7),(Simulador!$G$28*(1-Simulador!$G$39)*(BO7-BN7)))&lt;0,0,IF(BO7&gt;Simulador!$G$10,Simulador!$G$28*(BO7-BN7),(Simulador!$G$28*(1-Simulador!$G$39)*(BO7-BN7))))</f>
        <v>#DIV/0!</v>
      </c>
      <c r="BP22" s="62" t="e">
        <f>IF(IF(BP7&gt;Simulador!$G$10,Simulador!$G$28*(BP7-BO7),(Simulador!$G$28*(1-Simulador!$G$39)*(BP7-BO7)))&lt;0,0,IF(BP7&gt;Simulador!$G$10,Simulador!$G$28*(BP7-BO7),(Simulador!$G$28*(1-Simulador!$G$39)*(BP7-BO7))))</f>
        <v>#DIV/0!</v>
      </c>
      <c r="BQ22" s="62" t="e">
        <f>IF(IF(BQ7&gt;Simulador!$G$10,Simulador!$G$28*(BQ7-BP7),(Simulador!$G$28*(1-Simulador!$G$39)*(BQ7-BP7)))&lt;0,0,IF(BQ7&gt;Simulador!$G$10,Simulador!$G$28*(BQ7-BP7),(Simulador!$G$28*(1-Simulador!$G$39)*(BQ7-BP7))))</f>
        <v>#DIV/0!</v>
      </c>
      <c r="BR22" s="62" t="e">
        <f>IF(IF(BR7&gt;Simulador!$G$10,Simulador!$G$28*(BR7-BQ7),(Simulador!$G$28*(1-Simulador!$G$39)*(BR7-BQ7)))&lt;0,0,IF(BR7&gt;Simulador!$G$10,Simulador!$G$28*(BR7-BQ7),(Simulador!$G$28*(1-Simulador!$G$39)*(BR7-BQ7))))</f>
        <v>#DIV/0!</v>
      </c>
      <c r="BS22" s="62" t="e">
        <f>IF(IF(BS7&gt;Simulador!$G$10,Simulador!$G$28*(BS7-BR7),(Simulador!$G$28*(1-Simulador!$G$39)*(BS7-BR7)))&lt;0,0,IF(BS7&gt;Simulador!$G$10,Simulador!$G$28*(BS7-BR7),(Simulador!$G$28*(1-Simulador!$G$39)*(BS7-BR7))))</f>
        <v>#DIV/0!</v>
      </c>
      <c r="BT22" s="62" t="e">
        <f>IF(IF(BT7&gt;Simulador!$G$10,Simulador!$G$28*(BT7-BS7),(Simulador!$G$28*(1-Simulador!$G$39)*(BT7-BS7)))&lt;0,0,IF(BT7&gt;Simulador!$G$10,Simulador!$G$28*(BT7-BS7),(Simulador!$G$28*(1-Simulador!$G$39)*(BT7-BS7))))</f>
        <v>#DIV/0!</v>
      </c>
      <c r="BU22" s="62" t="e">
        <f>IF(IF(BU7&gt;Simulador!$G$10,Simulador!$G$28*(BU7-BT7),(Simulador!$G$28*(1-Simulador!$G$39)*(BU7-BT7)))&lt;0,0,IF(BU7&gt;Simulador!$G$10,Simulador!$G$28*(BU7-BT7),(Simulador!$G$28*(1-Simulador!$G$39)*(BU7-BT7))))</f>
        <v>#DIV/0!</v>
      </c>
      <c r="BV22" s="62" t="e">
        <f>IF(IF(BV7&gt;Simulador!$G$10,Simulador!$G$28*(BV7-BU7),(Simulador!$G$28*(1-Simulador!$G$39)*(BV7-BU7)))&lt;0,0,IF(BV7&gt;Simulador!$G$10,Simulador!$G$28*(BV7-BU7),(Simulador!$G$28*(1-Simulador!$G$39)*(BV7-BU7))))</f>
        <v>#DIV/0!</v>
      </c>
      <c r="BW22" s="62" t="e">
        <f>IF(IF(BW7&gt;Simulador!$G$10,Simulador!$G$28*(BW7-BV7),(Simulador!$G$28*(1-Simulador!$G$39)*(BW7-BV7)))&lt;0,0,IF(BW7&gt;Simulador!$G$10,Simulador!$G$28*(BW7-BV7),(Simulador!$G$28*(1-Simulador!$G$39)*(BW7-BV7))))</f>
        <v>#DIV/0!</v>
      </c>
      <c r="BX22" s="62" t="e">
        <f>IF(IF(BX7&gt;Simulador!$G$10,Simulador!$G$28*(BX7-BW7),(Simulador!$G$28*(1-Simulador!$G$39)*(BX7-BW7)))&lt;0,0,IF(BX7&gt;Simulador!$G$10,Simulador!$G$28*(BX7-BW7),(Simulador!$G$28*(1-Simulador!$G$39)*(BX7-BW7))))</f>
        <v>#DIV/0!</v>
      </c>
      <c r="BY22" s="62" t="e">
        <f>IF(IF(BY7&gt;Simulador!$G$10,Simulador!$G$28*(BY7-BX7),(Simulador!$G$28*(1-Simulador!$G$39)*(BY7-BX7)))&lt;0,0,IF(BY7&gt;Simulador!$G$10,Simulador!$G$28*(BY7-BX7),(Simulador!$G$28*(1-Simulador!$G$39)*(BY7-BX7))))</f>
        <v>#DIV/0!</v>
      </c>
      <c r="BZ22" s="62" t="e">
        <f>IF(IF(BZ7&gt;Simulador!$G$10,Simulador!$G$28*(BZ7-BY7),(Simulador!$G$28*(1-Simulador!$G$39)*(BZ7-BY7)))&lt;0,0,IF(BZ7&gt;Simulador!$G$10,Simulador!$G$28*(BZ7-BY7),(Simulador!$G$28*(1-Simulador!$G$39)*(BZ7-BY7))))</f>
        <v>#DIV/0!</v>
      </c>
      <c r="CA22" s="62" t="e">
        <f>IF(IF(CA7&gt;Simulador!$G$10,Simulador!$G$28*(CA7-BZ7),(Simulador!$G$28*(1-Simulador!$G$39)*(CA7-BZ7)))&lt;0,0,IF(CA7&gt;Simulador!$G$10,Simulador!$G$28*(CA7-BZ7),(Simulador!$G$28*(1-Simulador!$G$39)*(CA7-BZ7))))</f>
        <v>#DIV/0!</v>
      </c>
      <c r="CB22" s="62" t="e">
        <f>IF(IF(CB7&gt;Simulador!$G$10,Simulador!$G$28*(CB7-CA7),(Simulador!$G$28*(1-Simulador!$G$39)*(CB7-CA7)))&lt;0,0,IF(CB7&gt;Simulador!$G$10,Simulador!$G$28*(CB7-CA7),(Simulador!$G$28*(1-Simulador!$G$39)*(CB7-CA7))))</f>
        <v>#DIV/0!</v>
      </c>
      <c r="CC22" s="62" t="e">
        <f>IF(IF(CC7&gt;Simulador!$G$10,Simulador!$G$28*(CC7-CB7),(Simulador!$G$28*(1-Simulador!$G$39)*(CC7-CB7)))&lt;0,0,IF(CC7&gt;Simulador!$G$10,Simulador!$G$28*(CC7-CB7),(Simulador!$G$28*(1-Simulador!$G$39)*(CC7-CB7))))</f>
        <v>#DIV/0!</v>
      </c>
      <c r="CD22" s="62" t="e">
        <f>IF(IF(CD7&gt;Simulador!$G$10,Simulador!$G$28*(CD7-CC7),(Simulador!$G$28*(1-Simulador!$G$39)*(CD7-CC7)))&lt;0,0,IF(CD7&gt;Simulador!$G$10,Simulador!$G$28*(CD7-CC7),(Simulador!$G$28*(1-Simulador!$G$39)*(CD7-CC7))))</f>
        <v>#DIV/0!</v>
      </c>
      <c r="CE22" s="62" t="e">
        <f>IF(IF(CE7&gt;Simulador!$G$10,Simulador!$G$28*(CE7-CD7),(Simulador!$G$28*(1-Simulador!$G$39)*(CE7-CD7)))&lt;0,0,IF(CE7&gt;Simulador!$G$10,Simulador!$G$28*(CE7-CD7),(Simulador!$G$28*(1-Simulador!$G$39)*(CE7-CD7))))</f>
        <v>#DIV/0!</v>
      </c>
      <c r="CF22" s="62" t="e">
        <f>IF(IF(CF7&gt;Simulador!$G$10,Simulador!$G$28*(CF7-CE7),(Simulador!$G$28*(1-Simulador!$G$39)*(CF7-CE7)))&lt;0,0,IF(CF7&gt;Simulador!$G$10,Simulador!$G$28*(CF7-CE7),(Simulador!$G$28*(1-Simulador!$G$39)*(CF7-CE7))))</f>
        <v>#DIV/0!</v>
      </c>
      <c r="CG22" s="62" t="e">
        <f>IF(IF(CG7&gt;Simulador!$G$10,Simulador!$G$28*(CG7-CF7),(Simulador!$G$28*(1-Simulador!$G$39)*(CG7-CF7)))&lt;0,0,IF(CG7&gt;Simulador!$G$10,Simulador!$G$28*(CG7-CF7),(Simulador!$G$28*(1-Simulador!$G$39)*(CG7-CF7))))</f>
        <v>#DIV/0!</v>
      </c>
      <c r="CH22" s="62" t="e">
        <f>IF(IF(CH7&gt;Simulador!$G$10,Simulador!$G$28*(CH7-CG7),(Simulador!$G$28*(1-Simulador!$G$39)*(CH7-CG7)))&lt;0,0,IF(CH7&gt;Simulador!$G$10,Simulador!$G$28*(CH7-CG7),(Simulador!$G$28*(1-Simulador!$G$39)*(CH7-CG7))))</f>
        <v>#DIV/0!</v>
      </c>
      <c r="CI22" s="62" t="e">
        <f>IF(IF(CI7&gt;Simulador!$G$10,Simulador!$G$28*(CI7-CH7),(Simulador!$G$28*(1-Simulador!$G$39)*(CI7-CH7)))&lt;0,0,IF(CI7&gt;Simulador!$G$10,Simulador!$G$28*(CI7-CH7),(Simulador!$G$28*(1-Simulador!$G$39)*(CI7-CH7))))</f>
        <v>#DIV/0!</v>
      </c>
      <c r="CJ22" s="62" t="e">
        <f>IF(IF(CJ7&gt;Simulador!$G$10,Simulador!$G$28*(CJ7-CI7),(Simulador!$G$28*(1-Simulador!$G$39)*(CJ7-CI7)))&lt;0,0,IF(CJ7&gt;Simulador!$G$10,Simulador!$G$28*(CJ7-CI7),(Simulador!$G$28*(1-Simulador!$G$39)*(CJ7-CI7))))</f>
        <v>#DIV/0!</v>
      </c>
      <c r="CK22" s="62" t="e">
        <f>IF(IF(CK7&gt;Simulador!$G$10,Simulador!$G$28*(CK7-CJ7),(Simulador!$G$28*(1-Simulador!$G$39)*(CK7-CJ7)))&lt;0,0,IF(CK7&gt;Simulador!$G$10,Simulador!$G$28*(CK7-CJ7),(Simulador!$G$28*(1-Simulador!$G$39)*(CK7-CJ7))))</f>
        <v>#DIV/0!</v>
      </c>
      <c r="CL22" s="62" t="e">
        <f>IF(IF(CL7&gt;Simulador!$G$10,Simulador!$G$28*(CL7-CK7),(Simulador!$G$28*(1-Simulador!$G$39)*(CL7-CK7)))&lt;0,0,IF(CL7&gt;Simulador!$G$10,Simulador!$G$28*(CL7-CK7),(Simulador!$G$28*(1-Simulador!$G$39)*(CL7-CK7))))</f>
        <v>#DIV/0!</v>
      </c>
      <c r="CM22" s="62" t="e">
        <f>IF(IF(CM7&gt;Simulador!$G$10,Simulador!$G$28*(CM7-CL7),(Simulador!$G$28*(1-Simulador!$G$39)*(CM7-CL7)))&lt;0,0,IF(CM7&gt;Simulador!$G$10,Simulador!$G$28*(CM7-CL7),(Simulador!$G$28*(1-Simulador!$G$39)*(CM7-CL7))))</f>
        <v>#DIV/0!</v>
      </c>
      <c r="CN22" s="62" t="e">
        <f>IF(IF(CN7&gt;Simulador!$G$10,Simulador!$G$28*(CN7-CM7),(Simulador!$G$28*(1-Simulador!$G$39)*(CN7-CM7)))&lt;0,0,IF(CN7&gt;Simulador!$G$10,Simulador!$G$28*(CN7-CM7),(Simulador!$G$28*(1-Simulador!$G$39)*(CN7-CM7))))</f>
        <v>#DIV/0!</v>
      </c>
      <c r="CO22" s="62" t="e">
        <f>IF(IF(CO7&gt;Simulador!$G$10,Simulador!$G$28*(CO7-CN7),(Simulador!$G$28*(1-Simulador!$G$39)*(CO7-CN7)))&lt;0,0,IF(CO7&gt;Simulador!$G$10,Simulador!$G$28*(CO7-CN7),(Simulador!$G$28*(1-Simulador!$G$39)*(CO7-CN7))))</f>
        <v>#DIV/0!</v>
      </c>
      <c r="CP22" s="62" t="e">
        <f>IF(IF(CP7&gt;Simulador!$G$10,Simulador!$G$28*(CP7-CO7),(Simulador!$G$28*(1-Simulador!$G$39)*(CP7-CO7)))&lt;0,0,IF(CP7&gt;Simulador!$G$10,Simulador!$G$28*(CP7-CO7),(Simulador!$G$28*(1-Simulador!$G$39)*(CP7-CO7))))</f>
        <v>#DIV/0!</v>
      </c>
      <c r="CQ22" s="62" t="e">
        <f>IF(IF(CQ7&gt;Simulador!$G$10,Simulador!$G$28*(CQ7-CP7),(Simulador!$G$28*(1-Simulador!$G$39)*(CQ7-CP7)))&lt;0,0,IF(CQ7&gt;Simulador!$G$10,Simulador!$G$28*(CQ7-CP7),(Simulador!$G$28*(1-Simulador!$G$39)*(CQ7-CP7))))</f>
        <v>#DIV/0!</v>
      </c>
      <c r="CR22" s="62" t="e">
        <f>IF(IF(CR7&gt;Simulador!$G$10,Simulador!$G$28*(CR7-CQ7),(Simulador!$G$28*(1-Simulador!$G$39)*(CR7-CQ7)))&lt;0,0,IF(CR7&gt;Simulador!$G$10,Simulador!$G$28*(CR7-CQ7),(Simulador!$G$28*(1-Simulador!$G$39)*(CR7-CQ7))))</f>
        <v>#DIV/0!</v>
      </c>
      <c r="CS22" s="62" t="e">
        <f>IF(IF(CS7&gt;Simulador!$G$10,Simulador!$G$28*(CS7-CR7),(Simulador!$G$28*(1-Simulador!$G$39)*(CS7-CR7)))&lt;0,0,IF(CS7&gt;Simulador!$G$10,Simulador!$G$28*(CS7-CR7),(Simulador!$G$28*(1-Simulador!$G$39)*(CS7-CR7))))</f>
        <v>#DIV/0!</v>
      </c>
      <c r="CT22" s="62" t="e">
        <f>IF(IF(CT7&gt;Simulador!$G$10,Simulador!$G$28*(CT7-CS7),(Simulador!$G$28*(1-Simulador!$G$39)*(CT7-CS7)))&lt;0,0,IF(CT7&gt;Simulador!$G$10,Simulador!$G$28*(CT7-CS7),(Simulador!$G$28*(1-Simulador!$G$39)*(CT7-CS7))))</f>
        <v>#DIV/0!</v>
      </c>
      <c r="CU22" s="62" t="e">
        <f>IF(IF(CU7&gt;Simulador!$G$10,Simulador!$G$28*(CU7-CT7),(Simulador!$G$28*(1-Simulador!$G$39)*(CU7-CT7)))&lt;0,0,IF(CU7&gt;Simulador!$G$10,Simulador!$G$28*(CU7-CT7),(Simulador!$G$28*(1-Simulador!$G$39)*(CU7-CT7))))</f>
        <v>#DIV/0!</v>
      </c>
      <c r="CV22" s="62" t="e">
        <f>IF(IF(CV7&gt;Simulador!$G$10,Simulador!$G$28*(CV7-CU7),(Simulador!$G$28*(1-Simulador!$G$39)*(CV7-CU7)))&lt;0,0,IF(CV7&gt;Simulador!$G$10,Simulador!$G$28*(CV7-CU7),(Simulador!$G$28*(1-Simulador!$G$39)*(CV7-CU7))))</f>
        <v>#DIV/0!</v>
      </c>
      <c r="CW22" s="62" t="e">
        <f>IF(IF(CW7&gt;Simulador!$G$10,Simulador!$G$28*(CW7-CV7),(Simulador!$G$28*(1-Simulador!$G$39)*(CW7-CV7)))&lt;0,0,IF(CW7&gt;Simulador!$G$10,Simulador!$G$28*(CW7-CV7),(Simulador!$G$28*(1-Simulador!$G$39)*(CW7-CV7))))</f>
        <v>#DIV/0!</v>
      </c>
      <c r="CX22" s="62" t="e">
        <f>IF(IF(CX7&gt;Simulador!$G$10,Simulador!$G$28*(CX7-CW7),(Simulador!$G$28*(1-Simulador!$G$39)*(CX7-CW7)))&lt;0,0,IF(CX7&gt;Simulador!$G$10,Simulador!$G$28*(CX7-CW7),(Simulador!$G$28*(1-Simulador!$G$39)*(CX7-CW7))))</f>
        <v>#DIV/0!</v>
      </c>
      <c r="CY22" s="62" t="e">
        <f>IF(IF(CY7&gt;Simulador!$G$10,Simulador!$G$28*(CY7-CX7),(Simulador!$G$28*(1-Simulador!$G$39)*(CY7-CX7)))&lt;0,0,IF(CY7&gt;Simulador!$G$10,Simulador!$G$28*(CY7-CX7),(Simulador!$G$28*(1-Simulador!$G$39)*(CY7-CX7))))</f>
        <v>#DIV/0!</v>
      </c>
      <c r="CZ22" s="62" t="e">
        <f>IF(IF(CZ7&gt;Simulador!$G$10,Simulador!$G$28*(CZ7-CY7),(Simulador!$G$28*(1-Simulador!$G$39)*(CZ7-CY7)))&lt;0,0,IF(CZ7&gt;Simulador!$G$10,Simulador!$G$28*(CZ7-CY7),(Simulador!$G$28*(1-Simulador!$G$39)*(CZ7-CY7))))</f>
        <v>#DIV/0!</v>
      </c>
      <c r="DA22" s="62" t="e">
        <f>IF(IF(DA7&gt;Simulador!$G$10,Simulador!$G$28*(DA7-CZ7),(Simulador!$G$28*(1-Simulador!$G$39)*(DA7-CZ7)))&lt;0,0,IF(DA7&gt;Simulador!$G$10,Simulador!$G$28*(DA7-CZ7),(Simulador!$G$28*(1-Simulador!$G$39)*(DA7-CZ7))))</f>
        <v>#DIV/0!</v>
      </c>
      <c r="DB22" s="62" t="e">
        <f>IF(IF(DB7&gt;Simulador!$G$10,Simulador!$G$28*(DB7-DA7),(Simulador!$G$28*(1-Simulador!$G$39)*(DB7-DA7)))&lt;0,0,IF(DB7&gt;Simulador!$G$10,Simulador!$G$28*(DB7-DA7),(Simulador!$G$28*(1-Simulador!$G$39)*(DB7-DA7))))</f>
        <v>#DIV/0!</v>
      </c>
      <c r="DC22" s="62" t="e">
        <f>IF(IF(DC7&gt;Simulador!$G$10,Simulador!$G$28*(DC7-DB7),(Simulador!$G$28*(1-Simulador!$G$39)*(DC7-DB7)))&lt;0,0,IF(DC7&gt;Simulador!$G$10,Simulador!$G$28*(DC7-DB7),(Simulador!$G$28*(1-Simulador!$G$39)*(DC7-DB7))))</f>
        <v>#DIV/0!</v>
      </c>
      <c r="DD22" s="62" t="e">
        <f>IF(IF(DD7&gt;Simulador!$G$10,Simulador!$G$28*(DD7-DC7),(Simulador!$G$28*(1-Simulador!$G$39)*(DD7-DC7)))&lt;0,0,IF(DD7&gt;Simulador!$G$10,Simulador!$G$28*(DD7-DC7),(Simulador!$G$28*(1-Simulador!$G$39)*(DD7-DC7))))</f>
        <v>#DIV/0!</v>
      </c>
      <c r="DE22" s="62" t="e">
        <f>IF(IF(DE7&gt;Simulador!$G$10,Simulador!$G$28*(DE7-DD7),(Simulador!$G$28*(1-Simulador!$G$39)*(DE7-DD7)))&lt;0,0,IF(DE7&gt;Simulador!$G$10,Simulador!$G$28*(DE7-DD7),(Simulador!$G$28*(1-Simulador!$G$39)*(DE7-DD7))))</f>
        <v>#DIV/0!</v>
      </c>
      <c r="DF22" s="62" t="e">
        <f>IF(IF(DF7&gt;Simulador!$G$10,Simulador!$G$28*(DF7-DE7),(Simulador!$G$28*(1-Simulador!$G$39)*(DF7-DE7)))&lt;0,0,IF(DF7&gt;Simulador!$G$10,Simulador!$G$28*(DF7-DE7),(Simulador!$G$28*(1-Simulador!$G$39)*(DF7-DE7))))</f>
        <v>#DIV/0!</v>
      </c>
      <c r="DG22" s="62" t="e">
        <f>IF(IF(DG7&gt;Simulador!$G$10,Simulador!$G$28*(DG7-DF7),(Simulador!$G$28*(1-Simulador!$G$39)*(DG7-DF7)))&lt;0,0,IF(DG7&gt;Simulador!$G$10,Simulador!$G$28*(DG7-DF7),(Simulador!$G$28*(1-Simulador!$G$39)*(DG7-DF7))))</f>
        <v>#DIV/0!</v>
      </c>
      <c r="DH22" s="62" t="e">
        <f>IF(IF(DH7&gt;Simulador!$G$10,Simulador!$G$28*(DH7-DG7),(Simulador!$G$28*(1-Simulador!$G$39)*(DH7-DG7)))&lt;0,0,IF(DH7&gt;Simulador!$G$10,Simulador!$G$28*(DH7-DG7),(Simulador!$G$28*(1-Simulador!$G$39)*(DH7-DG7))))</f>
        <v>#DIV/0!</v>
      </c>
      <c r="DI22" s="62" t="e">
        <f>IF(IF(DI7&gt;Simulador!$G$10,Simulador!$G$28*(DI7-DH7),(Simulador!$G$28*(1-Simulador!$G$39)*(DI7-DH7)))&lt;0,0,IF(DI7&gt;Simulador!$G$10,Simulador!$G$28*(DI7-DH7),(Simulador!$G$28*(1-Simulador!$G$39)*(DI7-DH7))))</f>
        <v>#DIV/0!</v>
      </c>
      <c r="DJ22" s="62" t="e">
        <f>IF(IF(DJ7&gt;Simulador!$G$10,Simulador!$G$28*(DJ7-DI7),(Simulador!$G$28*(1-Simulador!$G$39)*(DJ7-DI7)))&lt;0,0,IF(DJ7&gt;Simulador!$G$10,Simulador!$G$28*(DJ7-DI7),(Simulador!$G$28*(1-Simulador!$G$39)*(DJ7-DI7))))</f>
        <v>#DIV/0!</v>
      </c>
      <c r="DK22" s="62" t="e">
        <f>IF(IF(DK7&gt;Simulador!$G$10,Simulador!$G$28*(DK7-DJ7),(Simulador!$G$28*(1-Simulador!$G$39)*(DK7-DJ7)))&lt;0,0,IF(DK7&gt;Simulador!$G$10,Simulador!$G$28*(DK7-DJ7),(Simulador!$G$28*(1-Simulador!$G$39)*(DK7-DJ7))))</f>
        <v>#DIV/0!</v>
      </c>
      <c r="DL22" s="62" t="e">
        <f>IF(IF(DL7&gt;Simulador!$G$10,Simulador!$G$28*(DL7-DK7),(Simulador!$G$28*(1-Simulador!$G$39)*(DL7-DK7)))&lt;0,0,IF(DL7&gt;Simulador!$G$10,Simulador!$G$28*(DL7-DK7),(Simulador!$G$28*(1-Simulador!$G$39)*(DL7-DK7))))</f>
        <v>#DIV/0!</v>
      </c>
      <c r="DM22" s="62" t="e">
        <f>IF(IF(DM7&gt;Simulador!$G$10,Simulador!$G$28*(DM7-DL7),(Simulador!$G$28*(1-Simulador!$G$39)*(DM7-DL7)))&lt;0,0,IF(DM7&gt;Simulador!$G$10,Simulador!$G$28*(DM7-DL7),(Simulador!$G$28*(1-Simulador!$G$39)*(DM7-DL7))))</f>
        <v>#DIV/0!</v>
      </c>
      <c r="DN22" s="62" t="e">
        <f>IF(IF(DN7&gt;Simulador!$G$10,Simulador!$G$28*(DN7-DM7),(Simulador!$G$28*(1-Simulador!$G$39)*(DN7-DM7)))&lt;0,0,IF(DN7&gt;Simulador!$G$10,Simulador!$G$28*(DN7-DM7),(Simulador!$G$28*(1-Simulador!$G$39)*(DN7-DM7))))</f>
        <v>#DIV/0!</v>
      </c>
      <c r="DO22" s="62" t="e">
        <f>IF(IF(DO7&gt;Simulador!$G$10,Simulador!$G$28*(DO7-DN7),(Simulador!$G$28*(1-Simulador!$G$39)*(DO7-DN7)))&lt;0,0,IF(DO7&gt;Simulador!$G$10,Simulador!$G$28*(DO7-DN7),(Simulador!$G$28*(1-Simulador!$G$39)*(DO7-DN7))))</f>
        <v>#DIV/0!</v>
      </c>
      <c r="DP22" s="62" t="e">
        <f>IF(IF(DP7&gt;Simulador!$G$10,Simulador!$G$28*(DP7-DO7),(Simulador!$G$28*(1-Simulador!$G$39)*(DP7-DO7)))&lt;0,0,IF(DP7&gt;Simulador!$G$10,Simulador!$G$28*(DP7-DO7),(Simulador!$G$28*(1-Simulador!$G$39)*(DP7-DO7))))</f>
        <v>#DIV/0!</v>
      </c>
      <c r="DQ22" s="62" t="e">
        <f>IF(IF(DQ7&gt;Simulador!$G$10,Simulador!$G$28*(DQ7-DP7),(Simulador!$G$28*(1-Simulador!$G$39)*(DQ7-DP7)))&lt;0,0,IF(DQ7&gt;Simulador!$G$10,Simulador!$G$28*(DQ7-DP7),(Simulador!$G$28*(1-Simulador!$G$39)*(DQ7-DP7))))</f>
        <v>#DIV/0!</v>
      </c>
      <c r="DR22" s="62" t="e">
        <f>IF(IF(DR7&gt;Simulador!$G$10,Simulador!$G$28*(DR7-DQ7),(Simulador!$G$28*(1-Simulador!$G$39)*(DR7-DQ7)))&lt;0,0,IF(DR7&gt;Simulador!$G$10,Simulador!$G$28*(DR7-DQ7),(Simulador!$G$28*(1-Simulador!$G$39)*(DR7-DQ7))))</f>
        <v>#DIV/0!</v>
      </c>
      <c r="DS22" s="62" t="e">
        <f>IF(IF(DS7&gt;Simulador!$G$10,Simulador!$G$28*(DS7-DR7),(Simulador!$G$28*(1-Simulador!$G$39)*(DS7-DR7)))&lt;0,0,IF(DS7&gt;Simulador!$G$10,Simulador!$G$28*(DS7-DR7),(Simulador!$G$28*(1-Simulador!$G$39)*(DS7-DR7))))</f>
        <v>#DIV/0!</v>
      </c>
      <c r="DT22" s="62" t="e">
        <f>IF(IF(DT7&gt;Simulador!$G$10,Simulador!$G$28*(DT7-DS7),(Simulador!$G$28*(1-Simulador!$G$39)*(DT7-DS7)))&lt;0,0,IF(DT7&gt;Simulador!$G$10,Simulador!$G$28*(DT7-DS7),(Simulador!$G$28*(1-Simulador!$G$39)*(DT7-DS7))))</f>
        <v>#DIV/0!</v>
      </c>
      <c r="DU22" s="62" t="e">
        <f>IF(IF(DU7&gt;Simulador!$G$10,Simulador!$G$28*(DU7-DT7),(Simulador!$G$28*(1-Simulador!$G$39)*(DU7-DT7)))&lt;0,0,IF(DU7&gt;Simulador!$G$10,Simulador!$G$28*(DU7-DT7),(Simulador!$G$28*(1-Simulador!$G$39)*(DU7-DT7))))</f>
        <v>#DIV/0!</v>
      </c>
      <c r="DV22" s="62" t="e">
        <f>IF(IF(DV7&gt;Simulador!$G$10,Simulador!$G$28*(DV7-DU7),(Simulador!$G$28*(1-Simulador!$G$39)*(DV7-DU7)))&lt;0,0,IF(DV7&gt;Simulador!$G$10,Simulador!$G$28*(DV7-DU7),(Simulador!$G$28*(1-Simulador!$G$39)*(DV7-DU7))))</f>
        <v>#DIV/0!</v>
      </c>
      <c r="DW22" s="62" t="e">
        <f>IF(IF(DW7&gt;Simulador!$G$10,Simulador!$G$28*(DW7-DV7),(Simulador!$G$28*(1-Simulador!$G$39)*(DW7-DV7)))&lt;0,0,IF(DW7&gt;Simulador!$G$10,Simulador!$G$28*(DW7-DV7),(Simulador!$G$28*(1-Simulador!$G$39)*(DW7-DV7))))</f>
        <v>#DIV/0!</v>
      </c>
      <c r="DX22" s="62" t="e">
        <f>IF(IF(DX7&gt;Simulador!$G$10,Simulador!$G$28*(DX7-DW7),(Simulador!$G$28*(1-Simulador!$G$39)*(DX7-DW7)))&lt;0,0,IF(DX7&gt;Simulador!$G$10,Simulador!$G$28*(DX7-DW7),(Simulador!$G$28*(1-Simulador!$G$39)*(DX7-DW7))))</f>
        <v>#DIV/0!</v>
      </c>
      <c r="DY22" s="62" t="e">
        <f>IF(IF(DY7&gt;Simulador!$G$10,Simulador!$G$28*(DY7-DX7),(Simulador!$G$28*(1-Simulador!$G$39)*(DY7-DX7)))&lt;0,0,IF(DY7&gt;Simulador!$G$10,Simulador!$G$28*(DY7-DX7),(Simulador!$G$28*(1-Simulador!$G$39)*(DY7-DX7))))</f>
        <v>#DIV/0!</v>
      </c>
      <c r="DZ22" s="62" t="e">
        <f>IF(IF(DZ7&gt;Simulador!$G$10,Simulador!$G$28*(DZ7-DY7),(Simulador!$G$28*(1-Simulador!$G$39)*(DZ7-DY7)))&lt;0,0,IF(DZ7&gt;Simulador!$G$10,Simulador!$G$28*(DZ7-DY7),(Simulador!$G$28*(1-Simulador!$G$39)*(DZ7-DY7))))</f>
        <v>#DIV/0!</v>
      </c>
      <c r="EA22" s="62" t="e">
        <f>IF(IF(EA7&gt;Simulador!$G$10,Simulador!$G$28*(EA7-DZ7),(Simulador!$G$28*(1-Simulador!$G$39)*(EA7-DZ7)))&lt;0,0,IF(EA7&gt;Simulador!$G$10,Simulador!$G$28*(EA7-DZ7),(Simulador!$G$28*(1-Simulador!$G$39)*(EA7-DZ7))))</f>
        <v>#DIV/0!</v>
      </c>
      <c r="EB22" s="62" t="e">
        <f>IF(IF(EB7&gt;Simulador!$G$10,Simulador!$G$28*(EB7-EA7),(Simulador!$G$28*(1-Simulador!$G$39)*(EB7-EA7)))&lt;0,0,IF(EB7&gt;Simulador!$G$10,Simulador!$G$28*(EB7-EA7),(Simulador!$G$28*(1-Simulador!$G$39)*(EB7-EA7))))</f>
        <v>#DIV/0!</v>
      </c>
      <c r="EC22" s="62" t="e">
        <f>IF(IF(EC7&gt;Simulador!$G$10,Simulador!$G$28*(EC7-EB7),(Simulador!$G$28*(1-Simulador!$G$39)*(EC7-EB7)))&lt;0,0,IF(EC7&gt;Simulador!$G$10,Simulador!$G$28*(EC7-EB7),(Simulador!$G$28*(1-Simulador!$G$39)*(EC7-EB7))))</f>
        <v>#DIV/0!</v>
      </c>
      <c r="ED22" s="62" t="e">
        <f>IF(IF(ED7&gt;Simulador!$G$10,Simulador!$G$28*(ED7-EC7),(Simulador!$G$28*(1-Simulador!$G$39)*(ED7-EC7)))&lt;0,0,IF(ED7&gt;Simulador!$G$10,Simulador!$G$28*(ED7-EC7),(Simulador!$G$28*(1-Simulador!$G$39)*(ED7-EC7))))</f>
        <v>#DIV/0!</v>
      </c>
    </row>
    <row r="23" spans="2:134" ht="12.5" x14ac:dyDescent="0.25">
      <c r="B23" s="46" t="s">
        <v>196</v>
      </c>
      <c r="C23" s="53"/>
      <c r="D23" s="62">
        <f t="shared" ref="D23:H23" si="22">SUMIFS($O23:$BV23,$O$4:$BV$4,D$3)</f>
        <v>3000</v>
      </c>
      <c r="E23" s="62">
        <f t="shared" si="22"/>
        <v>0</v>
      </c>
      <c r="F23" s="62">
        <f t="shared" si="22"/>
        <v>0</v>
      </c>
      <c r="G23" s="62">
        <f t="shared" si="22"/>
        <v>0</v>
      </c>
      <c r="H23" s="62">
        <f t="shared" si="22"/>
        <v>0</v>
      </c>
      <c r="I23" s="62">
        <f t="shared" ref="I23:M23" si="23">SUMIFS($O23:$ED23,$O$4:$ED$4,I$3)</f>
        <v>0</v>
      </c>
      <c r="J23" s="62">
        <f t="shared" si="23"/>
        <v>0</v>
      </c>
      <c r="K23" s="62">
        <f t="shared" si="23"/>
        <v>0</v>
      </c>
      <c r="L23" s="62">
        <f t="shared" si="23"/>
        <v>0</v>
      </c>
      <c r="M23" s="62">
        <f t="shared" si="23"/>
        <v>0</v>
      </c>
      <c r="N23" s="53"/>
      <c r="O23" s="62">
        <f>IF(Simulador!$G$41=TRUE,0,Simulador!$G$32)</f>
        <v>3000</v>
      </c>
      <c r="P23" s="62">
        <v>0</v>
      </c>
      <c r="Q23" s="62">
        <f t="shared" ref="Q23:ED23" si="24">P23</f>
        <v>0</v>
      </c>
      <c r="R23" s="62">
        <f t="shared" si="24"/>
        <v>0</v>
      </c>
      <c r="S23" s="62">
        <f t="shared" si="24"/>
        <v>0</v>
      </c>
      <c r="T23" s="62">
        <f t="shared" si="24"/>
        <v>0</v>
      </c>
      <c r="U23" s="62">
        <f t="shared" si="24"/>
        <v>0</v>
      </c>
      <c r="V23" s="62">
        <f t="shared" si="24"/>
        <v>0</v>
      </c>
      <c r="W23" s="62">
        <f t="shared" si="24"/>
        <v>0</v>
      </c>
      <c r="X23" s="62">
        <f t="shared" si="24"/>
        <v>0</v>
      </c>
      <c r="Y23" s="62">
        <f t="shared" si="24"/>
        <v>0</v>
      </c>
      <c r="Z23" s="62">
        <f t="shared" si="24"/>
        <v>0</v>
      </c>
      <c r="AA23" s="62">
        <f t="shared" si="24"/>
        <v>0</v>
      </c>
      <c r="AB23" s="62">
        <f t="shared" si="24"/>
        <v>0</v>
      </c>
      <c r="AC23" s="62">
        <f t="shared" si="24"/>
        <v>0</v>
      </c>
      <c r="AD23" s="62">
        <f t="shared" si="24"/>
        <v>0</v>
      </c>
      <c r="AE23" s="62">
        <f t="shared" si="24"/>
        <v>0</v>
      </c>
      <c r="AF23" s="62">
        <f t="shared" si="24"/>
        <v>0</v>
      </c>
      <c r="AG23" s="62">
        <f t="shared" si="24"/>
        <v>0</v>
      </c>
      <c r="AH23" s="62">
        <f t="shared" si="24"/>
        <v>0</v>
      </c>
      <c r="AI23" s="62">
        <f t="shared" si="24"/>
        <v>0</v>
      </c>
      <c r="AJ23" s="62">
        <f t="shared" si="24"/>
        <v>0</v>
      </c>
      <c r="AK23" s="62">
        <f t="shared" si="24"/>
        <v>0</v>
      </c>
      <c r="AL23" s="62">
        <f t="shared" si="24"/>
        <v>0</v>
      </c>
      <c r="AM23" s="62">
        <f t="shared" si="24"/>
        <v>0</v>
      </c>
      <c r="AN23" s="62">
        <f t="shared" si="24"/>
        <v>0</v>
      </c>
      <c r="AO23" s="62">
        <f t="shared" si="24"/>
        <v>0</v>
      </c>
      <c r="AP23" s="62">
        <f t="shared" si="24"/>
        <v>0</v>
      </c>
      <c r="AQ23" s="62">
        <f t="shared" si="24"/>
        <v>0</v>
      </c>
      <c r="AR23" s="62">
        <f t="shared" si="24"/>
        <v>0</v>
      </c>
      <c r="AS23" s="62">
        <f t="shared" si="24"/>
        <v>0</v>
      </c>
      <c r="AT23" s="62">
        <f t="shared" si="24"/>
        <v>0</v>
      </c>
      <c r="AU23" s="62">
        <f t="shared" si="24"/>
        <v>0</v>
      </c>
      <c r="AV23" s="62">
        <f t="shared" si="24"/>
        <v>0</v>
      </c>
      <c r="AW23" s="62">
        <f t="shared" si="24"/>
        <v>0</v>
      </c>
      <c r="AX23" s="62">
        <f t="shared" si="24"/>
        <v>0</v>
      </c>
      <c r="AY23" s="62">
        <f t="shared" si="24"/>
        <v>0</v>
      </c>
      <c r="AZ23" s="62">
        <f t="shared" si="24"/>
        <v>0</v>
      </c>
      <c r="BA23" s="62">
        <f t="shared" si="24"/>
        <v>0</v>
      </c>
      <c r="BB23" s="62">
        <f t="shared" si="24"/>
        <v>0</v>
      </c>
      <c r="BC23" s="62">
        <f t="shared" si="24"/>
        <v>0</v>
      </c>
      <c r="BD23" s="62">
        <f t="shared" si="24"/>
        <v>0</v>
      </c>
      <c r="BE23" s="62">
        <f t="shared" si="24"/>
        <v>0</v>
      </c>
      <c r="BF23" s="62">
        <f t="shared" si="24"/>
        <v>0</v>
      </c>
      <c r="BG23" s="62">
        <f t="shared" si="24"/>
        <v>0</v>
      </c>
      <c r="BH23" s="62">
        <f t="shared" si="24"/>
        <v>0</v>
      </c>
      <c r="BI23" s="62">
        <f t="shared" si="24"/>
        <v>0</v>
      </c>
      <c r="BJ23" s="62">
        <f t="shared" si="24"/>
        <v>0</v>
      </c>
      <c r="BK23" s="62">
        <f t="shared" si="24"/>
        <v>0</v>
      </c>
      <c r="BL23" s="62">
        <f t="shared" si="24"/>
        <v>0</v>
      </c>
      <c r="BM23" s="62">
        <f t="shared" si="24"/>
        <v>0</v>
      </c>
      <c r="BN23" s="62">
        <f t="shared" si="24"/>
        <v>0</v>
      </c>
      <c r="BO23" s="62">
        <f t="shared" si="24"/>
        <v>0</v>
      </c>
      <c r="BP23" s="62">
        <f t="shared" si="24"/>
        <v>0</v>
      </c>
      <c r="BQ23" s="62">
        <f t="shared" si="24"/>
        <v>0</v>
      </c>
      <c r="BR23" s="62">
        <f t="shared" si="24"/>
        <v>0</v>
      </c>
      <c r="BS23" s="62">
        <f t="shared" si="24"/>
        <v>0</v>
      </c>
      <c r="BT23" s="62">
        <f t="shared" si="24"/>
        <v>0</v>
      </c>
      <c r="BU23" s="62">
        <f t="shared" si="24"/>
        <v>0</v>
      </c>
      <c r="BV23" s="62">
        <f t="shared" si="24"/>
        <v>0</v>
      </c>
      <c r="BW23" s="62">
        <f t="shared" si="24"/>
        <v>0</v>
      </c>
      <c r="BX23" s="62">
        <f t="shared" si="24"/>
        <v>0</v>
      </c>
      <c r="BY23" s="62">
        <f t="shared" si="24"/>
        <v>0</v>
      </c>
      <c r="BZ23" s="62">
        <f t="shared" si="24"/>
        <v>0</v>
      </c>
      <c r="CA23" s="62">
        <f t="shared" si="24"/>
        <v>0</v>
      </c>
      <c r="CB23" s="62">
        <f t="shared" si="24"/>
        <v>0</v>
      </c>
      <c r="CC23" s="62">
        <f t="shared" si="24"/>
        <v>0</v>
      </c>
      <c r="CD23" s="62">
        <f t="shared" si="24"/>
        <v>0</v>
      </c>
      <c r="CE23" s="62">
        <f t="shared" si="24"/>
        <v>0</v>
      </c>
      <c r="CF23" s="62">
        <f t="shared" si="24"/>
        <v>0</v>
      </c>
      <c r="CG23" s="62">
        <f t="shared" si="24"/>
        <v>0</v>
      </c>
      <c r="CH23" s="62">
        <f t="shared" si="24"/>
        <v>0</v>
      </c>
      <c r="CI23" s="62">
        <f t="shared" si="24"/>
        <v>0</v>
      </c>
      <c r="CJ23" s="62">
        <f t="shared" si="24"/>
        <v>0</v>
      </c>
      <c r="CK23" s="62">
        <f t="shared" si="24"/>
        <v>0</v>
      </c>
      <c r="CL23" s="62">
        <f t="shared" si="24"/>
        <v>0</v>
      </c>
      <c r="CM23" s="62">
        <f t="shared" si="24"/>
        <v>0</v>
      </c>
      <c r="CN23" s="62">
        <f t="shared" si="24"/>
        <v>0</v>
      </c>
      <c r="CO23" s="62">
        <f t="shared" si="24"/>
        <v>0</v>
      </c>
      <c r="CP23" s="62">
        <f t="shared" si="24"/>
        <v>0</v>
      </c>
      <c r="CQ23" s="62">
        <f t="shared" si="24"/>
        <v>0</v>
      </c>
      <c r="CR23" s="62">
        <f t="shared" si="24"/>
        <v>0</v>
      </c>
      <c r="CS23" s="62">
        <f t="shared" si="24"/>
        <v>0</v>
      </c>
      <c r="CT23" s="62">
        <f t="shared" si="24"/>
        <v>0</v>
      </c>
      <c r="CU23" s="62">
        <f t="shared" si="24"/>
        <v>0</v>
      </c>
      <c r="CV23" s="62">
        <f t="shared" si="24"/>
        <v>0</v>
      </c>
      <c r="CW23" s="62">
        <f t="shared" si="24"/>
        <v>0</v>
      </c>
      <c r="CX23" s="62">
        <f t="shared" si="24"/>
        <v>0</v>
      </c>
      <c r="CY23" s="62">
        <f t="shared" si="24"/>
        <v>0</v>
      </c>
      <c r="CZ23" s="62">
        <f t="shared" si="24"/>
        <v>0</v>
      </c>
      <c r="DA23" s="62">
        <f t="shared" si="24"/>
        <v>0</v>
      </c>
      <c r="DB23" s="62">
        <f t="shared" si="24"/>
        <v>0</v>
      </c>
      <c r="DC23" s="62">
        <f t="shared" si="24"/>
        <v>0</v>
      </c>
      <c r="DD23" s="62">
        <f t="shared" si="24"/>
        <v>0</v>
      </c>
      <c r="DE23" s="62">
        <f t="shared" si="24"/>
        <v>0</v>
      </c>
      <c r="DF23" s="62">
        <f t="shared" si="24"/>
        <v>0</v>
      </c>
      <c r="DG23" s="62">
        <f t="shared" si="24"/>
        <v>0</v>
      </c>
      <c r="DH23" s="62">
        <f t="shared" si="24"/>
        <v>0</v>
      </c>
      <c r="DI23" s="62">
        <f t="shared" si="24"/>
        <v>0</v>
      </c>
      <c r="DJ23" s="62">
        <f t="shared" si="24"/>
        <v>0</v>
      </c>
      <c r="DK23" s="62">
        <f t="shared" si="24"/>
        <v>0</v>
      </c>
      <c r="DL23" s="62">
        <f t="shared" si="24"/>
        <v>0</v>
      </c>
      <c r="DM23" s="62">
        <f t="shared" si="24"/>
        <v>0</v>
      </c>
      <c r="DN23" s="62">
        <f t="shared" si="24"/>
        <v>0</v>
      </c>
      <c r="DO23" s="62">
        <f t="shared" si="24"/>
        <v>0</v>
      </c>
      <c r="DP23" s="62">
        <f t="shared" si="24"/>
        <v>0</v>
      </c>
      <c r="DQ23" s="62">
        <f t="shared" si="24"/>
        <v>0</v>
      </c>
      <c r="DR23" s="62">
        <f t="shared" si="24"/>
        <v>0</v>
      </c>
      <c r="DS23" s="62">
        <f t="shared" si="24"/>
        <v>0</v>
      </c>
      <c r="DT23" s="62">
        <f t="shared" si="24"/>
        <v>0</v>
      </c>
      <c r="DU23" s="62">
        <f t="shared" si="24"/>
        <v>0</v>
      </c>
      <c r="DV23" s="62">
        <f t="shared" si="24"/>
        <v>0</v>
      </c>
      <c r="DW23" s="62">
        <f t="shared" si="24"/>
        <v>0</v>
      </c>
      <c r="DX23" s="62">
        <f t="shared" si="24"/>
        <v>0</v>
      </c>
      <c r="DY23" s="62">
        <f t="shared" si="24"/>
        <v>0</v>
      </c>
      <c r="DZ23" s="62">
        <f t="shared" si="24"/>
        <v>0</v>
      </c>
      <c r="EA23" s="62">
        <f t="shared" si="24"/>
        <v>0</v>
      </c>
      <c r="EB23" s="62">
        <f t="shared" si="24"/>
        <v>0</v>
      </c>
      <c r="EC23" s="62">
        <f t="shared" si="24"/>
        <v>0</v>
      </c>
      <c r="ED23" s="62">
        <f t="shared" si="24"/>
        <v>0</v>
      </c>
    </row>
    <row r="24" spans="2:134" ht="13" x14ac:dyDescent="0.3">
      <c r="B24" s="38" t="s">
        <v>197</v>
      </c>
      <c r="C24" s="53"/>
      <c r="D24" s="67">
        <f t="shared" ref="D24:H24" si="25">SUMIFS($O24:$BV24,$O$4:$BV$4,D$3)</f>
        <v>0</v>
      </c>
      <c r="E24" s="67">
        <f t="shared" si="25"/>
        <v>0</v>
      </c>
      <c r="F24" s="67">
        <f t="shared" si="25"/>
        <v>0</v>
      </c>
      <c r="G24" s="67">
        <f t="shared" si="25"/>
        <v>0</v>
      </c>
      <c r="H24" s="67">
        <f t="shared" si="25"/>
        <v>0</v>
      </c>
      <c r="I24" s="67">
        <f t="shared" ref="I24:M24" si="26">SUMIFS($O24:$ED24,$O$4:$ED$4,I$3)</f>
        <v>0</v>
      </c>
      <c r="J24" s="67">
        <f t="shared" si="26"/>
        <v>0</v>
      </c>
      <c r="K24" s="67">
        <f t="shared" si="26"/>
        <v>0</v>
      </c>
      <c r="L24" s="67">
        <f t="shared" si="26"/>
        <v>0</v>
      </c>
      <c r="M24" s="67">
        <f t="shared" si="26"/>
        <v>0</v>
      </c>
      <c r="N24" s="53"/>
      <c r="O24" s="62">
        <v>0</v>
      </c>
      <c r="P24" s="62">
        <f>IF(P1&lt;=Simulador!$G$45,Simulador!$G$44*-SUM(P19),0)</f>
        <v>0</v>
      </c>
      <c r="Q24" s="62">
        <f>IF(Q1&lt;=Simulador!$G$45,Simulador!$G$44*-SUM(Q19),0)</f>
        <v>0</v>
      </c>
      <c r="R24" s="62">
        <f>IF(R1&lt;=Simulador!$G$45,Simulador!$G$44*-SUM(R19),0)</f>
        <v>0</v>
      </c>
      <c r="S24" s="62">
        <f>IF(S1&lt;=Simulador!$G$45,Simulador!$G$44*-SUM(S19),0)</f>
        <v>0</v>
      </c>
      <c r="T24" s="62">
        <f>IF(T1&lt;=Simulador!$G$45,Simulador!$G$44*-SUM(T19),0)</f>
        <v>0</v>
      </c>
      <c r="U24" s="62">
        <f>IF(U1&lt;=Simulador!$G$45,Simulador!$G$44*-SUM(U19),0)</f>
        <v>0</v>
      </c>
      <c r="V24" s="62">
        <f>IF(V1&lt;=Simulador!$G$45,Simulador!$G$44*-SUM(V19),0)</f>
        <v>0</v>
      </c>
      <c r="W24" s="62">
        <f>IF(W1&lt;=Simulador!$G$45,Simulador!$G$44*-SUM(W19),0)</f>
        <v>0</v>
      </c>
      <c r="X24" s="62">
        <f>IF(X1&lt;=Simulador!$G$45,Simulador!$G$44*-SUM(X19),0)</f>
        <v>0</v>
      </c>
      <c r="Y24" s="62">
        <f>IF(Y1&lt;=Simulador!$G$45,Simulador!$G$44*-SUM(Y19),0)</f>
        <v>0</v>
      </c>
      <c r="Z24" s="62">
        <f>IF(Z1&lt;=Simulador!$G$45,Simulador!$G$44*-SUM(Z19),0)</f>
        <v>0</v>
      </c>
      <c r="AA24" s="62">
        <f>IF(AA1&lt;=Simulador!$G$45,Simulador!$G$44*-SUM(AA19),0)</f>
        <v>0</v>
      </c>
      <c r="AB24" s="62">
        <f>IF(AB1&lt;=Simulador!$G$45,Simulador!$G$44*-SUM(AB19),0)</f>
        <v>0</v>
      </c>
      <c r="AC24" s="62">
        <f>IF(AC1&lt;=Simulador!$G$45,Simulador!$G$44*-SUM(AC19),0)</f>
        <v>0</v>
      </c>
      <c r="AD24" s="62">
        <f>IF(AD1&lt;=Simulador!$G$45,Simulador!$G$44*-SUM(AD19),0)</f>
        <v>0</v>
      </c>
      <c r="AE24" s="62">
        <f>IF(AE1&lt;=Simulador!$G$45,Simulador!$G$44*-SUM(AE19),0)</f>
        <v>0</v>
      </c>
      <c r="AF24" s="62">
        <f>IF(AF1&lt;=Simulador!$G$45,Simulador!$G$44*-SUM(AF19),0)</f>
        <v>0</v>
      </c>
      <c r="AG24" s="62">
        <f>IF(AG1&lt;=Simulador!$G$45,Simulador!$G$44*-SUM(AG19),0)</f>
        <v>0</v>
      </c>
      <c r="AH24" s="62">
        <f>IF(AH1&lt;=Simulador!$G$45,Simulador!$G$44*-SUM(AH19),0)</f>
        <v>0</v>
      </c>
      <c r="AI24" s="62">
        <f>IF(AI1&lt;=Simulador!$G$45,Simulador!$G$44*-SUM(AI19),0)</f>
        <v>0</v>
      </c>
      <c r="AJ24" s="62">
        <f>IF(AJ1&lt;=Simulador!$G$45,Simulador!$G$44*-SUM(AJ19),0)</f>
        <v>0</v>
      </c>
      <c r="AK24" s="62">
        <f>IF(AK1&lt;=Simulador!$G$45,Simulador!$G$44*-SUM(AK19),0)</f>
        <v>0</v>
      </c>
      <c r="AL24" s="62">
        <f>IF(AL1&lt;=Simulador!$G$45,Simulador!$G$44*-SUM(AL19),0)</f>
        <v>0</v>
      </c>
      <c r="AM24" s="62">
        <f>IF(AM1&lt;=Simulador!$G$45,Simulador!$G$44*-SUM(AM19),0)</f>
        <v>0</v>
      </c>
      <c r="AN24" s="62">
        <f>IF(AN1&lt;=Simulador!$G$45,Simulador!$G$44*-SUM(AN19),0)</f>
        <v>0</v>
      </c>
      <c r="AO24" s="62">
        <f>IF(AO1&lt;=Simulador!$G$45,Simulador!$G$44*-SUM(AO19),0)</f>
        <v>0</v>
      </c>
      <c r="AP24" s="62">
        <f>IF(AP1&lt;=Simulador!$G$45,Simulador!$G$44*-SUM(AP19),0)</f>
        <v>0</v>
      </c>
      <c r="AQ24" s="62">
        <f>IF(AQ1&lt;=Simulador!$G$45,Simulador!$G$44*-SUM(AQ19),0)</f>
        <v>0</v>
      </c>
      <c r="AR24" s="62">
        <f>IF(AR1&lt;=Simulador!$G$45,Simulador!$G$44*-SUM(AR19),0)</f>
        <v>0</v>
      </c>
      <c r="AS24" s="62">
        <f>IF(AS1&lt;=Simulador!$G$45,Simulador!$G$44*-SUM(AS19),0)</f>
        <v>0</v>
      </c>
      <c r="AT24" s="62">
        <f>IF(AT1&lt;=Simulador!$G$45,Simulador!$G$44*-SUM(AT19),0)</f>
        <v>0</v>
      </c>
      <c r="AU24" s="62">
        <f>IF(AU1&lt;=Simulador!$G$45,Simulador!$G$44*-SUM(AU19),0)</f>
        <v>0</v>
      </c>
      <c r="AV24" s="62">
        <f>IF(AV1&lt;=Simulador!$G$45,Simulador!$G$44*-SUM(AV19),0)</f>
        <v>0</v>
      </c>
      <c r="AW24" s="62">
        <f>IF(AW1&lt;=Simulador!$G$45,Simulador!$G$44*-SUM(AW19),0)</f>
        <v>0</v>
      </c>
      <c r="AX24" s="62">
        <f>IF(AX1&lt;=Simulador!$G$45,Simulador!$G$44*-SUM(AX19),0)</f>
        <v>0</v>
      </c>
      <c r="AY24" s="62">
        <f>IF(AY1&lt;=Simulador!$G$45,Simulador!$G$44*-SUM(AY19),0)</f>
        <v>0</v>
      </c>
      <c r="AZ24" s="62">
        <f>IF(AZ1&lt;=Simulador!$G$45,Simulador!$G$44*-SUM(AZ19),0)</f>
        <v>0</v>
      </c>
      <c r="BA24" s="62">
        <f>IF(BA1&lt;=Simulador!$G$45,Simulador!$G$44*-SUM(BA19),0)</f>
        <v>0</v>
      </c>
      <c r="BB24" s="62">
        <f>IF(BB1&lt;=Simulador!$G$45,Simulador!$G$44*-SUM(BB19),0)</f>
        <v>0</v>
      </c>
      <c r="BC24" s="62">
        <f>IF(BC1&lt;=Simulador!$G$45,Simulador!$G$44*-SUM(BC19),0)</f>
        <v>0</v>
      </c>
      <c r="BD24" s="62">
        <f>IF(BD1&lt;=Simulador!$G$45,Simulador!$G$44*-SUM(BD19),0)</f>
        <v>0</v>
      </c>
      <c r="BE24" s="62">
        <f>IF(BE1&lt;=Simulador!$G$45,Simulador!$G$44*-SUM(BE19),0)</f>
        <v>0</v>
      </c>
      <c r="BF24" s="62">
        <f>IF(BF1&lt;=Simulador!$G$45,Simulador!$G$44*-SUM(BF19),0)</f>
        <v>0</v>
      </c>
      <c r="BG24" s="62">
        <f>IF(BG1&lt;=Simulador!$G$45,Simulador!$G$44*-SUM(BG19),0)</f>
        <v>0</v>
      </c>
      <c r="BH24" s="62">
        <f>IF(BH1&lt;=Simulador!$G$45,Simulador!$G$44*-SUM(BH19),0)</f>
        <v>0</v>
      </c>
      <c r="BI24" s="62">
        <f>IF(BI1&lt;=Simulador!$G$45,Simulador!$G$44*-SUM(BI19),0)</f>
        <v>0</v>
      </c>
      <c r="BJ24" s="62">
        <f>IF(BJ1&lt;=Simulador!$G$45,Simulador!$G$44*-SUM(BJ19),0)</f>
        <v>0</v>
      </c>
      <c r="BK24" s="62">
        <f>IF(BK1&lt;=Simulador!$G$45,Simulador!$G$44*-SUM(BK19),0)</f>
        <v>0</v>
      </c>
      <c r="BL24" s="62">
        <f>IF(BL1&lt;=Simulador!$G$45,Simulador!$G$44*-SUM(BL19),0)</f>
        <v>0</v>
      </c>
      <c r="BM24" s="62">
        <f>IF(BM1&lt;=Simulador!$G$45,Simulador!$G$44*-SUM(BM19),0)</f>
        <v>0</v>
      </c>
      <c r="BN24" s="62">
        <f>IF(BN1&lt;=Simulador!$G$45,Simulador!$G$44*-SUM(BN19),0)</f>
        <v>0</v>
      </c>
      <c r="BO24" s="62">
        <f>IF(BO1&lt;=Simulador!$G$45,Simulador!$G$44*-SUM(BO19),0)</f>
        <v>0</v>
      </c>
      <c r="BP24" s="62">
        <f>IF(BP1&lt;=Simulador!$G$45,Simulador!$G$44*-SUM(BP19),0)</f>
        <v>0</v>
      </c>
      <c r="BQ24" s="62">
        <f>IF(BQ1&lt;=Simulador!$G$45,Simulador!$G$44*-SUM(BQ19),0)</f>
        <v>0</v>
      </c>
      <c r="BR24" s="62">
        <f>IF(BR1&lt;=Simulador!$G$45,Simulador!$G$44*-SUM(BR19),0)</f>
        <v>0</v>
      </c>
      <c r="BS24" s="62">
        <f>IF(BS1&lt;=Simulador!$G$45,Simulador!$G$44*-SUM(BS19),0)</f>
        <v>0</v>
      </c>
      <c r="BT24" s="62">
        <f>IF(BT1&lt;=Simulador!$G$45,Simulador!$G$44*-SUM(BT19),0)</f>
        <v>0</v>
      </c>
      <c r="BU24" s="62">
        <f>IF(BU1&lt;=Simulador!$G$45,Simulador!$G$44*-SUM(BU19),0)</f>
        <v>0</v>
      </c>
      <c r="BV24" s="62">
        <f>IF(BV1&lt;=Simulador!$G$45,Simulador!$G$44*-SUM(BV19),0)</f>
        <v>0</v>
      </c>
      <c r="BW24" s="62">
        <f>IF(BW1&lt;=Simulador!$G$45,Simulador!$G$44*-SUM(BW19),0)</f>
        <v>0</v>
      </c>
      <c r="BX24" s="62">
        <f>IF(BX1&lt;=Simulador!$G$45,Simulador!$G$44*-SUM(BX19),0)</f>
        <v>0</v>
      </c>
      <c r="BY24" s="62">
        <f>IF(BY1&lt;=Simulador!$G$45,Simulador!$G$44*-SUM(BY19),0)</f>
        <v>0</v>
      </c>
      <c r="BZ24" s="62">
        <f>IF(BZ1&lt;=Simulador!$G$45,Simulador!$G$44*-SUM(BZ19),0)</f>
        <v>0</v>
      </c>
      <c r="CA24" s="62">
        <f>IF(CA1&lt;=Simulador!$G$45,Simulador!$G$44*-SUM(CA19),0)</f>
        <v>0</v>
      </c>
      <c r="CB24" s="62">
        <f>IF(CB1&lt;=Simulador!$G$45,Simulador!$G$44*-SUM(CB19),0)</f>
        <v>0</v>
      </c>
      <c r="CC24" s="62">
        <f>IF(CC1&lt;=Simulador!$G$45,Simulador!$G$44*-SUM(CC19),0)</f>
        <v>0</v>
      </c>
      <c r="CD24" s="62">
        <f>IF(CD1&lt;=Simulador!$G$45,Simulador!$G$44*-SUM(CD19),0)</f>
        <v>0</v>
      </c>
      <c r="CE24" s="62">
        <f>IF(CE1&lt;=Simulador!$G$45,Simulador!$G$44*-SUM(CE19),0)</f>
        <v>0</v>
      </c>
      <c r="CF24" s="62">
        <f>IF(CF1&lt;=Simulador!$G$45,Simulador!$G$44*-SUM(CF19),0)</f>
        <v>0</v>
      </c>
      <c r="CG24" s="62">
        <f>IF(CG1&lt;=Simulador!$G$45,Simulador!$G$44*-SUM(CG19),0)</f>
        <v>0</v>
      </c>
      <c r="CH24" s="62">
        <f>IF(CH1&lt;=Simulador!$G$45,Simulador!$G$44*-SUM(CH19),0)</f>
        <v>0</v>
      </c>
      <c r="CI24" s="62">
        <f>IF(CI1&lt;=Simulador!$G$45,Simulador!$G$44*-SUM(CI19),0)</f>
        <v>0</v>
      </c>
      <c r="CJ24" s="62">
        <f>IF(CJ1&lt;=Simulador!$G$45,Simulador!$G$44*-SUM(CJ19),0)</f>
        <v>0</v>
      </c>
      <c r="CK24" s="62">
        <f>IF(CK1&lt;=Simulador!$G$45,Simulador!$G$44*-SUM(CK19),0)</f>
        <v>0</v>
      </c>
      <c r="CL24" s="62">
        <f>IF(CL1&lt;=Simulador!$G$45,Simulador!$G$44*-SUM(CL19),0)</f>
        <v>0</v>
      </c>
      <c r="CM24" s="62">
        <f>IF(CM1&lt;=Simulador!$G$45,Simulador!$G$44*-SUM(CM19),0)</f>
        <v>0</v>
      </c>
      <c r="CN24" s="62">
        <f>IF(CN1&lt;=Simulador!$G$45,Simulador!$G$44*-SUM(CN19),0)</f>
        <v>0</v>
      </c>
      <c r="CO24" s="62">
        <f>IF(CO1&lt;=Simulador!$G$45,Simulador!$G$44*-SUM(CO19),0)</f>
        <v>0</v>
      </c>
      <c r="CP24" s="62">
        <f>IF(CP1&lt;=Simulador!$G$45,Simulador!$G$44*-SUM(CP19),0)</f>
        <v>0</v>
      </c>
      <c r="CQ24" s="62">
        <f>IF(CQ1&lt;=Simulador!$G$45,Simulador!$G$44*-SUM(CQ19),0)</f>
        <v>0</v>
      </c>
      <c r="CR24" s="62">
        <f>IF(CR1&lt;=Simulador!$G$45,Simulador!$G$44*-SUM(CR19),0)</f>
        <v>0</v>
      </c>
      <c r="CS24" s="62">
        <f>IF(CS1&lt;=Simulador!$G$45,Simulador!$G$44*-SUM(CS19),0)</f>
        <v>0</v>
      </c>
      <c r="CT24" s="62">
        <f>IF(CT1&lt;=Simulador!$G$45,Simulador!$G$44*-SUM(CT19),0)</f>
        <v>0</v>
      </c>
      <c r="CU24" s="62">
        <f>IF(CU1&lt;=Simulador!$G$45,Simulador!$G$44*-SUM(CU19),0)</f>
        <v>0</v>
      </c>
      <c r="CV24" s="62">
        <f>IF(CV1&lt;=Simulador!$G$45,Simulador!$G$44*-SUM(CV19),0)</f>
        <v>0</v>
      </c>
      <c r="CW24" s="62">
        <f>IF(CW1&lt;=Simulador!$G$45,Simulador!$G$44*-SUM(CW19),0)</f>
        <v>0</v>
      </c>
      <c r="CX24" s="62">
        <f>IF(CX1&lt;=Simulador!$G$45,Simulador!$G$44*-SUM(CX19),0)</f>
        <v>0</v>
      </c>
      <c r="CY24" s="62">
        <f>IF(CY1&lt;=Simulador!$G$45,Simulador!$G$44*-SUM(CY19),0)</f>
        <v>0</v>
      </c>
      <c r="CZ24" s="62">
        <f>IF(CZ1&lt;=Simulador!$G$45,Simulador!$G$44*-SUM(CZ19),0)</f>
        <v>0</v>
      </c>
      <c r="DA24" s="62">
        <f>IF(DA1&lt;=Simulador!$G$45,Simulador!$G$44*-SUM(DA19),0)</f>
        <v>0</v>
      </c>
      <c r="DB24" s="62">
        <f>IF(DB1&lt;=Simulador!$G$45,Simulador!$G$44*-SUM(DB19),0)</f>
        <v>0</v>
      </c>
      <c r="DC24" s="62">
        <f>IF(DC1&lt;=Simulador!$G$45,Simulador!$G$44*-SUM(DC19),0)</f>
        <v>0</v>
      </c>
      <c r="DD24" s="62">
        <f>IF(DD1&lt;=Simulador!$G$45,Simulador!$G$44*-SUM(DD19),0)</f>
        <v>0</v>
      </c>
      <c r="DE24" s="62">
        <f>IF(DE1&lt;=Simulador!$G$45,Simulador!$G$44*-SUM(DE19),0)</f>
        <v>0</v>
      </c>
      <c r="DF24" s="62">
        <f>IF(DF1&lt;=Simulador!$G$45,Simulador!$G$44*-SUM(DF19),0)</f>
        <v>0</v>
      </c>
      <c r="DG24" s="62">
        <f>IF(DG1&lt;=Simulador!$G$45,Simulador!$G$44*-SUM(DG19),0)</f>
        <v>0</v>
      </c>
      <c r="DH24" s="62">
        <f>IF(DH1&lt;=Simulador!$G$45,Simulador!$G$44*-SUM(DH19),0)</f>
        <v>0</v>
      </c>
      <c r="DI24" s="62">
        <f>IF(DI1&lt;=Simulador!$G$45,Simulador!$G$44*-SUM(DI19),0)</f>
        <v>0</v>
      </c>
      <c r="DJ24" s="62">
        <f>IF(DJ1&lt;=Simulador!$G$45,Simulador!$G$44*-SUM(DJ19),0)</f>
        <v>0</v>
      </c>
      <c r="DK24" s="62">
        <f>IF(DK1&lt;=Simulador!$G$45,Simulador!$G$44*-SUM(DK19),0)</f>
        <v>0</v>
      </c>
      <c r="DL24" s="62">
        <f>IF(DL1&lt;=Simulador!$G$45,Simulador!$G$44*-SUM(DL19),0)</f>
        <v>0</v>
      </c>
      <c r="DM24" s="62">
        <f>IF(DM1&lt;=Simulador!$G$45,Simulador!$G$44*-SUM(DM19),0)</f>
        <v>0</v>
      </c>
      <c r="DN24" s="62">
        <f>IF(DN1&lt;=Simulador!$G$45,Simulador!$G$44*-SUM(DN19),0)</f>
        <v>0</v>
      </c>
      <c r="DO24" s="62">
        <f>IF(DO1&lt;=Simulador!$G$45,Simulador!$G$44*-SUM(DO19),0)</f>
        <v>0</v>
      </c>
      <c r="DP24" s="62">
        <f>IF(DP1&lt;=Simulador!$G$45,Simulador!$G$44*-SUM(DP19),0)</f>
        <v>0</v>
      </c>
      <c r="DQ24" s="62">
        <f>IF(DQ1&lt;=Simulador!$G$45,Simulador!$G$44*-SUM(DQ19),0)</f>
        <v>0</v>
      </c>
      <c r="DR24" s="62">
        <f>IF(DR1&lt;=Simulador!$G$45,Simulador!$G$44*-SUM(DR19),0)</f>
        <v>0</v>
      </c>
      <c r="DS24" s="62">
        <f>IF(DS1&lt;=Simulador!$G$45,Simulador!$G$44*-SUM(DS19),0)</f>
        <v>0</v>
      </c>
      <c r="DT24" s="62">
        <f>IF(DT1&lt;=Simulador!$G$45,Simulador!$G$44*-SUM(DT19),0)</f>
        <v>0</v>
      </c>
      <c r="DU24" s="62">
        <f>IF(DU1&lt;=Simulador!$G$45,Simulador!$G$44*-SUM(DU19),0)</f>
        <v>0</v>
      </c>
      <c r="DV24" s="62">
        <f>IF(DV1&lt;=Simulador!$G$45,Simulador!$G$44*-SUM(DV19),0)</f>
        <v>0</v>
      </c>
      <c r="DW24" s="62">
        <f>IF(DW1&lt;=Simulador!$G$45,Simulador!$G$44*-SUM(DW19),0)</f>
        <v>0</v>
      </c>
      <c r="DX24" s="62">
        <f>IF(DX1&lt;=Simulador!$G$45,Simulador!$G$44*-SUM(DX19),0)</f>
        <v>0</v>
      </c>
      <c r="DY24" s="62">
        <f>IF(DY1&lt;=Simulador!$G$45,Simulador!$G$44*-SUM(DY19),0)</f>
        <v>0</v>
      </c>
      <c r="DZ24" s="62">
        <f>IF(DZ1&lt;=Simulador!$G$45,Simulador!$G$44*-SUM(DZ19),0)</f>
        <v>0</v>
      </c>
      <c r="EA24" s="62">
        <f>IF(EA1&lt;=Simulador!$G$45,Simulador!$G$44*-SUM(EA19),0)</f>
        <v>0</v>
      </c>
      <c r="EB24" s="62">
        <f>IF(EB1&lt;=Simulador!$G$45,Simulador!$G$44*-SUM(EB19),0)</f>
        <v>0</v>
      </c>
      <c r="EC24" s="62">
        <f>IF(EC1&lt;=Simulador!$G$45,Simulador!$G$44*-SUM(EC19),0)</f>
        <v>0</v>
      </c>
      <c r="ED24" s="62">
        <f>IF(ED1&lt;=Simulador!$G$45,Simulador!$G$44*-SUM(ED19),0)</f>
        <v>0</v>
      </c>
    </row>
    <row r="25" spans="2:134" ht="12.5" x14ac:dyDescent="0.25">
      <c r="C25" s="53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53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</row>
    <row r="26" spans="2:134" ht="13" x14ac:dyDescent="0.3">
      <c r="B26" s="38" t="s">
        <v>198</v>
      </c>
      <c r="C26" s="53"/>
      <c r="D26" s="67" t="e">
        <f t="shared" ref="D26:H26" si="27">SUMIFS($O26:$BV26,$O$4:$BV$4,D$3)</f>
        <v>#DIV/0!</v>
      </c>
      <c r="E26" s="67" t="e">
        <f t="shared" si="27"/>
        <v>#DIV/0!</v>
      </c>
      <c r="F26" s="67" t="e">
        <f t="shared" si="27"/>
        <v>#DIV/0!</v>
      </c>
      <c r="G26" s="67" t="e">
        <f t="shared" si="27"/>
        <v>#DIV/0!</v>
      </c>
      <c r="H26" s="67" t="e">
        <f t="shared" si="27"/>
        <v>#DIV/0!</v>
      </c>
      <c r="I26" s="67" t="e">
        <f t="shared" ref="I26:M26" si="28">SUMIFS($O26:$ED26,$O$4:$ED$4,I$3)</f>
        <v>#DIV/0!</v>
      </c>
      <c r="J26" s="67" t="e">
        <f t="shared" si="28"/>
        <v>#DIV/0!</v>
      </c>
      <c r="K26" s="67" t="e">
        <f t="shared" si="28"/>
        <v>#DIV/0!</v>
      </c>
      <c r="L26" s="67" t="e">
        <f t="shared" si="28"/>
        <v>#DIV/0!</v>
      </c>
      <c r="M26" s="67" t="e">
        <f t="shared" si="28"/>
        <v>#DIV/0!</v>
      </c>
      <c r="N26" s="53"/>
      <c r="O26" s="38" t="e">
        <f t="shared" ref="O26:ED26" si="29">IF(ABS(O24)&lt;O18,O18+O24,0)</f>
        <v>#DIV/0!</v>
      </c>
      <c r="P26" s="38" t="e">
        <f t="shared" si="29"/>
        <v>#DIV/0!</v>
      </c>
      <c r="Q26" s="38" t="e">
        <f t="shared" si="29"/>
        <v>#DIV/0!</v>
      </c>
      <c r="R26" s="38" t="e">
        <f t="shared" si="29"/>
        <v>#DIV/0!</v>
      </c>
      <c r="S26" s="38" t="e">
        <f t="shared" si="29"/>
        <v>#DIV/0!</v>
      </c>
      <c r="T26" s="38" t="e">
        <f t="shared" si="29"/>
        <v>#DIV/0!</v>
      </c>
      <c r="U26" s="38" t="e">
        <f t="shared" si="29"/>
        <v>#DIV/0!</v>
      </c>
      <c r="V26" s="38" t="e">
        <f t="shared" si="29"/>
        <v>#DIV/0!</v>
      </c>
      <c r="W26" s="38" t="e">
        <f t="shared" si="29"/>
        <v>#DIV/0!</v>
      </c>
      <c r="X26" s="38" t="e">
        <f t="shared" si="29"/>
        <v>#DIV/0!</v>
      </c>
      <c r="Y26" s="38" t="e">
        <f t="shared" si="29"/>
        <v>#DIV/0!</v>
      </c>
      <c r="Z26" s="38" t="e">
        <f t="shared" si="29"/>
        <v>#DIV/0!</v>
      </c>
      <c r="AA26" s="38" t="e">
        <f t="shared" si="29"/>
        <v>#DIV/0!</v>
      </c>
      <c r="AB26" s="38" t="e">
        <f t="shared" si="29"/>
        <v>#DIV/0!</v>
      </c>
      <c r="AC26" s="38" t="e">
        <f t="shared" si="29"/>
        <v>#DIV/0!</v>
      </c>
      <c r="AD26" s="38" t="e">
        <f t="shared" si="29"/>
        <v>#DIV/0!</v>
      </c>
      <c r="AE26" s="38" t="e">
        <f t="shared" si="29"/>
        <v>#DIV/0!</v>
      </c>
      <c r="AF26" s="38" t="e">
        <f t="shared" si="29"/>
        <v>#DIV/0!</v>
      </c>
      <c r="AG26" s="38" t="e">
        <f t="shared" si="29"/>
        <v>#DIV/0!</v>
      </c>
      <c r="AH26" s="38" t="e">
        <f t="shared" si="29"/>
        <v>#DIV/0!</v>
      </c>
      <c r="AI26" s="38" t="e">
        <f t="shared" si="29"/>
        <v>#DIV/0!</v>
      </c>
      <c r="AJ26" s="38" t="e">
        <f t="shared" si="29"/>
        <v>#DIV/0!</v>
      </c>
      <c r="AK26" s="38" t="e">
        <f t="shared" si="29"/>
        <v>#DIV/0!</v>
      </c>
      <c r="AL26" s="38" t="e">
        <f t="shared" si="29"/>
        <v>#DIV/0!</v>
      </c>
      <c r="AM26" s="38" t="e">
        <f t="shared" si="29"/>
        <v>#DIV/0!</v>
      </c>
      <c r="AN26" s="38" t="e">
        <f t="shared" si="29"/>
        <v>#DIV/0!</v>
      </c>
      <c r="AO26" s="38" t="e">
        <f t="shared" si="29"/>
        <v>#DIV/0!</v>
      </c>
      <c r="AP26" s="38" t="e">
        <f t="shared" si="29"/>
        <v>#DIV/0!</v>
      </c>
      <c r="AQ26" s="38" t="e">
        <f t="shared" si="29"/>
        <v>#DIV/0!</v>
      </c>
      <c r="AR26" s="38" t="e">
        <f t="shared" si="29"/>
        <v>#DIV/0!</v>
      </c>
      <c r="AS26" s="38" t="e">
        <f t="shared" si="29"/>
        <v>#DIV/0!</v>
      </c>
      <c r="AT26" s="38" t="e">
        <f t="shared" si="29"/>
        <v>#DIV/0!</v>
      </c>
      <c r="AU26" s="38" t="e">
        <f t="shared" si="29"/>
        <v>#DIV/0!</v>
      </c>
      <c r="AV26" s="38" t="e">
        <f t="shared" si="29"/>
        <v>#DIV/0!</v>
      </c>
      <c r="AW26" s="38" t="e">
        <f t="shared" si="29"/>
        <v>#DIV/0!</v>
      </c>
      <c r="AX26" s="38" t="e">
        <f t="shared" si="29"/>
        <v>#DIV/0!</v>
      </c>
      <c r="AY26" s="38" t="e">
        <f t="shared" si="29"/>
        <v>#DIV/0!</v>
      </c>
      <c r="AZ26" s="38" t="e">
        <f t="shared" si="29"/>
        <v>#DIV/0!</v>
      </c>
      <c r="BA26" s="38" t="e">
        <f t="shared" si="29"/>
        <v>#DIV/0!</v>
      </c>
      <c r="BB26" s="38" t="e">
        <f t="shared" si="29"/>
        <v>#DIV/0!</v>
      </c>
      <c r="BC26" s="38" t="e">
        <f t="shared" si="29"/>
        <v>#DIV/0!</v>
      </c>
      <c r="BD26" s="38" t="e">
        <f t="shared" si="29"/>
        <v>#DIV/0!</v>
      </c>
      <c r="BE26" s="38" t="e">
        <f t="shared" si="29"/>
        <v>#DIV/0!</v>
      </c>
      <c r="BF26" s="38" t="e">
        <f t="shared" si="29"/>
        <v>#DIV/0!</v>
      </c>
      <c r="BG26" s="38" t="e">
        <f t="shared" si="29"/>
        <v>#DIV/0!</v>
      </c>
      <c r="BH26" s="38" t="e">
        <f t="shared" si="29"/>
        <v>#DIV/0!</v>
      </c>
      <c r="BI26" s="38" t="e">
        <f t="shared" si="29"/>
        <v>#DIV/0!</v>
      </c>
      <c r="BJ26" s="38" t="e">
        <f t="shared" si="29"/>
        <v>#DIV/0!</v>
      </c>
      <c r="BK26" s="38" t="e">
        <f t="shared" si="29"/>
        <v>#DIV/0!</v>
      </c>
      <c r="BL26" s="38" t="e">
        <f t="shared" si="29"/>
        <v>#DIV/0!</v>
      </c>
      <c r="BM26" s="38" t="e">
        <f t="shared" si="29"/>
        <v>#DIV/0!</v>
      </c>
      <c r="BN26" s="38" t="e">
        <f t="shared" si="29"/>
        <v>#DIV/0!</v>
      </c>
      <c r="BO26" s="38" t="e">
        <f t="shared" si="29"/>
        <v>#DIV/0!</v>
      </c>
      <c r="BP26" s="38" t="e">
        <f t="shared" si="29"/>
        <v>#DIV/0!</v>
      </c>
      <c r="BQ26" s="38" t="e">
        <f t="shared" si="29"/>
        <v>#DIV/0!</v>
      </c>
      <c r="BR26" s="38" t="e">
        <f t="shared" si="29"/>
        <v>#DIV/0!</v>
      </c>
      <c r="BS26" s="38" t="e">
        <f t="shared" si="29"/>
        <v>#DIV/0!</v>
      </c>
      <c r="BT26" s="38" t="e">
        <f t="shared" si="29"/>
        <v>#DIV/0!</v>
      </c>
      <c r="BU26" s="38" t="e">
        <f t="shared" si="29"/>
        <v>#DIV/0!</v>
      </c>
      <c r="BV26" s="38" t="e">
        <f t="shared" si="29"/>
        <v>#DIV/0!</v>
      </c>
      <c r="BW26" s="38" t="e">
        <f t="shared" si="29"/>
        <v>#DIV/0!</v>
      </c>
      <c r="BX26" s="38" t="e">
        <f t="shared" si="29"/>
        <v>#DIV/0!</v>
      </c>
      <c r="BY26" s="38" t="e">
        <f t="shared" si="29"/>
        <v>#DIV/0!</v>
      </c>
      <c r="BZ26" s="38" t="e">
        <f t="shared" si="29"/>
        <v>#DIV/0!</v>
      </c>
      <c r="CA26" s="38" t="e">
        <f t="shared" si="29"/>
        <v>#DIV/0!</v>
      </c>
      <c r="CB26" s="38" t="e">
        <f t="shared" si="29"/>
        <v>#DIV/0!</v>
      </c>
      <c r="CC26" s="38" t="e">
        <f t="shared" si="29"/>
        <v>#DIV/0!</v>
      </c>
      <c r="CD26" s="38" t="e">
        <f t="shared" si="29"/>
        <v>#DIV/0!</v>
      </c>
      <c r="CE26" s="38" t="e">
        <f t="shared" si="29"/>
        <v>#DIV/0!</v>
      </c>
      <c r="CF26" s="38" t="e">
        <f t="shared" si="29"/>
        <v>#DIV/0!</v>
      </c>
      <c r="CG26" s="38" t="e">
        <f t="shared" si="29"/>
        <v>#DIV/0!</v>
      </c>
      <c r="CH26" s="38" t="e">
        <f t="shared" si="29"/>
        <v>#DIV/0!</v>
      </c>
      <c r="CI26" s="38" t="e">
        <f t="shared" si="29"/>
        <v>#DIV/0!</v>
      </c>
      <c r="CJ26" s="38" t="e">
        <f t="shared" si="29"/>
        <v>#DIV/0!</v>
      </c>
      <c r="CK26" s="38" t="e">
        <f t="shared" si="29"/>
        <v>#DIV/0!</v>
      </c>
      <c r="CL26" s="38" t="e">
        <f t="shared" si="29"/>
        <v>#DIV/0!</v>
      </c>
      <c r="CM26" s="38" t="e">
        <f t="shared" si="29"/>
        <v>#DIV/0!</v>
      </c>
      <c r="CN26" s="38" t="e">
        <f t="shared" si="29"/>
        <v>#DIV/0!</v>
      </c>
      <c r="CO26" s="38" t="e">
        <f t="shared" si="29"/>
        <v>#DIV/0!</v>
      </c>
      <c r="CP26" s="38" t="e">
        <f t="shared" si="29"/>
        <v>#DIV/0!</v>
      </c>
      <c r="CQ26" s="38" t="e">
        <f t="shared" si="29"/>
        <v>#DIV/0!</v>
      </c>
      <c r="CR26" s="38" t="e">
        <f t="shared" si="29"/>
        <v>#DIV/0!</v>
      </c>
      <c r="CS26" s="38" t="e">
        <f t="shared" si="29"/>
        <v>#DIV/0!</v>
      </c>
      <c r="CT26" s="38" t="e">
        <f t="shared" si="29"/>
        <v>#DIV/0!</v>
      </c>
      <c r="CU26" s="38" t="e">
        <f t="shared" si="29"/>
        <v>#DIV/0!</v>
      </c>
      <c r="CV26" s="38" t="e">
        <f t="shared" si="29"/>
        <v>#DIV/0!</v>
      </c>
      <c r="CW26" s="38" t="e">
        <f t="shared" si="29"/>
        <v>#DIV/0!</v>
      </c>
      <c r="CX26" s="38" t="e">
        <f t="shared" si="29"/>
        <v>#DIV/0!</v>
      </c>
      <c r="CY26" s="38" t="e">
        <f t="shared" si="29"/>
        <v>#DIV/0!</v>
      </c>
      <c r="CZ26" s="38" t="e">
        <f t="shared" si="29"/>
        <v>#DIV/0!</v>
      </c>
      <c r="DA26" s="38" t="e">
        <f t="shared" si="29"/>
        <v>#DIV/0!</v>
      </c>
      <c r="DB26" s="38" t="e">
        <f t="shared" si="29"/>
        <v>#DIV/0!</v>
      </c>
      <c r="DC26" s="38" t="e">
        <f t="shared" si="29"/>
        <v>#DIV/0!</v>
      </c>
      <c r="DD26" s="38" t="e">
        <f t="shared" si="29"/>
        <v>#DIV/0!</v>
      </c>
      <c r="DE26" s="38" t="e">
        <f t="shared" si="29"/>
        <v>#DIV/0!</v>
      </c>
      <c r="DF26" s="38" t="e">
        <f t="shared" si="29"/>
        <v>#DIV/0!</v>
      </c>
      <c r="DG26" s="38" t="e">
        <f t="shared" si="29"/>
        <v>#DIV/0!</v>
      </c>
      <c r="DH26" s="38" t="e">
        <f t="shared" si="29"/>
        <v>#DIV/0!</v>
      </c>
      <c r="DI26" s="38" t="e">
        <f t="shared" si="29"/>
        <v>#DIV/0!</v>
      </c>
      <c r="DJ26" s="38" t="e">
        <f t="shared" si="29"/>
        <v>#DIV/0!</v>
      </c>
      <c r="DK26" s="38" t="e">
        <f t="shared" si="29"/>
        <v>#DIV/0!</v>
      </c>
      <c r="DL26" s="38" t="e">
        <f t="shared" si="29"/>
        <v>#DIV/0!</v>
      </c>
      <c r="DM26" s="38" t="e">
        <f t="shared" si="29"/>
        <v>#DIV/0!</v>
      </c>
      <c r="DN26" s="38" t="e">
        <f t="shared" si="29"/>
        <v>#DIV/0!</v>
      </c>
      <c r="DO26" s="38" t="e">
        <f t="shared" si="29"/>
        <v>#DIV/0!</v>
      </c>
      <c r="DP26" s="38" t="e">
        <f t="shared" si="29"/>
        <v>#DIV/0!</v>
      </c>
      <c r="DQ26" s="38" t="e">
        <f t="shared" si="29"/>
        <v>#DIV/0!</v>
      </c>
      <c r="DR26" s="38" t="e">
        <f t="shared" si="29"/>
        <v>#DIV/0!</v>
      </c>
      <c r="DS26" s="38" t="e">
        <f t="shared" si="29"/>
        <v>#DIV/0!</v>
      </c>
      <c r="DT26" s="38" t="e">
        <f t="shared" si="29"/>
        <v>#DIV/0!</v>
      </c>
      <c r="DU26" s="38" t="e">
        <f t="shared" si="29"/>
        <v>#DIV/0!</v>
      </c>
      <c r="DV26" s="38" t="e">
        <f t="shared" si="29"/>
        <v>#DIV/0!</v>
      </c>
      <c r="DW26" s="38" t="e">
        <f t="shared" si="29"/>
        <v>#DIV/0!</v>
      </c>
      <c r="DX26" s="38" t="e">
        <f t="shared" si="29"/>
        <v>#DIV/0!</v>
      </c>
      <c r="DY26" s="38" t="e">
        <f t="shared" si="29"/>
        <v>#DIV/0!</v>
      </c>
      <c r="DZ26" s="38" t="e">
        <f t="shared" si="29"/>
        <v>#DIV/0!</v>
      </c>
      <c r="EA26" s="38" t="e">
        <f t="shared" si="29"/>
        <v>#DIV/0!</v>
      </c>
      <c r="EB26" s="38" t="e">
        <f t="shared" si="29"/>
        <v>#DIV/0!</v>
      </c>
      <c r="EC26" s="38" t="e">
        <f t="shared" si="29"/>
        <v>#DIV/0!</v>
      </c>
      <c r="ED26" s="38" t="e">
        <f t="shared" si="29"/>
        <v>#DIV/0!</v>
      </c>
    </row>
    <row r="27" spans="2:134" ht="13" x14ac:dyDescent="0.3">
      <c r="B27" s="38" t="s">
        <v>199</v>
      </c>
      <c r="C27" s="53"/>
      <c r="D27" s="67" t="e">
        <f t="shared" ref="D27:H27" si="30">SUMIFS($O27:$BV27,$O$4:$BV$4,D$3)</f>
        <v>#DIV/0!</v>
      </c>
      <c r="E27" s="67" t="e">
        <f t="shared" si="30"/>
        <v>#DIV/0!</v>
      </c>
      <c r="F27" s="67" t="e">
        <f t="shared" si="30"/>
        <v>#DIV/0!</v>
      </c>
      <c r="G27" s="67" t="e">
        <f t="shared" si="30"/>
        <v>#DIV/0!</v>
      </c>
      <c r="H27" s="67" t="e">
        <f t="shared" si="30"/>
        <v>#DIV/0!</v>
      </c>
      <c r="I27" s="67" t="e">
        <f t="shared" ref="I27:M27" si="31">SUMIFS($O27:$ED27,$O$4:$ED$4,I$3)</f>
        <v>#DIV/0!</v>
      </c>
      <c r="J27" s="67" t="e">
        <f t="shared" si="31"/>
        <v>#DIV/0!</v>
      </c>
      <c r="K27" s="67" t="e">
        <f t="shared" si="31"/>
        <v>#DIV/0!</v>
      </c>
      <c r="L27" s="67" t="e">
        <f t="shared" si="31"/>
        <v>#DIV/0!</v>
      </c>
      <c r="M27" s="67" t="e">
        <f t="shared" si="31"/>
        <v>#DIV/0!</v>
      </c>
      <c r="N27" s="53"/>
      <c r="O27" s="67" t="e">
        <f t="shared" ref="O27:ED27" si="32">(SUM(O19,O24)*-5.65%)+(SUM(O21,O22,O20,O23)*-11.25%)</f>
        <v>#DIV/0!</v>
      </c>
      <c r="P27" s="67" t="e">
        <f t="shared" si="32"/>
        <v>#DIV/0!</v>
      </c>
      <c r="Q27" s="67" t="e">
        <f t="shared" si="32"/>
        <v>#DIV/0!</v>
      </c>
      <c r="R27" s="67" t="e">
        <f t="shared" si="32"/>
        <v>#DIV/0!</v>
      </c>
      <c r="S27" s="67" t="e">
        <f t="shared" si="32"/>
        <v>#DIV/0!</v>
      </c>
      <c r="T27" s="67" t="e">
        <f t="shared" si="32"/>
        <v>#DIV/0!</v>
      </c>
      <c r="U27" s="67" t="e">
        <f t="shared" si="32"/>
        <v>#DIV/0!</v>
      </c>
      <c r="V27" s="67" t="e">
        <f t="shared" si="32"/>
        <v>#DIV/0!</v>
      </c>
      <c r="W27" s="67" t="e">
        <f t="shared" si="32"/>
        <v>#DIV/0!</v>
      </c>
      <c r="X27" s="67" t="e">
        <f t="shared" si="32"/>
        <v>#DIV/0!</v>
      </c>
      <c r="Y27" s="67" t="e">
        <f t="shared" si="32"/>
        <v>#DIV/0!</v>
      </c>
      <c r="Z27" s="67" t="e">
        <f t="shared" si="32"/>
        <v>#DIV/0!</v>
      </c>
      <c r="AA27" s="67" t="e">
        <f t="shared" si="32"/>
        <v>#DIV/0!</v>
      </c>
      <c r="AB27" s="67" t="e">
        <f t="shared" si="32"/>
        <v>#DIV/0!</v>
      </c>
      <c r="AC27" s="67" t="e">
        <f t="shared" si="32"/>
        <v>#DIV/0!</v>
      </c>
      <c r="AD27" s="67" t="e">
        <f t="shared" si="32"/>
        <v>#DIV/0!</v>
      </c>
      <c r="AE27" s="67" t="e">
        <f t="shared" si="32"/>
        <v>#DIV/0!</v>
      </c>
      <c r="AF27" s="67" t="e">
        <f t="shared" si="32"/>
        <v>#DIV/0!</v>
      </c>
      <c r="AG27" s="67" t="e">
        <f t="shared" si="32"/>
        <v>#DIV/0!</v>
      </c>
      <c r="AH27" s="67" t="e">
        <f t="shared" si="32"/>
        <v>#DIV/0!</v>
      </c>
      <c r="AI27" s="67" t="e">
        <f t="shared" si="32"/>
        <v>#DIV/0!</v>
      </c>
      <c r="AJ27" s="67" t="e">
        <f t="shared" si="32"/>
        <v>#DIV/0!</v>
      </c>
      <c r="AK27" s="67" t="e">
        <f t="shared" si="32"/>
        <v>#DIV/0!</v>
      </c>
      <c r="AL27" s="67" t="e">
        <f t="shared" si="32"/>
        <v>#DIV/0!</v>
      </c>
      <c r="AM27" s="67" t="e">
        <f t="shared" si="32"/>
        <v>#DIV/0!</v>
      </c>
      <c r="AN27" s="67" t="e">
        <f t="shared" si="32"/>
        <v>#DIV/0!</v>
      </c>
      <c r="AO27" s="67" t="e">
        <f t="shared" si="32"/>
        <v>#DIV/0!</v>
      </c>
      <c r="AP27" s="67" t="e">
        <f t="shared" si="32"/>
        <v>#DIV/0!</v>
      </c>
      <c r="AQ27" s="67" t="e">
        <f t="shared" si="32"/>
        <v>#DIV/0!</v>
      </c>
      <c r="AR27" s="67" t="e">
        <f t="shared" si="32"/>
        <v>#DIV/0!</v>
      </c>
      <c r="AS27" s="67" t="e">
        <f t="shared" si="32"/>
        <v>#DIV/0!</v>
      </c>
      <c r="AT27" s="67" t="e">
        <f t="shared" si="32"/>
        <v>#DIV/0!</v>
      </c>
      <c r="AU27" s="67" t="e">
        <f t="shared" si="32"/>
        <v>#DIV/0!</v>
      </c>
      <c r="AV27" s="67" t="e">
        <f t="shared" si="32"/>
        <v>#DIV/0!</v>
      </c>
      <c r="AW27" s="67" t="e">
        <f t="shared" si="32"/>
        <v>#DIV/0!</v>
      </c>
      <c r="AX27" s="67" t="e">
        <f t="shared" si="32"/>
        <v>#DIV/0!</v>
      </c>
      <c r="AY27" s="67" t="e">
        <f t="shared" si="32"/>
        <v>#DIV/0!</v>
      </c>
      <c r="AZ27" s="67" t="e">
        <f t="shared" si="32"/>
        <v>#DIV/0!</v>
      </c>
      <c r="BA27" s="67" t="e">
        <f t="shared" si="32"/>
        <v>#DIV/0!</v>
      </c>
      <c r="BB27" s="67" t="e">
        <f t="shared" si="32"/>
        <v>#DIV/0!</v>
      </c>
      <c r="BC27" s="67" t="e">
        <f t="shared" si="32"/>
        <v>#DIV/0!</v>
      </c>
      <c r="BD27" s="67" t="e">
        <f t="shared" si="32"/>
        <v>#DIV/0!</v>
      </c>
      <c r="BE27" s="67" t="e">
        <f t="shared" si="32"/>
        <v>#DIV/0!</v>
      </c>
      <c r="BF27" s="67" t="e">
        <f t="shared" si="32"/>
        <v>#DIV/0!</v>
      </c>
      <c r="BG27" s="67" t="e">
        <f t="shared" si="32"/>
        <v>#DIV/0!</v>
      </c>
      <c r="BH27" s="67" t="e">
        <f t="shared" si="32"/>
        <v>#DIV/0!</v>
      </c>
      <c r="BI27" s="67" t="e">
        <f t="shared" si="32"/>
        <v>#DIV/0!</v>
      </c>
      <c r="BJ27" s="67" t="e">
        <f t="shared" si="32"/>
        <v>#DIV/0!</v>
      </c>
      <c r="BK27" s="67" t="e">
        <f t="shared" si="32"/>
        <v>#DIV/0!</v>
      </c>
      <c r="BL27" s="67" t="e">
        <f t="shared" si="32"/>
        <v>#DIV/0!</v>
      </c>
      <c r="BM27" s="67" t="e">
        <f t="shared" si="32"/>
        <v>#DIV/0!</v>
      </c>
      <c r="BN27" s="67" t="e">
        <f t="shared" si="32"/>
        <v>#DIV/0!</v>
      </c>
      <c r="BO27" s="67" t="e">
        <f t="shared" si="32"/>
        <v>#DIV/0!</v>
      </c>
      <c r="BP27" s="67" t="e">
        <f t="shared" si="32"/>
        <v>#DIV/0!</v>
      </c>
      <c r="BQ27" s="67" t="e">
        <f t="shared" si="32"/>
        <v>#DIV/0!</v>
      </c>
      <c r="BR27" s="67" t="e">
        <f t="shared" si="32"/>
        <v>#DIV/0!</v>
      </c>
      <c r="BS27" s="67" t="e">
        <f t="shared" si="32"/>
        <v>#DIV/0!</v>
      </c>
      <c r="BT27" s="67" t="e">
        <f t="shared" si="32"/>
        <v>#DIV/0!</v>
      </c>
      <c r="BU27" s="67" t="e">
        <f t="shared" si="32"/>
        <v>#DIV/0!</v>
      </c>
      <c r="BV27" s="67" t="e">
        <f t="shared" si="32"/>
        <v>#DIV/0!</v>
      </c>
      <c r="BW27" s="67" t="e">
        <f t="shared" si="32"/>
        <v>#DIV/0!</v>
      </c>
      <c r="BX27" s="67" t="e">
        <f t="shared" si="32"/>
        <v>#DIV/0!</v>
      </c>
      <c r="BY27" s="67" t="e">
        <f t="shared" si="32"/>
        <v>#DIV/0!</v>
      </c>
      <c r="BZ27" s="67" t="e">
        <f t="shared" si="32"/>
        <v>#DIV/0!</v>
      </c>
      <c r="CA27" s="67" t="e">
        <f t="shared" si="32"/>
        <v>#DIV/0!</v>
      </c>
      <c r="CB27" s="67" t="e">
        <f t="shared" si="32"/>
        <v>#DIV/0!</v>
      </c>
      <c r="CC27" s="67" t="e">
        <f t="shared" si="32"/>
        <v>#DIV/0!</v>
      </c>
      <c r="CD27" s="67" t="e">
        <f t="shared" si="32"/>
        <v>#DIV/0!</v>
      </c>
      <c r="CE27" s="67" t="e">
        <f t="shared" si="32"/>
        <v>#DIV/0!</v>
      </c>
      <c r="CF27" s="67" t="e">
        <f t="shared" si="32"/>
        <v>#DIV/0!</v>
      </c>
      <c r="CG27" s="67" t="e">
        <f t="shared" si="32"/>
        <v>#DIV/0!</v>
      </c>
      <c r="CH27" s="67" t="e">
        <f t="shared" si="32"/>
        <v>#DIV/0!</v>
      </c>
      <c r="CI27" s="67" t="e">
        <f t="shared" si="32"/>
        <v>#DIV/0!</v>
      </c>
      <c r="CJ27" s="67" t="e">
        <f t="shared" si="32"/>
        <v>#DIV/0!</v>
      </c>
      <c r="CK27" s="67" t="e">
        <f t="shared" si="32"/>
        <v>#DIV/0!</v>
      </c>
      <c r="CL27" s="67" t="e">
        <f t="shared" si="32"/>
        <v>#DIV/0!</v>
      </c>
      <c r="CM27" s="67" t="e">
        <f t="shared" si="32"/>
        <v>#DIV/0!</v>
      </c>
      <c r="CN27" s="67" t="e">
        <f t="shared" si="32"/>
        <v>#DIV/0!</v>
      </c>
      <c r="CO27" s="67" t="e">
        <f t="shared" si="32"/>
        <v>#DIV/0!</v>
      </c>
      <c r="CP27" s="67" t="e">
        <f t="shared" si="32"/>
        <v>#DIV/0!</v>
      </c>
      <c r="CQ27" s="67" t="e">
        <f t="shared" si="32"/>
        <v>#DIV/0!</v>
      </c>
      <c r="CR27" s="67" t="e">
        <f t="shared" si="32"/>
        <v>#DIV/0!</v>
      </c>
      <c r="CS27" s="67" t="e">
        <f t="shared" si="32"/>
        <v>#DIV/0!</v>
      </c>
      <c r="CT27" s="67" t="e">
        <f t="shared" si="32"/>
        <v>#DIV/0!</v>
      </c>
      <c r="CU27" s="67" t="e">
        <f t="shared" si="32"/>
        <v>#DIV/0!</v>
      </c>
      <c r="CV27" s="67" t="e">
        <f t="shared" si="32"/>
        <v>#DIV/0!</v>
      </c>
      <c r="CW27" s="67" t="e">
        <f t="shared" si="32"/>
        <v>#DIV/0!</v>
      </c>
      <c r="CX27" s="67" t="e">
        <f t="shared" si="32"/>
        <v>#DIV/0!</v>
      </c>
      <c r="CY27" s="67" t="e">
        <f t="shared" si="32"/>
        <v>#DIV/0!</v>
      </c>
      <c r="CZ27" s="67" t="e">
        <f t="shared" si="32"/>
        <v>#DIV/0!</v>
      </c>
      <c r="DA27" s="67" t="e">
        <f t="shared" si="32"/>
        <v>#DIV/0!</v>
      </c>
      <c r="DB27" s="67" t="e">
        <f t="shared" si="32"/>
        <v>#DIV/0!</v>
      </c>
      <c r="DC27" s="67" t="e">
        <f t="shared" si="32"/>
        <v>#DIV/0!</v>
      </c>
      <c r="DD27" s="67" t="e">
        <f t="shared" si="32"/>
        <v>#DIV/0!</v>
      </c>
      <c r="DE27" s="67" t="e">
        <f t="shared" si="32"/>
        <v>#DIV/0!</v>
      </c>
      <c r="DF27" s="67" t="e">
        <f t="shared" si="32"/>
        <v>#DIV/0!</v>
      </c>
      <c r="DG27" s="67" t="e">
        <f t="shared" si="32"/>
        <v>#DIV/0!</v>
      </c>
      <c r="DH27" s="67" t="e">
        <f t="shared" si="32"/>
        <v>#DIV/0!</v>
      </c>
      <c r="DI27" s="67" t="e">
        <f t="shared" si="32"/>
        <v>#DIV/0!</v>
      </c>
      <c r="DJ27" s="67" t="e">
        <f t="shared" si="32"/>
        <v>#DIV/0!</v>
      </c>
      <c r="DK27" s="67" t="e">
        <f t="shared" si="32"/>
        <v>#DIV/0!</v>
      </c>
      <c r="DL27" s="67" t="e">
        <f t="shared" si="32"/>
        <v>#DIV/0!</v>
      </c>
      <c r="DM27" s="67" t="e">
        <f t="shared" si="32"/>
        <v>#DIV/0!</v>
      </c>
      <c r="DN27" s="67" t="e">
        <f t="shared" si="32"/>
        <v>#DIV/0!</v>
      </c>
      <c r="DO27" s="67" t="e">
        <f t="shared" si="32"/>
        <v>#DIV/0!</v>
      </c>
      <c r="DP27" s="67" t="e">
        <f t="shared" si="32"/>
        <v>#DIV/0!</v>
      </c>
      <c r="DQ27" s="67" t="e">
        <f t="shared" si="32"/>
        <v>#DIV/0!</v>
      </c>
      <c r="DR27" s="67" t="e">
        <f t="shared" si="32"/>
        <v>#DIV/0!</v>
      </c>
      <c r="DS27" s="67" t="e">
        <f t="shared" si="32"/>
        <v>#DIV/0!</v>
      </c>
      <c r="DT27" s="67" t="e">
        <f t="shared" si="32"/>
        <v>#DIV/0!</v>
      </c>
      <c r="DU27" s="67" t="e">
        <f t="shared" si="32"/>
        <v>#DIV/0!</v>
      </c>
      <c r="DV27" s="67" t="e">
        <f t="shared" si="32"/>
        <v>#DIV/0!</v>
      </c>
      <c r="DW27" s="67" t="e">
        <f t="shared" si="32"/>
        <v>#DIV/0!</v>
      </c>
      <c r="DX27" s="67" t="e">
        <f t="shared" si="32"/>
        <v>#DIV/0!</v>
      </c>
      <c r="DY27" s="67" t="e">
        <f t="shared" si="32"/>
        <v>#DIV/0!</v>
      </c>
      <c r="DZ27" s="67" t="e">
        <f t="shared" si="32"/>
        <v>#DIV/0!</v>
      </c>
      <c r="EA27" s="67" t="e">
        <f t="shared" si="32"/>
        <v>#DIV/0!</v>
      </c>
      <c r="EB27" s="67" t="e">
        <f t="shared" si="32"/>
        <v>#DIV/0!</v>
      </c>
      <c r="EC27" s="67" t="e">
        <f t="shared" si="32"/>
        <v>#DIV/0!</v>
      </c>
      <c r="ED27" s="67" t="e">
        <f t="shared" si="32"/>
        <v>#DIV/0!</v>
      </c>
    </row>
    <row r="28" spans="2:134" ht="12.5" x14ac:dyDescent="0.25">
      <c r="C28" s="53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53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</row>
    <row r="29" spans="2:134" ht="13" x14ac:dyDescent="0.3">
      <c r="B29" s="38" t="s">
        <v>200</v>
      </c>
      <c r="C29" s="53"/>
      <c r="D29" s="67" t="e">
        <f t="shared" ref="D29:H29" si="33">SUMIFS($O29:$BV29,$O$4:$BV$4,D$3)</f>
        <v>#DIV/0!</v>
      </c>
      <c r="E29" s="67" t="e">
        <f t="shared" si="33"/>
        <v>#DIV/0!</v>
      </c>
      <c r="F29" s="67" t="e">
        <f t="shared" si="33"/>
        <v>#DIV/0!</v>
      </c>
      <c r="G29" s="67" t="e">
        <f t="shared" si="33"/>
        <v>#DIV/0!</v>
      </c>
      <c r="H29" s="67" t="e">
        <f t="shared" si="33"/>
        <v>#DIV/0!</v>
      </c>
      <c r="I29" s="67" t="e">
        <f t="shared" ref="I29:M29" si="34">SUMIFS($O29:$ED29,$O$4:$ED$4,I$3)</f>
        <v>#DIV/0!</v>
      </c>
      <c r="J29" s="67" t="e">
        <f t="shared" si="34"/>
        <v>#DIV/0!</v>
      </c>
      <c r="K29" s="67" t="e">
        <f t="shared" si="34"/>
        <v>#DIV/0!</v>
      </c>
      <c r="L29" s="67" t="e">
        <f t="shared" si="34"/>
        <v>#DIV/0!</v>
      </c>
      <c r="M29" s="67" t="e">
        <f t="shared" si="34"/>
        <v>#DIV/0!</v>
      </c>
      <c r="N29" s="53"/>
      <c r="O29" s="67" t="e">
        <f t="shared" ref="O29:ED29" si="35">O26+O27</f>
        <v>#DIV/0!</v>
      </c>
      <c r="P29" s="67" t="e">
        <f t="shared" si="35"/>
        <v>#DIV/0!</v>
      </c>
      <c r="Q29" s="67" t="e">
        <f t="shared" si="35"/>
        <v>#DIV/0!</v>
      </c>
      <c r="R29" s="67" t="e">
        <f t="shared" si="35"/>
        <v>#DIV/0!</v>
      </c>
      <c r="S29" s="67" t="e">
        <f t="shared" si="35"/>
        <v>#DIV/0!</v>
      </c>
      <c r="T29" s="67" t="e">
        <f t="shared" si="35"/>
        <v>#DIV/0!</v>
      </c>
      <c r="U29" s="67" t="e">
        <f t="shared" si="35"/>
        <v>#DIV/0!</v>
      </c>
      <c r="V29" s="67" t="e">
        <f t="shared" si="35"/>
        <v>#DIV/0!</v>
      </c>
      <c r="W29" s="67" t="e">
        <f t="shared" si="35"/>
        <v>#DIV/0!</v>
      </c>
      <c r="X29" s="67" t="e">
        <f t="shared" si="35"/>
        <v>#DIV/0!</v>
      </c>
      <c r="Y29" s="67" t="e">
        <f t="shared" si="35"/>
        <v>#DIV/0!</v>
      </c>
      <c r="Z29" s="67" t="e">
        <f t="shared" si="35"/>
        <v>#DIV/0!</v>
      </c>
      <c r="AA29" s="67" t="e">
        <f t="shared" si="35"/>
        <v>#DIV/0!</v>
      </c>
      <c r="AB29" s="67" t="e">
        <f t="shared" si="35"/>
        <v>#DIV/0!</v>
      </c>
      <c r="AC29" s="67" t="e">
        <f t="shared" si="35"/>
        <v>#DIV/0!</v>
      </c>
      <c r="AD29" s="67" t="e">
        <f t="shared" si="35"/>
        <v>#DIV/0!</v>
      </c>
      <c r="AE29" s="67" t="e">
        <f t="shared" si="35"/>
        <v>#DIV/0!</v>
      </c>
      <c r="AF29" s="67" t="e">
        <f t="shared" si="35"/>
        <v>#DIV/0!</v>
      </c>
      <c r="AG29" s="67" t="e">
        <f t="shared" si="35"/>
        <v>#DIV/0!</v>
      </c>
      <c r="AH29" s="67" t="e">
        <f t="shared" si="35"/>
        <v>#DIV/0!</v>
      </c>
      <c r="AI29" s="67" t="e">
        <f t="shared" si="35"/>
        <v>#DIV/0!</v>
      </c>
      <c r="AJ29" s="67" t="e">
        <f t="shared" si="35"/>
        <v>#DIV/0!</v>
      </c>
      <c r="AK29" s="67" t="e">
        <f t="shared" si="35"/>
        <v>#DIV/0!</v>
      </c>
      <c r="AL29" s="67" t="e">
        <f t="shared" si="35"/>
        <v>#DIV/0!</v>
      </c>
      <c r="AM29" s="67" t="e">
        <f t="shared" si="35"/>
        <v>#DIV/0!</v>
      </c>
      <c r="AN29" s="67" t="e">
        <f t="shared" si="35"/>
        <v>#DIV/0!</v>
      </c>
      <c r="AO29" s="67" t="e">
        <f t="shared" si="35"/>
        <v>#DIV/0!</v>
      </c>
      <c r="AP29" s="67" t="e">
        <f t="shared" si="35"/>
        <v>#DIV/0!</v>
      </c>
      <c r="AQ29" s="67" t="e">
        <f t="shared" si="35"/>
        <v>#DIV/0!</v>
      </c>
      <c r="AR29" s="67" t="e">
        <f t="shared" si="35"/>
        <v>#DIV/0!</v>
      </c>
      <c r="AS29" s="67" t="e">
        <f t="shared" si="35"/>
        <v>#DIV/0!</v>
      </c>
      <c r="AT29" s="67" t="e">
        <f t="shared" si="35"/>
        <v>#DIV/0!</v>
      </c>
      <c r="AU29" s="67" t="e">
        <f t="shared" si="35"/>
        <v>#DIV/0!</v>
      </c>
      <c r="AV29" s="67" t="e">
        <f t="shared" si="35"/>
        <v>#DIV/0!</v>
      </c>
      <c r="AW29" s="67" t="e">
        <f t="shared" si="35"/>
        <v>#DIV/0!</v>
      </c>
      <c r="AX29" s="67" t="e">
        <f t="shared" si="35"/>
        <v>#DIV/0!</v>
      </c>
      <c r="AY29" s="67" t="e">
        <f t="shared" si="35"/>
        <v>#DIV/0!</v>
      </c>
      <c r="AZ29" s="67" t="e">
        <f t="shared" si="35"/>
        <v>#DIV/0!</v>
      </c>
      <c r="BA29" s="67" t="e">
        <f t="shared" si="35"/>
        <v>#DIV/0!</v>
      </c>
      <c r="BB29" s="67" t="e">
        <f t="shared" si="35"/>
        <v>#DIV/0!</v>
      </c>
      <c r="BC29" s="67" t="e">
        <f t="shared" si="35"/>
        <v>#DIV/0!</v>
      </c>
      <c r="BD29" s="67" t="e">
        <f t="shared" si="35"/>
        <v>#DIV/0!</v>
      </c>
      <c r="BE29" s="67" t="e">
        <f t="shared" si="35"/>
        <v>#DIV/0!</v>
      </c>
      <c r="BF29" s="67" t="e">
        <f t="shared" si="35"/>
        <v>#DIV/0!</v>
      </c>
      <c r="BG29" s="67" t="e">
        <f t="shared" si="35"/>
        <v>#DIV/0!</v>
      </c>
      <c r="BH29" s="67" t="e">
        <f t="shared" si="35"/>
        <v>#DIV/0!</v>
      </c>
      <c r="BI29" s="67" t="e">
        <f t="shared" si="35"/>
        <v>#DIV/0!</v>
      </c>
      <c r="BJ29" s="67" t="e">
        <f t="shared" si="35"/>
        <v>#DIV/0!</v>
      </c>
      <c r="BK29" s="67" t="e">
        <f t="shared" si="35"/>
        <v>#DIV/0!</v>
      </c>
      <c r="BL29" s="67" t="e">
        <f t="shared" si="35"/>
        <v>#DIV/0!</v>
      </c>
      <c r="BM29" s="67" t="e">
        <f t="shared" si="35"/>
        <v>#DIV/0!</v>
      </c>
      <c r="BN29" s="67" t="e">
        <f t="shared" si="35"/>
        <v>#DIV/0!</v>
      </c>
      <c r="BO29" s="67" t="e">
        <f t="shared" si="35"/>
        <v>#DIV/0!</v>
      </c>
      <c r="BP29" s="67" t="e">
        <f t="shared" si="35"/>
        <v>#DIV/0!</v>
      </c>
      <c r="BQ29" s="67" t="e">
        <f t="shared" si="35"/>
        <v>#DIV/0!</v>
      </c>
      <c r="BR29" s="67" t="e">
        <f t="shared" si="35"/>
        <v>#DIV/0!</v>
      </c>
      <c r="BS29" s="67" t="e">
        <f t="shared" si="35"/>
        <v>#DIV/0!</v>
      </c>
      <c r="BT29" s="67" t="e">
        <f t="shared" si="35"/>
        <v>#DIV/0!</v>
      </c>
      <c r="BU29" s="67" t="e">
        <f t="shared" si="35"/>
        <v>#DIV/0!</v>
      </c>
      <c r="BV29" s="67" t="e">
        <f t="shared" si="35"/>
        <v>#DIV/0!</v>
      </c>
      <c r="BW29" s="67" t="e">
        <f t="shared" si="35"/>
        <v>#DIV/0!</v>
      </c>
      <c r="BX29" s="67" t="e">
        <f t="shared" si="35"/>
        <v>#DIV/0!</v>
      </c>
      <c r="BY29" s="67" t="e">
        <f t="shared" si="35"/>
        <v>#DIV/0!</v>
      </c>
      <c r="BZ29" s="67" t="e">
        <f t="shared" si="35"/>
        <v>#DIV/0!</v>
      </c>
      <c r="CA29" s="67" t="e">
        <f t="shared" si="35"/>
        <v>#DIV/0!</v>
      </c>
      <c r="CB29" s="67" t="e">
        <f t="shared" si="35"/>
        <v>#DIV/0!</v>
      </c>
      <c r="CC29" s="67" t="e">
        <f t="shared" si="35"/>
        <v>#DIV/0!</v>
      </c>
      <c r="CD29" s="67" t="e">
        <f t="shared" si="35"/>
        <v>#DIV/0!</v>
      </c>
      <c r="CE29" s="67" t="e">
        <f t="shared" si="35"/>
        <v>#DIV/0!</v>
      </c>
      <c r="CF29" s="67" t="e">
        <f t="shared" si="35"/>
        <v>#DIV/0!</v>
      </c>
      <c r="CG29" s="67" t="e">
        <f t="shared" si="35"/>
        <v>#DIV/0!</v>
      </c>
      <c r="CH29" s="67" t="e">
        <f t="shared" si="35"/>
        <v>#DIV/0!</v>
      </c>
      <c r="CI29" s="67" t="e">
        <f t="shared" si="35"/>
        <v>#DIV/0!</v>
      </c>
      <c r="CJ29" s="67" t="e">
        <f t="shared" si="35"/>
        <v>#DIV/0!</v>
      </c>
      <c r="CK29" s="67" t="e">
        <f t="shared" si="35"/>
        <v>#DIV/0!</v>
      </c>
      <c r="CL29" s="67" t="e">
        <f t="shared" si="35"/>
        <v>#DIV/0!</v>
      </c>
      <c r="CM29" s="67" t="e">
        <f t="shared" si="35"/>
        <v>#DIV/0!</v>
      </c>
      <c r="CN29" s="67" t="e">
        <f t="shared" si="35"/>
        <v>#DIV/0!</v>
      </c>
      <c r="CO29" s="67" t="e">
        <f t="shared" si="35"/>
        <v>#DIV/0!</v>
      </c>
      <c r="CP29" s="67" t="e">
        <f t="shared" si="35"/>
        <v>#DIV/0!</v>
      </c>
      <c r="CQ29" s="67" t="e">
        <f t="shared" si="35"/>
        <v>#DIV/0!</v>
      </c>
      <c r="CR29" s="67" t="e">
        <f t="shared" si="35"/>
        <v>#DIV/0!</v>
      </c>
      <c r="CS29" s="67" t="e">
        <f t="shared" si="35"/>
        <v>#DIV/0!</v>
      </c>
      <c r="CT29" s="67" t="e">
        <f t="shared" si="35"/>
        <v>#DIV/0!</v>
      </c>
      <c r="CU29" s="67" t="e">
        <f t="shared" si="35"/>
        <v>#DIV/0!</v>
      </c>
      <c r="CV29" s="67" t="e">
        <f t="shared" si="35"/>
        <v>#DIV/0!</v>
      </c>
      <c r="CW29" s="67" t="e">
        <f t="shared" si="35"/>
        <v>#DIV/0!</v>
      </c>
      <c r="CX29" s="67" t="e">
        <f t="shared" si="35"/>
        <v>#DIV/0!</v>
      </c>
      <c r="CY29" s="67" t="e">
        <f t="shared" si="35"/>
        <v>#DIV/0!</v>
      </c>
      <c r="CZ29" s="67" t="e">
        <f t="shared" si="35"/>
        <v>#DIV/0!</v>
      </c>
      <c r="DA29" s="67" t="e">
        <f t="shared" si="35"/>
        <v>#DIV/0!</v>
      </c>
      <c r="DB29" s="67" t="e">
        <f t="shared" si="35"/>
        <v>#DIV/0!</v>
      </c>
      <c r="DC29" s="67" t="e">
        <f t="shared" si="35"/>
        <v>#DIV/0!</v>
      </c>
      <c r="DD29" s="67" t="e">
        <f t="shared" si="35"/>
        <v>#DIV/0!</v>
      </c>
      <c r="DE29" s="67" t="e">
        <f t="shared" si="35"/>
        <v>#DIV/0!</v>
      </c>
      <c r="DF29" s="67" t="e">
        <f t="shared" si="35"/>
        <v>#DIV/0!</v>
      </c>
      <c r="DG29" s="67" t="e">
        <f t="shared" si="35"/>
        <v>#DIV/0!</v>
      </c>
      <c r="DH29" s="67" t="e">
        <f t="shared" si="35"/>
        <v>#DIV/0!</v>
      </c>
      <c r="DI29" s="67" t="e">
        <f t="shared" si="35"/>
        <v>#DIV/0!</v>
      </c>
      <c r="DJ29" s="67" t="e">
        <f t="shared" si="35"/>
        <v>#DIV/0!</v>
      </c>
      <c r="DK29" s="67" t="e">
        <f t="shared" si="35"/>
        <v>#DIV/0!</v>
      </c>
      <c r="DL29" s="67" t="e">
        <f t="shared" si="35"/>
        <v>#DIV/0!</v>
      </c>
      <c r="DM29" s="67" t="e">
        <f t="shared" si="35"/>
        <v>#DIV/0!</v>
      </c>
      <c r="DN29" s="67" t="e">
        <f t="shared" si="35"/>
        <v>#DIV/0!</v>
      </c>
      <c r="DO29" s="67" t="e">
        <f t="shared" si="35"/>
        <v>#DIV/0!</v>
      </c>
      <c r="DP29" s="67" t="e">
        <f t="shared" si="35"/>
        <v>#DIV/0!</v>
      </c>
      <c r="DQ29" s="67" t="e">
        <f t="shared" si="35"/>
        <v>#DIV/0!</v>
      </c>
      <c r="DR29" s="67" t="e">
        <f t="shared" si="35"/>
        <v>#DIV/0!</v>
      </c>
      <c r="DS29" s="67" t="e">
        <f t="shared" si="35"/>
        <v>#DIV/0!</v>
      </c>
      <c r="DT29" s="67" t="e">
        <f t="shared" si="35"/>
        <v>#DIV/0!</v>
      </c>
      <c r="DU29" s="67" t="e">
        <f t="shared" si="35"/>
        <v>#DIV/0!</v>
      </c>
      <c r="DV29" s="67" t="e">
        <f t="shared" si="35"/>
        <v>#DIV/0!</v>
      </c>
      <c r="DW29" s="67" t="e">
        <f t="shared" si="35"/>
        <v>#DIV/0!</v>
      </c>
      <c r="DX29" s="67" t="e">
        <f t="shared" si="35"/>
        <v>#DIV/0!</v>
      </c>
      <c r="DY29" s="67" t="e">
        <f t="shared" si="35"/>
        <v>#DIV/0!</v>
      </c>
      <c r="DZ29" s="67" t="e">
        <f t="shared" si="35"/>
        <v>#DIV/0!</v>
      </c>
      <c r="EA29" s="67" t="e">
        <f t="shared" si="35"/>
        <v>#DIV/0!</v>
      </c>
      <c r="EB29" s="67" t="e">
        <f t="shared" si="35"/>
        <v>#DIV/0!</v>
      </c>
      <c r="EC29" s="67" t="e">
        <f t="shared" si="35"/>
        <v>#DIV/0!</v>
      </c>
      <c r="ED29" s="67" t="e">
        <f t="shared" si="35"/>
        <v>#DIV/0!</v>
      </c>
    </row>
    <row r="30" spans="2:134" ht="12.5" x14ac:dyDescent="0.25">
      <c r="C30" s="53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53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</row>
    <row r="31" spans="2:134" ht="13" x14ac:dyDescent="0.3">
      <c r="B31" s="38" t="s">
        <v>201</v>
      </c>
      <c r="C31" s="53"/>
      <c r="D31" s="67" t="e">
        <f t="shared" ref="D31:M31" si="36">SUM(D32:D36)</f>
        <v>#DIV/0!</v>
      </c>
      <c r="E31" s="67" t="e">
        <f t="shared" si="36"/>
        <v>#DIV/0!</v>
      </c>
      <c r="F31" s="67" t="e">
        <f t="shared" si="36"/>
        <v>#DIV/0!</v>
      </c>
      <c r="G31" s="67" t="e">
        <f t="shared" si="36"/>
        <v>#DIV/0!</v>
      </c>
      <c r="H31" s="67" t="e">
        <f t="shared" si="36"/>
        <v>#DIV/0!</v>
      </c>
      <c r="I31" s="67" t="e">
        <f t="shared" si="36"/>
        <v>#DIV/0!</v>
      </c>
      <c r="J31" s="67" t="e">
        <f t="shared" si="36"/>
        <v>#DIV/0!</v>
      </c>
      <c r="K31" s="67" t="e">
        <f t="shared" si="36"/>
        <v>#DIV/0!</v>
      </c>
      <c r="L31" s="67" t="e">
        <f t="shared" si="36"/>
        <v>#DIV/0!</v>
      </c>
      <c r="M31" s="67" t="e">
        <f t="shared" si="36"/>
        <v>#DIV/0!</v>
      </c>
      <c r="N31" s="53"/>
      <c r="O31" s="67" t="e">
        <f t="shared" ref="O31:ED31" si="37">SUM(O32:O36)</f>
        <v>#DIV/0!</v>
      </c>
      <c r="P31" s="67" t="e">
        <f t="shared" si="37"/>
        <v>#DIV/0!</v>
      </c>
      <c r="Q31" s="67" t="e">
        <f t="shared" si="37"/>
        <v>#DIV/0!</v>
      </c>
      <c r="R31" s="67" t="e">
        <f t="shared" si="37"/>
        <v>#DIV/0!</v>
      </c>
      <c r="S31" s="67" t="e">
        <f t="shared" si="37"/>
        <v>#DIV/0!</v>
      </c>
      <c r="T31" s="67" t="e">
        <f t="shared" si="37"/>
        <v>#DIV/0!</v>
      </c>
      <c r="U31" s="67" t="e">
        <f t="shared" si="37"/>
        <v>#DIV/0!</v>
      </c>
      <c r="V31" s="67" t="e">
        <f t="shared" si="37"/>
        <v>#DIV/0!</v>
      </c>
      <c r="W31" s="67" t="e">
        <f t="shared" si="37"/>
        <v>#DIV/0!</v>
      </c>
      <c r="X31" s="67" t="e">
        <f t="shared" si="37"/>
        <v>#DIV/0!</v>
      </c>
      <c r="Y31" s="67" t="e">
        <f t="shared" si="37"/>
        <v>#DIV/0!</v>
      </c>
      <c r="Z31" s="67" t="e">
        <f t="shared" si="37"/>
        <v>#DIV/0!</v>
      </c>
      <c r="AA31" s="67" t="e">
        <f t="shared" si="37"/>
        <v>#DIV/0!</v>
      </c>
      <c r="AB31" s="67" t="e">
        <f t="shared" si="37"/>
        <v>#DIV/0!</v>
      </c>
      <c r="AC31" s="67" t="e">
        <f t="shared" si="37"/>
        <v>#DIV/0!</v>
      </c>
      <c r="AD31" s="67" t="e">
        <f t="shared" si="37"/>
        <v>#DIV/0!</v>
      </c>
      <c r="AE31" s="67" t="e">
        <f t="shared" si="37"/>
        <v>#DIV/0!</v>
      </c>
      <c r="AF31" s="67" t="e">
        <f t="shared" si="37"/>
        <v>#DIV/0!</v>
      </c>
      <c r="AG31" s="67" t="e">
        <f t="shared" si="37"/>
        <v>#DIV/0!</v>
      </c>
      <c r="AH31" s="67" t="e">
        <f t="shared" si="37"/>
        <v>#DIV/0!</v>
      </c>
      <c r="AI31" s="67" t="e">
        <f t="shared" si="37"/>
        <v>#DIV/0!</v>
      </c>
      <c r="AJ31" s="67" t="e">
        <f t="shared" si="37"/>
        <v>#DIV/0!</v>
      </c>
      <c r="AK31" s="67" t="e">
        <f t="shared" si="37"/>
        <v>#DIV/0!</v>
      </c>
      <c r="AL31" s="67" t="e">
        <f t="shared" si="37"/>
        <v>#DIV/0!</v>
      </c>
      <c r="AM31" s="67" t="e">
        <f t="shared" si="37"/>
        <v>#DIV/0!</v>
      </c>
      <c r="AN31" s="67" t="e">
        <f t="shared" si="37"/>
        <v>#DIV/0!</v>
      </c>
      <c r="AO31" s="67" t="e">
        <f t="shared" si="37"/>
        <v>#DIV/0!</v>
      </c>
      <c r="AP31" s="67" t="e">
        <f t="shared" si="37"/>
        <v>#DIV/0!</v>
      </c>
      <c r="AQ31" s="67" t="e">
        <f t="shared" si="37"/>
        <v>#DIV/0!</v>
      </c>
      <c r="AR31" s="67" t="e">
        <f t="shared" si="37"/>
        <v>#DIV/0!</v>
      </c>
      <c r="AS31" s="67" t="e">
        <f t="shared" si="37"/>
        <v>#DIV/0!</v>
      </c>
      <c r="AT31" s="67" t="e">
        <f t="shared" si="37"/>
        <v>#DIV/0!</v>
      </c>
      <c r="AU31" s="67" t="e">
        <f t="shared" si="37"/>
        <v>#DIV/0!</v>
      </c>
      <c r="AV31" s="67" t="e">
        <f t="shared" si="37"/>
        <v>#DIV/0!</v>
      </c>
      <c r="AW31" s="67" t="e">
        <f t="shared" si="37"/>
        <v>#DIV/0!</v>
      </c>
      <c r="AX31" s="67" t="e">
        <f t="shared" si="37"/>
        <v>#DIV/0!</v>
      </c>
      <c r="AY31" s="67" t="e">
        <f t="shared" si="37"/>
        <v>#DIV/0!</v>
      </c>
      <c r="AZ31" s="67" t="e">
        <f t="shared" si="37"/>
        <v>#DIV/0!</v>
      </c>
      <c r="BA31" s="67" t="e">
        <f t="shared" si="37"/>
        <v>#DIV/0!</v>
      </c>
      <c r="BB31" s="67" t="e">
        <f t="shared" si="37"/>
        <v>#DIV/0!</v>
      </c>
      <c r="BC31" s="67" t="e">
        <f t="shared" si="37"/>
        <v>#DIV/0!</v>
      </c>
      <c r="BD31" s="67" t="e">
        <f t="shared" si="37"/>
        <v>#DIV/0!</v>
      </c>
      <c r="BE31" s="67" t="e">
        <f t="shared" si="37"/>
        <v>#DIV/0!</v>
      </c>
      <c r="BF31" s="67" t="e">
        <f t="shared" si="37"/>
        <v>#DIV/0!</v>
      </c>
      <c r="BG31" s="67" t="e">
        <f t="shared" si="37"/>
        <v>#DIV/0!</v>
      </c>
      <c r="BH31" s="67" t="e">
        <f t="shared" si="37"/>
        <v>#DIV/0!</v>
      </c>
      <c r="BI31" s="67" t="e">
        <f t="shared" si="37"/>
        <v>#DIV/0!</v>
      </c>
      <c r="BJ31" s="67" t="e">
        <f t="shared" si="37"/>
        <v>#DIV/0!</v>
      </c>
      <c r="BK31" s="67" t="e">
        <f t="shared" si="37"/>
        <v>#DIV/0!</v>
      </c>
      <c r="BL31" s="67" t="e">
        <f t="shared" si="37"/>
        <v>#DIV/0!</v>
      </c>
      <c r="BM31" s="67" t="e">
        <f t="shared" si="37"/>
        <v>#DIV/0!</v>
      </c>
      <c r="BN31" s="67" t="e">
        <f t="shared" si="37"/>
        <v>#DIV/0!</v>
      </c>
      <c r="BO31" s="67" t="e">
        <f t="shared" si="37"/>
        <v>#DIV/0!</v>
      </c>
      <c r="BP31" s="67" t="e">
        <f t="shared" si="37"/>
        <v>#DIV/0!</v>
      </c>
      <c r="BQ31" s="67" t="e">
        <f t="shared" si="37"/>
        <v>#DIV/0!</v>
      </c>
      <c r="BR31" s="67" t="e">
        <f t="shared" si="37"/>
        <v>#DIV/0!</v>
      </c>
      <c r="BS31" s="67" t="e">
        <f t="shared" si="37"/>
        <v>#DIV/0!</v>
      </c>
      <c r="BT31" s="67" t="e">
        <f t="shared" si="37"/>
        <v>#DIV/0!</v>
      </c>
      <c r="BU31" s="67" t="e">
        <f t="shared" si="37"/>
        <v>#DIV/0!</v>
      </c>
      <c r="BV31" s="67" t="e">
        <f t="shared" si="37"/>
        <v>#DIV/0!</v>
      </c>
      <c r="BW31" s="67" t="e">
        <f t="shared" si="37"/>
        <v>#DIV/0!</v>
      </c>
      <c r="BX31" s="67" t="e">
        <f t="shared" si="37"/>
        <v>#DIV/0!</v>
      </c>
      <c r="BY31" s="67" t="e">
        <f t="shared" si="37"/>
        <v>#DIV/0!</v>
      </c>
      <c r="BZ31" s="67" t="e">
        <f t="shared" si="37"/>
        <v>#DIV/0!</v>
      </c>
      <c r="CA31" s="67" t="e">
        <f t="shared" si="37"/>
        <v>#DIV/0!</v>
      </c>
      <c r="CB31" s="67" t="e">
        <f t="shared" si="37"/>
        <v>#DIV/0!</v>
      </c>
      <c r="CC31" s="67" t="e">
        <f t="shared" si="37"/>
        <v>#DIV/0!</v>
      </c>
      <c r="CD31" s="67" t="e">
        <f t="shared" si="37"/>
        <v>#DIV/0!</v>
      </c>
      <c r="CE31" s="67" t="e">
        <f t="shared" si="37"/>
        <v>#DIV/0!</v>
      </c>
      <c r="CF31" s="67" t="e">
        <f t="shared" si="37"/>
        <v>#DIV/0!</v>
      </c>
      <c r="CG31" s="67" t="e">
        <f t="shared" si="37"/>
        <v>#DIV/0!</v>
      </c>
      <c r="CH31" s="67" t="e">
        <f t="shared" si="37"/>
        <v>#DIV/0!</v>
      </c>
      <c r="CI31" s="67" t="e">
        <f t="shared" si="37"/>
        <v>#DIV/0!</v>
      </c>
      <c r="CJ31" s="67" t="e">
        <f t="shared" si="37"/>
        <v>#DIV/0!</v>
      </c>
      <c r="CK31" s="67" t="e">
        <f t="shared" si="37"/>
        <v>#DIV/0!</v>
      </c>
      <c r="CL31" s="67" t="e">
        <f t="shared" si="37"/>
        <v>#DIV/0!</v>
      </c>
      <c r="CM31" s="67" t="e">
        <f t="shared" si="37"/>
        <v>#DIV/0!</v>
      </c>
      <c r="CN31" s="67" t="e">
        <f t="shared" si="37"/>
        <v>#DIV/0!</v>
      </c>
      <c r="CO31" s="67" t="e">
        <f t="shared" si="37"/>
        <v>#DIV/0!</v>
      </c>
      <c r="CP31" s="67" t="e">
        <f t="shared" si="37"/>
        <v>#DIV/0!</v>
      </c>
      <c r="CQ31" s="67" t="e">
        <f t="shared" si="37"/>
        <v>#DIV/0!</v>
      </c>
      <c r="CR31" s="67" t="e">
        <f t="shared" si="37"/>
        <v>#DIV/0!</v>
      </c>
      <c r="CS31" s="67" t="e">
        <f t="shared" si="37"/>
        <v>#DIV/0!</v>
      </c>
      <c r="CT31" s="67" t="e">
        <f t="shared" si="37"/>
        <v>#DIV/0!</v>
      </c>
      <c r="CU31" s="67" t="e">
        <f t="shared" si="37"/>
        <v>#DIV/0!</v>
      </c>
      <c r="CV31" s="67" t="e">
        <f t="shared" si="37"/>
        <v>#DIV/0!</v>
      </c>
      <c r="CW31" s="67" t="e">
        <f t="shared" si="37"/>
        <v>#DIV/0!</v>
      </c>
      <c r="CX31" s="67" t="e">
        <f t="shared" si="37"/>
        <v>#DIV/0!</v>
      </c>
      <c r="CY31" s="67" t="e">
        <f t="shared" si="37"/>
        <v>#DIV/0!</v>
      </c>
      <c r="CZ31" s="67" t="e">
        <f t="shared" si="37"/>
        <v>#DIV/0!</v>
      </c>
      <c r="DA31" s="67" t="e">
        <f t="shared" si="37"/>
        <v>#DIV/0!</v>
      </c>
      <c r="DB31" s="67" t="e">
        <f t="shared" si="37"/>
        <v>#DIV/0!</v>
      </c>
      <c r="DC31" s="67" t="e">
        <f t="shared" si="37"/>
        <v>#DIV/0!</v>
      </c>
      <c r="DD31" s="67" t="e">
        <f t="shared" si="37"/>
        <v>#DIV/0!</v>
      </c>
      <c r="DE31" s="67" t="e">
        <f t="shared" si="37"/>
        <v>#DIV/0!</v>
      </c>
      <c r="DF31" s="67" t="e">
        <f t="shared" si="37"/>
        <v>#DIV/0!</v>
      </c>
      <c r="DG31" s="67" t="e">
        <f t="shared" si="37"/>
        <v>#DIV/0!</v>
      </c>
      <c r="DH31" s="67" t="e">
        <f t="shared" si="37"/>
        <v>#DIV/0!</v>
      </c>
      <c r="DI31" s="67" t="e">
        <f t="shared" si="37"/>
        <v>#DIV/0!</v>
      </c>
      <c r="DJ31" s="67" t="e">
        <f t="shared" si="37"/>
        <v>#DIV/0!</v>
      </c>
      <c r="DK31" s="67" t="e">
        <f t="shared" si="37"/>
        <v>#DIV/0!</v>
      </c>
      <c r="DL31" s="67" t="e">
        <f t="shared" si="37"/>
        <v>#DIV/0!</v>
      </c>
      <c r="DM31" s="67" t="e">
        <f t="shared" si="37"/>
        <v>#DIV/0!</v>
      </c>
      <c r="DN31" s="67" t="e">
        <f t="shared" si="37"/>
        <v>#DIV/0!</v>
      </c>
      <c r="DO31" s="67" t="e">
        <f t="shared" si="37"/>
        <v>#DIV/0!</v>
      </c>
      <c r="DP31" s="67" t="e">
        <f t="shared" si="37"/>
        <v>#DIV/0!</v>
      </c>
      <c r="DQ31" s="67" t="e">
        <f t="shared" si="37"/>
        <v>#DIV/0!</v>
      </c>
      <c r="DR31" s="67" t="e">
        <f t="shared" si="37"/>
        <v>#DIV/0!</v>
      </c>
      <c r="DS31" s="67" t="e">
        <f t="shared" si="37"/>
        <v>#DIV/0!</v>
      </c>
      <c r="DT31" s="67" t="e">
        <f t="shared" si="37"/>
        <v>#DIV/0!</v>
      </c>
      <c r="DU31" s="67" t="e">
        <f t="shared" si="37"/>
        <v>#DIV/0!</v>
      </c>
      <c r="DV31" s="67" t="e">
        <f t="shared" si="37"/>
        <v>#DIV/0!</v>
      </c>
      <c r="DW31" s="67" t="e">
        <f t="shared" si="37"/>
        <v>#DIV/0!</v>
      </c>
      <c r="DX31" s="67" t="e">
        <f t="shared" si="37"/>
        <v>#DIV/0!</v>
      </c>
      <c r="DY31" s="67" t="e">
        <f t="shared" si="37"/>
        <v>#DIV/0!</v>
      </c>
      <c r="DZ31" s="67" t="e">
        <f t="shared" si="37"/>
        <v>#DIV/0!</v>
      </c>
      <c r="EA31" s="67" t="e">
        <f t="shared" si="37"/>
        <v>#DIV/0!</v>
      </c>
      <c r="EB31" s="67" t="e">
        <f t="shared" si="37"/>
        <v>#DIV/0!</v>
      </c>
      <c r="EC31" s="67" t="e">
        <f t="shared" si="37"/>
        <v>#DIV/0!</v>
      </c>
      <c r="ED31" s="67" t="e">
        <f t="shared" si="37"/>
        <v>#DIV/0!</v>
      </c>
    </row>
    <row r="32" spans="2:134" ht="12.5" x14ac:dyDescent="0.25">
      <c r="B32" s="46" t="s">
        <v>202</v>
      </c>
      <c r="C32" s="53"/>
      <c r="D32" s="62" t="e">
        <f t="shared" ref="D32:H32" si="38">SUMIFS($O32:$BV32,$O$4:$BV$4,D$3)</f>
        <v>#DIV/0!</v>
      </c>
      <c r="E32" s="62" t="e">
        <f t="shared" si="38"/>
        <v>#DIV/0!</v>
      </c>
      <c r="F32" s="62" t="e">
        <f t="shared" si="38"/>
        <v>#DIV/0!</v>
      </c>
      <c r="G32" s="62" t="e">
        <f t="shared" si="38"/>
        <v>#DIV/0!</v>
      </c>
      <c r="H32" s="62" t="e">
        <f t="shared" si="38"/>
        <v>#DIV/0!</v>
      </c>
      <c r="I32" s="62" t="e">
        <f t="shared" ref="I32:M32" si="39">SUMIFS($O32:$ED32,$O$4:$ED$4,I$3)</f>
        <v>#DIV/0!</v>
      </c>
      <c r="J32" s="62" t="e">
        <f t="shared" si="39"/>
        <v>#DIV/0!</v>
      </c>
      <c r="K32" s="62" t="e">
        <f t="shared" si="39"/>
        <v>#DIV/0!</v>
      </c>
      <c r="L32" s="62" t="e">
        <f t="shared" si="39"/>
        <v>#DIV/0!</v>
      </c>
      <c r="M32" s="62" t="e">
        <f t="shared" si="39"/>
        <v>#DIV/0!</v>
      </c>
      <c r="N32" s="53"/>
      <c r="O32" s="62" t="e">
        <f>O7*Premissas!$C$5</f>
        <v>#DIV/0!</v>
      </c>
      <c r="P32" s="62" t="e">
        <f>P7*Premissas!$C$5</f>
        <v>#DIV/0!</v>
      </c>
      <c r="Q32" s="62" t="e">
        <f>Q7*Premissas!$C$5</f>
        <v>#DIV/0!</v>
      </c>
      <c r="R32" s="62" t="e">
        <f>R7*Premissas!$C$5</f>
        <v>#DIV/0!</v>
      </c>
      <c r="S32" s="62" t="e">
        <f>S7*Premissas!$C$5</f>
        <v>#DIV/0!</v>
      </c>
      <c r="T32" s="62" t="e">
        <f>T7*Premissas!$C$5</f>
        <v>#DIV/0!</v>
      </c>
      <c r="U32" s="62" t="e">
        <f>U7*Premissas!$C$5</f>
        <v>#DIV/0!</v>
      </c>
      <c r="V32" s="62" t="e">
        <f>V7*Premissas!$C$5</f>
        <v>#DIV/0!</v>
      </c>
      <c r="W32" s="62" t="e">
        <f>W7*Premissas!$C$5</f>
        <v>#DIV/0!</v>
      </c>
      <c r="X32" s="62" t="e">
        <f>X7*Premissas!$C$5</f>
        <v>#DIV/0!</v>
      </c>
      <c r="Y32" s="62" t="e">
        <f>Y7*Premissas!$C$5</f>
        <v>#DIV/0!</v>
      </c>
      <c r="Z32" s="62" t="e">
        <f>Z7*Premissas!$C$5</f>
        <v>#DIV/0!</v>
      </c>
      <c r="AA32" s="62" t="e">
        <f>AA7*Premissas!$C$5</f>
        <v>#DIV/0!</v>
      </c>
      <c r="AB32" s="62" t="e">
        <f>AB7*Premissas!$C$5</f>
        <v>#DIV/0!</v>
      </c>
      <c r="AC32" s="62" t="e">
        <f>AC7*Premissas!$C$5</f>
        <v>#DIV/0!</v>
      </c>
      <c r="AD32" s="62" t="e">
        <f>AD7*Premissas!$C$5</f>
        <v>#DIV/0!</v>
      </c>
      <c r="AE32" s="62" t="e">
        <f>AE7*Premissas!$C$5</f>
        <v>#DIV/0!</v>
      </c>
      <c r="AF32" s="62" t="e">
        <f>AF7*Premissas!$C$5</f>
        <v>#DIV/0!</v>
      </c>
      <c r="AG32" s="62" t="e">
        <f>AG7*Premissas!$C$5</f>
        <v>#DIV/0!</v>
      </c>
      <c r="AH32" s="62" t="e">
        <f>AH7*Premissas!$C$5</f>
        <v>#DIV/0!</v>
      </c>
      <c r="AI32" s="62" t="e">
        <f>AI7*Premissas!$C$5</f>
        <v>#DIV/0!</v>
      </c>
      <c r="AJ32" s="62" t="e">
        <f>AJ7*Premissas!$C$5</f>
        <v>#DIV/0!</v>
      </c>
      <c r="AK32" s="62" t="e">
        <f>AK7*Premissas!$C$5</f>
        <v>#DIV/0!</v>
      </c>
      <c r="AL32" s="62" t="e">
        <f>AL7*Premissas!$C$5</f>
        <v>#DIV/0!</v>
      </c>
      <c r="AM32" s="62" t="e">
        <f>AM7*Premissas!$C$5</f>
        <v>#DIV/0!</v>
      </c>
      <c r="AN32" s="62" t="e">
        <f>AN7*Premissas!$C$5</f>
        <v>#DIV/0!</v>
      </c>
      <c r="AO32" s="62" t="e">
        <f>AO7*Premissas!$C$5</f>
        <v>#DIV/0!</v>
      </c>
      <c r="AP32" s="62" t="e">
        <f>AP7*Premissas!$C$5</f>
        <v>#DIV/0!</v>
      </c>
      <c r="AQ32" s="62" t="e">
        <f>AQ7*Premissas!$C$5</f>
        <v>#DIV/0!</v>
      </c>
      <c r="AR32" s="62" t="e">
        <f>AR7*Premissas!$C$5</f>
        <v>#DIV/0!</v>
      </c>
      <c r="AS32" s="62" t="e">
        <f>AS7*Premissas!$C$5</f>
        <v>#DIV/0!</v>
      </c>
      <c r="AT32" s="62" t="e">
        <f>AT7*Premissas!$C$5</f>
        <v>#DIV/0!</v>
      </c>
      <c r="AU32" s="62" t="e">
        <f>AU7*Premissas!$C$5</f>
        <v>#DIV/0!</v>
      </c>
      <c r="AV32" s="62" t="e">
        <f>AV7*Premissas!$C$5</f>
        <v>#DIV/0!</v>
      </c>
      <c r="AW32" s="62" t="e">
        <f>AW7*Premissas!$C$5</f>
        <v>#DIV/0!</v>
      </c>
      <c r="AX32" s="62" t="e">
        <f>AX7*Premissas!$C$5</f>
        <v>#DIV/0!</v>
      </c>
      <c r="AY32" s="62" t="e">
        <f>AY7*Premissas!$C$5</f>
        <v>#DIV/0!</v>
      </c>
      <c r="AZ32" s="62" t="e">
        <f>AZ7*Premissas!$C$5</f>
        <v>#DIV/0!</v>
      </c>
      <c r="BA32" s="62" t="e">
        <f>BA7*Premissas!$C$5</f>
        <v>#DIV/0!</v>
      </c>
      <c r="BB32" s="62" t="e">
        <f>BB7*Premissas!$C$5</f>
        <v>#DIV/0!</v>
      </c>
      <c r="BC32" s="62" t="e">
        <f>BC7*Premissas!$C$5</f>
        <v>#DIV/0!</v>
      </c>
      <c r="BD32" s="62" t="e">
        <f>BD7*Premissas!$C$5</f>
        <v>#DIV/0!</v>
      </c>
      <c r="BE32" s="62" t="e">
        <f>BE7*Premissas!$C$5</f>
        <v>#DIV/0!</v>
      </c>
      <c r="BF32" s="62" t="e">
        <f>BF7*Premissas!$C$5</f>
        <v>#DIV/0!</v>
      </c>
      <c r="BG32" s="62" t="e">
        <f>BG7*Premissas!$C$5</f>
        <v>#DIV/0!</v>
      </c>
      <c r="BH32" s="62" t="e">
        <f>BH7*Premissas!$C$5</f>
        <v>#DIV/0!</v>
      </c>
      <c r="BI32" s="62" t="e">
        <f>BI7*Premissas!$C$5</f>
        <v>#DIV/0!</v>
      </c>
      <c r="BJ32" s="62" t="e">
        <f>BJ7*Premissas!$C$5</f>
        <v>#DIV/0!</v>
      </c>
      <c r="BK32" s="62" t="e">
        <f>BK7*Premissas!$C$5</f>
        <v>#DIV/0!</v>
      </c>
      <c r="BL32" s="62" t="e">
        <f>BL7*Premissas!$C$5</f>
        <v>#DIV/0!</v>
      </c>
      <c r="BM32" s="62" t="e">
        <f>BM7*Premissas!$C$5</f>
        <v>#DIV/0!</v>
      </c>
      <c r="BN32" s="62" t="e">
        <f>BN7*Premissas!$C$5</f>
        <v>#DIV/0!</v>
      </c>
      <c r="BO32" s="62" t="e">
        <f>BO7*Premissas!$C$5</f>
        <v>#DIV/0!</v>
      </c>
      <c r="BP32" s="62" t="e">
        <f>BP7*Premissas!$C$5</f>
        <v>#DIV/0!</v>
      </c>
      <c r="BQ32" s="62" t="e">
        <f>BQ7*Premissas!$C$5</f>
        <v>#DIV/0!</v>
      </c>
      <c r="BR32" s="62" t="e">
        <f>BR7*Premissas!$C$5</f>
        <v>#DIV/0!</v>
      </c>
      <c r="BS32" s="62" t="e">
        <f>BS7*Premissas!$C$5</f>
        <v>#DIV/0!</v>
      </c>
      <c r="BT32" s="62" t="e">
        <f>BT7*Premissas!$C$5</f>
        <v>#DIV/0!</v>
      </c>
      <c r="BU32" s="62" t="e">
        <f>BU7*Premissas!$C$5</f>
        <v>#DIV/0!</v>
      </c>
      <c r="BV32" s="62" t="e">
        <f>BV7*Premissas!$C$5</f>
        <v>#DIV/0!</v>
      </c>
      <c r="BW32" s="62" t="e">
        <f>BW7*Premissas!$C$5</f>
        <v>#DIV/0!</v>
      </c>
      <c r="BX32" s="62" t="e">
        <f>BX7*Premissas!$C$5</f>
        <v>#DIV/0!</v>
      </c>
      <c r="BY32" s="62" t="e">
        <f>BY7*Premissas!$C$5</f>
        <v>#DIV/0!</v>
      </c>
      <c r="BZ32" s="62" t="e">
        <f>BZ7*Premissas!$C$5</f>
        <v>#DIV/0!</v>
      </c>
      <c r="CA32" s="62" t="e">
        <f>CA7*Premissas!$C$5</f>
        <v>#DIV/0!</v>
      </c>
      <c r="CB32" s="62" t="e">
        <f>CB7*Premissas!$C$5</f>
        <v>#DIV/0!</v>
      </c>
      <c r="CC32" s="62" t="e">
        <f>CC7*Premissas!$C$5</f>
        <v>#DIV/0!</v>
      </c>
      <c r="CD32" s="62" t="e">
        <f>CD7*Premissas!$C$5</f>
        <v>#DIV/0!</v>
      </c>
      <c r="CE32" s="62" t="e">
        <f>CE7*Premissas!$C$5</f>
        <v>#DIV/0!</v>
      </c>
      <c r="CF32" s="62" t="e">
        <f>CF7*Premissas!$C$5</f>
        <v>#DIV/0!</v>
      </c>
      <c r="CG32" s="62" t="e">
        <f>CG7*Premissas!$C$5</f>
        <v>#DIV/0!</v>
      </c>
      <c r="CH32" s="62" t="e">
        <f>CH7*Premissas!$C$5</f>
        <v>#DIV/0!</v>
      </c>
      <c r="CI32" s="62" t="e">
        <f>CI7*Premissas!$C$5</f>
        <v>#DIV/0!</v>
      </c>
      <c r="CJ32" s="62" t="e">
        <f>CJ7*Premissas!$C$5</f>
        <v>#DIV/0!</v>
      </c>
      <c r="CK32" s="62" t="e">
        <f>CK7*Premissas!$C$5</f>
        <v>#DIV/0!</v>
      </c>
      <c r="CL32" s="62" t="e">
        <f>CL7*Premissas!$C$5</f>
        <v>#DIV/0!</v>
      </c>
      <c r="CM32" s="62" t="e">
        <f>CM7*Premissas!$C$5</f>
        <v>#DIV/0!</v>
      </c>
      <c r="CN32" s="62" t="e">
        <f>CN7*Premissas!$C$5</f>
        <v>#DIV/0!</v>
      </c>
      <c r="CO32" s="62" t="e">
        <f>CO7*Premissas!$C$5</f>
        <v>#DIV/0!</v>
      </c>
      <c r="CP32" s="62" t="e">
        <f>CP7*Premissas!$C$5</f>
        <v>#DIV/0!</v>
      </c>
      <c r="CQ32" s="62" t="e">
        <f>CQ7*Premissas!$C$5</f>
        <v>#DIV/0!</v>
      </c>
      <c r="CR32" s="62" t="e">
        <f>CR7*Premissas!$C$5</f>
        <v>#DIV/0!</v>
      </c>
      <c r="CS32" s="62" t="e">
        <f>CS7*Premissas!$C$5</f>
        <v>#DIV/0!</v>
      </c>
      <c r="CT32" s="62" t="e">
        <f>CT7*Premissas!$C$5</f>
        <v>#DIV/0!</v>
      </c>
      <c r="CU32" s="62" t="e">
        <f>CU7*Premissas!$C$5</f>
        <v>#DIV/0!</v>
      </c>
      <c r="CV32" s="62" t="e">
        <f>CV7*Premissas!$C$5</f>
        <v>#DIV/0!</v>
      </c>
      <c r="CW32" s="62" t="e">
        <f>CW7*Premissas!$C$5</f>
        <v>#DIV/0!</v>
      </c>
      <c r="CX32" s="62" t="e">
        <f>CX7*Premissas!$C$5</f>
        <v>#DIV/0!</v>
      </c>
      <c r="CY32" s="62" t="e">
        <f>CY7*Premissas!$C$5</f>
        <v>#DIV/0!</v>
      </c>
      <c r="CZ32" s="62" t="e">
        <f>CZ7*Premissas!$C$5</f>
        <v>#DIV/0!</v>
      </c>
      <c r="DA32" s="62" t="e">
        <f>DA7*Premissas!$C$5</f>
        <v>#DIV/0!</v>
      </c>
      <c r="DB32" s="62" t="e">
        <f>DB7*Premissas!$C$5</f>
        <v>#DIV/0!</v>
      </c>
      <c r="DC32" s="62" t="e">
        <f>DC7*Premissas!$C$5</f>
        <v>#DIV/0!</v>
      </c>
      <c r="DD32" s="62" t="e">
        <f>DD7*Premissas!$C$5</f>
        <v>#DIV/0!</v>
      </c>
      <c r="DE32" s="62" t="e">
        <f>DE7*Premissas!$C$5</f>
        <v>#DIV/0!</v>
      </c>
      <c r="DF32" s="62" t="e">
        <f>DF7*Premissas!$C$5</f>
        <v>#DIV/0!</v>
      </c>
      <c r="DG32" s="62" t="e">
        <f>DG7*Premissas!$C$5</f>
        <v>#DIV/0!</v>
      </c>
      <c r="DH32" s="62" t="e">
        <f>DH7*Premissas!$C$5</f>
        <v>#DIV/0!</v>
      </c>
      <c r="DI32" s="62" t="e">
        <f>DI7*Premissas!$C$5</f>
        <v>#DIV/0!</v>
      </c>
      <c r="DJ32" s="62" t="e">
        <f>DJ7*Premissas!$C$5</f>
        <v>#DIV/0!</v>
      </c>
      <c r="DK32" s="62" t="e">
        <f>DK7*Premissas!$C$5</f>
        <v>#DIV/0!</v>
      </c>
      <c r="DL32" s="62" t="e">
        <f>DL7*Premissas!$C$5</f>
        <v>#DIV/0!</v>
      </c>
      <c r="DM32" s="62" t="e">
        <f>DM7*Premissas!$C$5</f>
        <v>#DIV/0!</v>
      </c>
      <c r="DN32" s="62" t="e">
        <f>DN7*Premissas!$C$5</f>
        <v>#DIV/0!</v>
      </c>
      <c r="DO32" s="62" t="e">
        <f>DO7*Premissas!$C$5</f>
        <v>#DIV/0!</v>
      </c>
      <c r="DP32" s="62" t="e">
        <f>DP7*Premissas!$C$5</f>
        <v>#DIV/0!</v>
      </c>
      <c r="DQ32" s="62" t="e">
        <f>DQ7*Premissas!$C$5</f>
        <v>#DIV/0!</v>
      </c>
      <c r="DR32" s="62" t="e">
        <f>DR7*Premissas!$C$5</f>
        <v>#DIV/0!</v>
      </c>
      <c r="DS32" s="62" t="e">
        <f>DS7*Premissas!$C$5</f>
        <v>#DIV/0!</v>
      </c>
      <c r="DT32" s="62" t="e">
        <f>DT7*Premissas!$C$5</f>
        <v>#DIV/0!</v>
      </c>
      <c r="DU32" s="62" t="e">
        <f>DU7*Premissas!$C$5</f>
        <v>#DIV/0!</v>
      </c>
      <c r="DV32" s="62" t="e">
        <f>DV7*Premissas!$C$5</f>
        <v>#DIV/0!</v>
      </c>
      <c r="DW32" s="62" t="e">
        <f>DW7*Premissas!$C$5</f>
        <v>#DIV/0!</v>
      </c>
      <c r="DX32" s="62" t="e">
        <f>DX7*Premissas!$C$5</f>
        <v>#DIV/0!</v>
      </c>
      <c r="DY32" s="62" t="e">
        <f>DY7*Premissas!$C$5</f>
        <v>#DIV/0!</v>
      </c>
      <c r="DZ32" s="62" t="e">
        <f>DZ7*Premissas!$C$5</f>
        <v>#DIV/0!</v>
      </c>
      <c r="EA32" s="62" t="e">
        <f>EA7*Premissas!$C$5</f>
        <v>#DIV/0!</v>
      </c>
      <c r="EB32" s="62" t="e">
        <f>EB7*Premissas!$C$5</f>
        <v>#DIV/0!</v>
      </c>
      <c r="EC32" s="62" t="e">
        <f>EC7*Premissas!$C$5</f>
        <v>#DIV/0!</v>
      </c>
      <c r="ED32" s="62" t="e">
        <f>ED7*Premissas!$C$5</f>
        <v>#DIV/0!</v>
      </c>
    </row>
    <row r="33" spans="1:135" ht="12.5" x14ac:dyDescent="0.25">
      <c r="B33" s="46" t="s">
        <v>203</v>
      </c>
      <c r="C33" s="53"/>
      <c r="D33" s="62" t="e">
        <f t="shared" ref="D33:H33" si="40">SUMIFS($O33:$BV33,$O$4:$BV$4,D$3)</f>
        <v>#DIV/0!</v>
      </c>
      <c r="E33" s="62" t="e">
        <f t="shared" si="40"/>
        <v>#DIV/0!</v>
      </c>
      <c r="F33" s="62" t="e">
        <f t="shared" si="40"/>
        <v>#DIV/0!</v>
      </c>
      <c r="G33" s="62" t="e">
        <f t="shared" si="40"/>
        <v>#DIV/0!</v>
      </c>
      <c r="H33" s="62" t="e">
        <f t="shared" si="40"/>
        <v>#DIV/0!</v>
      </c>
      <c r="I33" s="62" t="e">
        <f t="shared" ref="I33:M33" si="41">SUMIFS($O33:$ED33,$O$4:$ED$4,I$3)</f>
        <v>#DIV/0!</v>
      </c>
      <c r="J33" s="62" t="e">
        <f t="shared" si="41"/>
        <v>#DIV/0!</v>
      </c>
      <c r="K33" s="62" t="e">
        <f t="shared" si="41"/>
        <v>#DIV/0!</v>
      </c>
      <c r="L33" s="62" t="e">
        <f t="shared" si="41"/>
        <v>#DIV/0!</v>
      </c>
      <c r="M33" s="62" t="e">
        <f t="shared" si="41"/>
        <v>#DIV/0!</v>
      </c>
      <c r="N33" s="53"/>
      <c r="O33" s="62" t="e">
        <f>O7*Premissas!$C$7</f>
        <v>#DIV/0!</v>
      </c>
      <c r="P33" s="62" t="e">
        <f>P7*Premissas!$C$7</f>
        <v>#DIV/0!</v>
      </c>
      <c r="Q33" s="62" t="e">
        <f>Q7*Premissas!$C$7</f>
        <v>#DIV/0!</v>
      </c>
      <c r="R33" s="62" t="e">
        <f>R7*Premissas!$C$7</f>
        <v>#DIV/0!</v>
      </c>
      <c r="S33" s="62" t="e">
        <f>S7*Premissas!$C$7</f>
        <v>#DIV/0!</v>
      </c>
      <c r="T33" s="62" t="e">
        <f>T7*Premissas!$C$7</f>
        <v>#DIV/0!</v>
      </c>
      <c r="U33" s="62" t="e">
        <f>U7*Premissas!$C$7</f>
        <v>#DIV/0!</v>
      </c>
      <c r="V33" s="62" t="e">
        <f>V7*Premissas!$C$7</f>
        <v>#DIV/0!</v>
      </c>
      <c r="W33" s="62" t="e">
        <f>W7*Premissas!$C$7</f>
        <v>#DIV/0!</v>
      </c>
      <c r="X33" s="62" t="e">
        <f>X7*Premissas!$C$7</f>
        <v>#DIV/0!</v>
      </c>
      <c r="Y33" s="62" t="e">
        <f>Y7*Premissas!$C$7</f>
        <v>#DIV/0!</v>
      </c>
      <c r="Z33" s="62" t="e">
        <f>Z7*Premissas!$C$7</f>
        <v>#DIV/0!</v>
      </c>
      <c r="AA33" s="62" t="e">
        <f>AA7*Premissas!$C$7</f>
        <v>#DIV/0!</v>
      </c>
      <c r="AB33" s="62" t="e">
        <f>AB7*Premissas!$C$7</f>
        <v>#DIV/0!</v>
      </c>
      <c r="AC33" s="62" t="e">
        <f>AC7*Premissas!$C$7</f>
        <v>#DIV/0!</v>
      </c>
      <c r="AD33" s="62" t="e">
        <f>AD7*Premissas!$C$7</f>
        <v>#DIV/0!</v>
      </c>
      <c r="AE33" s="62" t="e">
        <f>AE7*Premissas!$C$7</f>
        <v>#DIV/0!</v>
      </c>
      <c r="AF33" s="62" t="e">
        <f>AF7*Premissas!$C$7</f>
        <v>#DIV/0!</v>
      </c>
      <c r="AG33" s="62" t="e">
        <f>AG7*Premissas!$C$7</f>
        <v>#DIV/0!</v>
      </c>
      <c r="AH33" s="62" t="e">
        <f>AH7*Premissas!$C$7</f>
        <v>#DIV/0!</v>
      </c>
      <c r="AI33" s="62" t="e">
        <f>AI7*Premissas!$C$7</f>
        <v>#DIV/0!</v>
      </c>
      <c r="AJ33" s="62" t="e">
        <f>AJ7*Premissas!$C$7</f>
        <v>#DIV/0!</v>
      </c>
      <c r="AK33" s="62" t="e">
        <f>AK7*Premissas!$C$7</f>
        <v>#DIV/0!</v>
      </c>
      <c r="AL33" s="62" t="e">
        <f>AL7*Premissas!$C$7</f>
        <v>#DIV/0!</v>
      </c>
      <c r="AM33" s="62" t="e">
        <f>AM7*Premissas!$C$7</f>
        <v>#DIV/0!</v>
      </c>
      <c r="AN33" s="62" t="e">
        <f>AN7*Premissas!$C$7</f>
        <v>#DIV/0!</v>
      </c>
      <c r="AO33" s="62" t="e">
        <f>AO7*Premissas!$C$7</f>
        <v>#DIV/0!</v>
      </c>
      <c r="AP33" s="62" t="e">
        <f>AP7*Premissas!$C$7</f>
        <v>#DIV/0!</v>
      </c>
      <c r="AQ33" s="62" t="e">
        <f>AQ7*Premissas!$C$7</f>
        <v>#DIV/0!</v>
      </c>
      <c r="AR33" s="62" t="e">
        <f>AR7*Premissas!$C$7</f>
        <v>#DIV/0!</v>
      </c>
      <c r="AS33" s="62" t="e">
        <f>AS7*Premissas!$C$7</f>
        <v>#DIV/0!</v>
      </c>
      <c r="AT33" s="62" t="e">
        <f>AT7*Premissas!$C$7</f>
        <v>#DIV/0!</v>
      </c>
      <c r="AU33" s="62" t="e">
        <f>AU7*Premissas!$C$7</f>
        <v>#DIV/0!</v>
      </c>
      <c r="AV33" s="62" t="e">
        <f>AV7*Premissas!$C$7</f>
        <v>#DIV/0!</v>
      </c>
      <c r="AW33" s="62" t="e">
        <f>AW7*Premissas!$C$7</f>
        <v>#DIV/0!</v>
      </c>
      <c r="AX33" s="62" t="e">
        <f>AX7*Premissas!$C$7</f>
        <v>#DIV/0!</v>
      </c>
      <c r="AY33" s="62" t="e">
        <f>AY7*Premissas!$C$7</f>
        <v>#DIV/0!</v>
      </c>
      <c r="AZ33" s="62" t="e">
        <f>AZ7*Premissas!$C$7</f>
        <v>#DIV/0!</v>
      </c>
      <c r="BA33" s="62" t="e">
        <f>BA7*Premissas!$C$7</f>
        <v>#DIV/0!</v>
      </c>
      <c r="BB33" s="62" t="e">
        <f>BB7*Premissas!$C$7</f>
        <v>#DIV/0!</v>
      </c>
      <c r="BC33" s="62" t="e">
        <f>BC7*Premissas!$C$7</f>
        <v>#DIV/0!</v>
      </c>
      <c r="BD33" s="62" t="e">
        <f>BD7*Premissas!$C$7</f>
        <v>#DIV/0!</v>
      </c>
      <c r="BE33" s="62" t="e">
        <f>BE7*Premissas!$C$7</f>
        <v>#DIV/0!</v>
      </c>
      <c r="BF33" s="62" t="e">
        <f>BF7*Premissas!$C$7</f>
        <v>#DIV/0!</v>
      </c>
      <c r="BG33" s="62" t="e">
        <f>BG7*Premissas!$C$7</f>
        <v>#DIV/0!</v>
      </c>
      <c r="BH33" s="62" t="e">
        <f>BH7*Premissas!$C$7</f>
        <v>#DIV/0!</v>
      </c>
      <c r="BI33" s="62" t="e">
        <f>BI7*Premissas!$C$7</f>
        <v>#DIV/0!</v>
      </c>
      <c r="BJ33" s="62" t="e">
        <f>BJ7*Premissas!$C$7</f>
        <v>#DIV/0!</v>
      </c>
      <c r="BK33" s="62" t="e">
        <f>BK7*Premissas!$C$7</f>
        <v>#DIV/0!</v>
      </c>
      <c r="BL33" s="62" t="e">
        <f>BL7*Premissas!$C$7</f>
        <v>#DIV/0!</v>
      </c>
      <c r="BM33" s="62" t="e">
        <f>BM7*Premissas!$C$7</f>
        <v>#DIV/0!</v>
      </c>
      <c r="BN33" s="62" t="e">
        <f>BN7*Premissas!$C$7</f>
        <v>#DIV/0!</v>
      </c>
      <c r="BO33" s="62" t="e">
        <f>BO7*Premissas!$C$7</f>
        <v>#DIV/0!</v>
      </c>
      <c r="BP33" s="62" t="e">
        <f>BP7*Premissas!$C$7</f>
        <v>#DIV/0!</v>
      </c>
      <c r="BQ33" s="62" t="e">
        <f>BQ7*Premissas!$C$7</f>
        <v>#DIV/0!</v>
      </c>
      <c r="BR33" s="62" t="e">
        <f>BR7*Premissas!$C$7</f>
        <v>#DIV/0!</v>
      </c>
      <c r="BS33" s="62" t="e">
        <f>BS7*Premissas!$C$7</f>
        <v>#DIV/0!</v>
      </c>
      <c r="BT33" s="62" t="e">
        <f>BT7*Premissas!$C$7</f>
        <v>#DIV/0!</v>
      </c>
      <c r="BU33" s="62" t="e">
        <f>BU7*Premissas!$C$7</f>
        <v>#DIV/0!</v>
      </c>
      <c r="BV33" s="62" t="e">
        <f>BV7*Premissas!$C$7</f>
        <v>#DIV/0!</v>
      </c>
      <c r="BW33" s="62" t="e">
        <f>BW7*Premissas!$C$7</f>
        <v>#DIV/0!</v>
      </c>
      <c r="BX33" s="62" t="e">
        <f>BX7*Premissas!$C$7</f>
        <v>#DIV/0!</v>
      </c>
      <c r="BY33" s="62" t="e">
        <f>BY7*Premissas!$C$7</f>
        <v>#DIV/0!</v>
      </c>
      <c r="BZ33" s="62" t="e">
        <f>BZ7*Premissas!$C$7</f>
        <v>#DIV/0!</v>
      </c>
      <c r="CA33" s="62" t="e">
        <f>CA7*Premissas!$C$7</f>
        <v>#DIV/0!</v>
      </c>
      <c r="CB33" s="62" t="e">
        <f>CB7*Premissas!$C$7</f>
        <v>#DIV/0!</v>
      </c>
      <c r="CC33" s="62" t="e">
        <f>CC7*Premissas!$C$7</f>
        <v>#DIV/0!</v>
      </c>
      <c r="CD33" s="62" t="e">
        <f>CD7*Premissas!$C$7</f>
        <v>#DIV/0!</v>
      </c>
      <c r="CE33" s="62" t="e">
        <f>CE7*Premissas!$C$7</f>
        <v>#DIV/0!</v>
      </c>
      <c r="CF33" s="62" t="e">
        <f>CF7*Premissas!$C$7</f>
        <v>#DIV/0!</v>
      </c>
      <c r="CG33" s="62" t="e">
        <f>CG7*Premissas!$C$7</f>
        <v>#DIV/0!</v>
      </c>
      <c r="CH33" s="62" t="e">
        <f>CH7*Premissas!$C$7</f>
        <v>#DIV/0!</v>
      </c>
      <c r="CI33" s="62" t="e">
        <f>CI7*Premissas!$C$7</f>
        <v>#DIV/0!</v>
      </c>
      <c r="CJ33" s="62" t="e">
        <f>CJ7*Premissas!$C$7</f>
        <v>#DIV/0!</v>
      </c>
      <c r="CK33" s="62" t="e">
        <f>CK7*Premissas!$C$7</f>
        <v>#DIV/0!</v>
      </c>
      <c r="CL33" s="62" t="e">
        <f>CL7*Premissas!$C$7</f>
        <v>#DIV/0!</v>
      </c>
      <c r="CM33" s="62" t="e">
        <f>CM7*Premissas!$C$7</f>
        <v>#DIV/0!</v>
      </c>
      <c r="CN33" s="62" t="e">
        <f>CN7*Premissas!$C$7</f>
        <v>#DIV/0!</v>
      </c>
      <c r="CO33" s="62" t="e">
        <f>CO7*Premissas!$C$7</f>
        <v>#DIV/0!</v>
      </c>
      <c r="CP33" s="62" t="e">
        <f>CP7*Premissas!$C$7</f>
        <v>#DIV/0!</v>
      </c>
      <c r="CQ33" s="62" t="e">
        <f>CQ7*Premissas!$C$7</f>
        <v>#DIV/0!</v>
      </c>
      <c r="CR33" s="62" t="e">
        <f>CR7*Premissas!$C$7</f>
        <v>#DIV/0!</v>
      </c>
      <c r="CS33" s="62" t="e">
        <f>CS7*Premissas!$C$7</f>
        <v>#DIV/0!</v>
      </c>
      <c r="CT33" s="62" t="e">
        <f>CT7*Premissas!$C$7</f>
        <v>#DIV/0!</v>
      </c>
      <c r="CU33" s="62" t="e">
        <f>CU7*Premissas!$C$7</f>
        <v>#DIV/0!</v>
      </c>
      <c r="CV33" s="62" t="e">
        <f>CV7*Premissas!$C$7</f>
        <v>#DIV/0!</v>
      </c>
      <c r="CW33" s="62" t="e">
        <f>CW7*Premissas!$C$7</f>
        <v>#DIV/0!</v>
      </c>
      <c r="CX33" s="62" t="e">
        <f>CX7*Premissas!$C$7</f>
        <v>#DIV/0!</v>
      </c>
      <c r="CY33" s="62" t="e">
        <f>CY7*Premissas!$C$7</f>
        <v>#DIV/0!</v>
      </c>
      <c r="CZ33" s="62" t="e">
        <f>CZ7*Premissas!$C$7</f>
        <v>#DIV/0!</v>
      </c>
      <c r="DA33" s="62" t="e">
        <f>DA7*Premissas!$C$7</f>
        <v>#DIV/0!</v>
      </c>
      <c r="DB33" s="62" t="e">
        <f>DB7*Premissas!$C$7</f>
        <v>#DIV/0!</v>
      </c>
      <c r="DC33" s="62" t="e">
        <f>DC7*Premissas!$C$7</f>
        <v>#DIV/0!</v>
      </c>
      <c r="DD33" s="62" t="e">
        <f>DD7*Premissas!$C$7</f>
        <v>#DIV/0!</v>
      </c>
      <c r="DE33" s="62" t="e">
        <f>DE7*Premissas!$C$7</f>
        <v>#DIV/0!</v>
      </c>
      <c r="DF33" s="62" t="e">
        <f>DF7*Premissas!$C$7</f>
        <v>#DIV/0!</v>
      </c>
      <c r="DG33" s="62" t="e">
        <f>DG7*Premissas!$C$7</f>
        <v>#DIV/0!</v>
      </c>
      <c r="DH33" s="62" t="e">
        <f>DH7*Premissas!$C$7</f>
        <v>#DIV/0!</v>
      </c>
      <c r="DI33" s="62" t="e">
        <f>DI7*Premissas!$C$7</f>
        <v>#DIV/0!</v>
      </c>
      <c r="DJ33" s="62" t="e">
        <f>DJ7*Premissas!$C$7</f>
        <v>#DIV/0!</v>
      </c>
      <c r="DK33" s="62" t="e">
        <f>DK7*Premissas!$C$7</f>
        <v>#DIV/0!</v>
      </c>
      <c r="DL33" s="62" t="e">
        <f>DL7*Premissas!$C$7</f>
        <v>#DIV/0!</v>
      </c>
      <c r="DM33" s="62" t="e">
        <f>DM7*Premissas!$C$7</f>
        <v>#DIV/0!</v>
      </c>
      <c r="DN33" s="62" t="e">
        <f>DN7*Premissas!$C$7</f>
        <v>#DIV/0!</v>
      </c>
      <c r="DO33" s="62" t="e">
        <f>DO7*Premissas!$C$7</f>
        <v>#DIV/0!</v>
      </c>
      <c r="DP33" s="62" t="e">
        <f>DP7*Premissas!$C$7</f>
        <v>#DIV/0!</v>
      </c>
      <c r="DQ33" s="62" t="e">
        <f>DQ7*Premissas!$C$7</f>
        <v>#DIV/0!</v>
      </c>
      <c r="DR33" s="62" t="e">
        <f>DR7*Premissas!$C$7</f>
        <v>#DIV/0!</v>
      </c>
      <c r="DS33" s="62" t="e">
        <f>DS7*Premissas!$C$7</f>
        <v>#DIV/0!</v>
      </c>
      <c r="DT33" s="62" t="e">
        <f>DT7*Premissas!$C$7</f>
        <v>#DIV/0!</v>
      </c>
      <c r="DU33" s="62" t="e">
        <f>DU7*Premissas!$C$7</f>
        <v>#DIV/0!</v>
      </c>
      <c r="DV33" s="62" t="e">
        <f>DV7*Premissas!$C$7</f>
        <v>#DIV/0!</v>
      </c>
      <c r="DW33" s="62" t="e">
        <f>DW7*Premissas!$C$7</f>
        <v>#DIV/0!</v>
      </c>
      <c r="DX33" s="62" t="e">
        <f>DX7*Premissas!$C$7</f>
        <v>#DIV/0!</v>
      </c>
      <c r="DY33" s="62" t="e">
        <f>DY7*Premissas!$C$7</f>
        <v>#DIV/0!</v>
      </c>
      <c r="DZ33" s="62" t="e">
        <f>DZ7*Premissas!$C$7</f>
        <v>#DIV/0!</v>
      </c>
      <c r="EA33" s="62" t="e">
        <f>EA7*Premissas!$C$7</f>
        <v>#DIV/0!</v>
      </c>
      <c r="EB33" s="62" t="e">
        <f>EB7*Premissas!$C$7</f>
        <v>#DIV/0!</v>
      </c>
      <c r="EC33" s="62" t="e">
        <f>EC7*Premissas!$C$7</f>
        <v>#DIV/0!</v>
      </c>
      <c r="ED33" s="62" t="e">
        <f>ED7*Premissas!$C$7</f>
        <v>#DIV/0!</v>
      </c>
    </row>
    <row r="34" spans="1:135" ht="12.5" x14ac:dyDescent="0.25">
      <c r="B34" s="46" t="s">
        <v>204</v>
      </c>
      <c r="D34" s="62" t="e">
        <f t="shared" ref="D34:H34" si="42">SUMIFS($O34:$BV34,$O$4:$BV$4,D$3)</f>
        <v>#DIV/0!</v>
      </c>
      <c r="E34" s="62" t="e">
        <f t="shared" si="42"/>
        <v>#DIV/0!</v>
      </c>
      <c r="F34" s="62" t="e">
        <f t="shared" si="42"/>
        <v>#DIV/0!</v>
      </c>
      <c r="G34" s="62" t="e">
        <f t="shared" si="42"/>
        <v>#DIV/0!</v>
      </c>
      <c r="H34" s="62" t="e">
        <f t="shared" si="42"/>
        <v>#DIV/0!</v>
      </c>
      <c r="I34" s="62" t="e">
        <f t="shared" ref="I34:M34" si="43">SUMIFS($O34:$ED34,$O$4:$ED$4,I$3)</f>
        <v>#DIV/0!</v>
      </c>
      <c r="J34" s="62" t="e">
        <f t="shared" si="43"/>
        <v>#DIV/0!</v>
      </c>
      <c r="K34" s="62" t="e">
        <f t="shared" si="43"/>
        <v>#DIV/0!</v>
      </c>
      <c r="L34" s="62" t="e">
        <f t="shared" si="43"/>
        <v>#DIV/0!</v>
      </c>
      <c r="M34" s="62" t="e">
        <f t="shared" si="43"/>
        <v>#DIV/0!</v>
      </c>
      <c r="O34" s="62" t="e">
        <f>IF(O7&gt;0,Simulador!$G$60*Premissas!$C$17,0)</f>
        <v>#DIV/0!</v>
      </c>
      <c r="P34" s="62" t="e">
        <f>IF(P7&gt;0,Simulador!$G$60*Premissas!$C$17,0)</f>
        <v>#DIV/0!</v>
      </c>
      <c r="Q34" s="62" t="e">
        <f>IF(Q7&gt;0,Simulador!$G$60*Premissas!$C$17,0)</f>
        <v>#DIV/0!</v>
      </c>
      <c r="R34" s="62" t="e">
        <f>IF(R7&gt;0,Simulador!$G$60*Premissas!$C$17,0)</f>
        <v>#DIV/0!</v>
      </c>
      <c r="S34" s="62" t="e">
        <f>IF(S7&gt;0,Simulador!$G$60*Premissas!$C$17,0)</f>
        <v>#DIV/0!</v>
      </c>
      <c r="T34" s="62" t="e">
        <f>IF(T7&gt;0,Simulador!$G$60*Premissas!$C$17,0)</f>
        <v>#DIV/0!</v>
      </c>
      <c r="U34" s="62" t="e">
        <f>IF(U7&gt;0,Simulador!$G$60*Premissas!$C$17,0)</f>
        <v>#DIV/0!</v>
      </c>
      <c r="V34" s="62" t="e">
        <f>IF(V7&gt;0,Simulador!$G$60*Premissas!$C$17,0)</f>
        <v>#DIV/0!</v>
      </c>
      <c r="W34" s="62" t="e">
        <f>IF(W7&gt;0,Simulador!$G$60*Premissas!$C$17,0)</f>
        <v>#DIV/0!</v>
      </c>
      <c r="X34" s="62" t="e">
        <f>IF(X7&gt;0,Simulador!$G$60*Premissas!$C$17,0)</f>
        <v>#DIV/0!</v>
      </c>
      <c r="Y34" s="62" t="e">
        <f>IF(Y7&gt;0,Simulador!$G$60*Premissas!$C$17,0)</f>
        <v>#DIV/0!</v>
      </c>
      <c r="Z34" s="62" t="e">
        <f>IF(Z7&gt;0,Simulador!$G$60*Premissas!$C$17,0)</f>
        <v>#DIV/0!</v>
      </c>
      <c r="AA34" s="62" t="e">
        <f>IF(AA7&gt;0,Simulador!$G$60*Premissas!$C$17,0)</f>
        <v>#DIV/0!</v>
      </c>
      <c r="AB34" s="62" t="e">
        <f>IF(AB7&gt;0,Simulador!$G$60*Premissas!$C$17,0)</f>
        <v>#DIV/0!</v>
      </c>
      <c r="AC34" s="62" t="e">
        <f>IF(AC7&gt;0,Simulador!$G$60*Premissas!$C$17,0)</f>
        <v>#DIV/0!</v>
      </c>
      <c r="AD34" s="62" t="e">
        <f>IF(AD7&gt;0,Simulador!$G$60*Premissas!$C$17,0)</f>
        <v>#DIV/0!</v>
      </c>
      <c r="AE34" s="62" t="e">
        <f>IF(AE7&gt;0,Simulador!$G$60*Premissas!$C$17,0)</f>
        <v>#DIV/0!</v>
      </c>
      <c r="AF34" s="62" t="e">
        <f>IF(AF7&gt;0,Simulador!$G$60*Premissas!$C$17,0)</f>
        <v>#DIV/0!</v>
      </c>
      <c r="AG34" s="62" t="e">
        <f>IF(AG7&gt;0,Simulador!$G$60*Premissas!$C$17,0)</f>
        <v>#DIV/0!</v>
      </c>
      <c r="AH34" s="62" t="e">
        <f>IF(AH7&gt;0,Simulador!$G$60*Premissas!$C$17,0)</f>
        <v>#DIV/0!</v>
      </c>
      <c r="AI34" s="62" t="e">
        <f>IF(AI7&gt;0,Simulador!$G$60*Premissas!$C$17,0)</f>
        <v>#DIV/0!</v>
      </c>
      <c r="AJ34" s="62" t="e">
        <f>IF(AJ7&gt;0,Simulador!$G$60*Premissas!$C$17,0)</f>
        <v>#DIV/0!</v>
      </c>
      <c r="AK34" s="62" t="e">
        <f>IF(AK7&gt;0,Simulador!$G$60*Premissas!$C$17,0)</f>
        <v>#DIV/0!</v>
      </c>
      <c r="AL34" s="62" t="e">
        <f>IF(AL7&gt;0,Simulador!$G$60*Premissas!$C$17,0)</f>
        <v>#DIV/0!</v>
      </c>
      <c r="AM34" s="62" t="e">
        <f>IF(AM7&gt;0,Simulador!$G$60*Premissas!$C$17,0)</f>
        <v>#DIV/0!</v>
      </c>
      <c r="AN34" s="62" t="e">
        <f>IF(AN7&gt;0,Simulador!$G$60*Premissas!$C$17,0)</f>
        <v>#DIV/0!</v>
      </c>
      <c r="AO34" s="62" t="e">
        <f>IF(AO7&gt;0,Simulador!$G$60*Premissas!$C$17,0)</f>
        <v>#DIV/0!</v>
      </c>
      <c r="AP34" s="62" t="e">
        <f>IF(AP7&gt;0,Simulador!$G$60*Premissas!$C$17,0)</f>
        <v>#DIV/0!</v>
      </c>
      <c r="AQ34" s="62" t="e">
        <f>IF(AQ7&gt;0,Simulador!$G$60*Premissas!$C$17,0)</f>
        <v>#DIV/0!</v>
      </c>
      <c r="AR34" s="62" t="e">
        <f>IF(AR7&gt;0,Simulador!$G$60*Premissas!$C$17,0)</f>
        <v>#DIV/0!</v>
      </c>
      <c r="AS34" s="62" t="e">
        <f>IF(AS7&gt;0,Simulador!$G$60*Premissas!$C$17,0)</f>
        <v>#DIV/0!</v>
      </c>
      <c r="AT34" s="62" t="e">
        <f>IF(AT7&gt;0,Simulador!$G$60*Premissas!$C$17,0)</f>
        <v>#DIV/0!</v>
      </c>
      <c r="AU34" s="62" t="e">
        <f>IF(AU7&gt;0,Simulador!$G$60*Premissas!$C$17,0)</f>
        <v>#DIV/0!</v>
      </c>
      <c r="AV34" s="62" t="e">
        <f>IF(AV7&gt;0,Simulador!$G$60*Premissas!$C$17,0)</f>
        <v>#DIV/0!</v>
      </c>
      <c r="AW34" s="62" t="e">
        <f>IF(AW7&gt;0,Simulador!$G$60*Premissas!$C$17,0)</f>
        <v>#DIV/0!</v>
      </c>
      <c r="AX34" s="62" t="e">
        <f>IF(AX7&gt;0,Simulador!$G$60*Premissas!$C$17,0)</f>
        <v>#DIV/0!</v>
      </c>
      <c r="AY34" s="62" t="e">
        <f>IF(AY7&gt;0,Simulador!$G$60*Premissas!$C$17,0)</f>
        <v>#DIV/0!</v>
      </c>
      <c r="AZ34" s="62" t="e">
        <f>IF(AZ7&gt;0,Simulador!$G$60*Premissas!$C$17,0)</f>
        <v>#DIV/0!</v>
      </c>
      <c r="BA34" s="62" t="e">
        <f>IF(BA7&gt;0,Simulador!$G$60*Premissas!$C$17,0)</f>
        <v>#DIV/0!</v>
      </c>
      <c r="BB34" s="62" t="e">
        <f>IF(BB7&gt;0,Simulador!$G$60*Premissas!$C$17,0)</f>
        <v>#DIV/0!</v>
      </c>
      <c r="BC34" s="62" t="e">
        <f>IF(BC7&gt;0,Simulador!$G$60*Premissas!$C$17,0)</f>
        <v>#DIV/0!</v>
      </c>
      <c r="BD34" s="62" t="e">
        <f>IF(BD7&gt;0,Simulador!$G$60*Premissas!$C$17,0)</f>
        <v>#DIV/0!</v>
      </c>
      <c r="BE34" s="62" t="e">
        <f>IF(BE7&gt;0,Simulador!$G$60*Premissas!$C$17,0)</f>
        <v>#DIV/0!</v>
      </c>
      <c r="BF34" s="62" t="e">
        <f>IF(BF7&gt;0,Simulador!$G$60*Premissas!$C$17,0)</f>
        <v>#DIV/0!</v>
      </c>
      <c r="BG34" s="62" t="e">
        <f>IF(BG7&gt;0,Simulador!$G$60*Premissas!$C$17,0)</f>
        <v>#DIV/0!</v>
      </c>
      <c r="BH34" s="62" t="e">
        <f>IF(BH7&gt;0,Simulador!$G$60*Premissas!$C$17,0)</f>
        <v>#DIV/0!</v>
      </c>
      <c r="BI34" s="62" t="e">
        <f>IF(BI7&gt;0,Simulador!$G$60*Premissas!$C$17,0)</f>
        <v>#DIV/0!</v>
      </c>
      <c r="BJ34" s="62" t="e">
        <f>IF(BJ7&gt;0,Simulador!$G$60*Premissas!$C$17,0)</f>
        <v>#DIV/0!</v>
      </c>
      <c r="BK34" s="62" t="e">
        <f>IF(BK7&gt;0,Simulador!$G$60*Premissas!$C$17,0)</f>
        <v>#DIV/0!</v>
      </c>
      <c r="BL34" s="62" t="e">
        <f>IF(BL7&gt;0,Simulador!$G$60*Premissas!$C$17,0)</f>
        <v>#DIV/0!</v>
      </c>
      <c r="BM34" s="62" t="e">
        <f>IF(BM7&gt;0,Simulador!$G$60*Premissas!$C$17,0)</f>
        <v>#DIV/0!</v>
      </c>
      <c r="BN34" s="62" t="e">
        <f>IF(BN7&gt;0,Simulador!$G$60*Premissas!$C$17,0)</f>
        <v>#DIV/0!</v>
      </c>
      <c r="BO34" s="62" t="e">
        <f>IF(BO7&gt;0,Simulador!$G$60*Premissas!$C$17,0)</f>
        <v>#DIV/0!</v>
      </c>
      <c r="BP34" s="62" t="e">
        <f>IF(BP7&gt;0,Simulador!$G$60*Premissas!$C$17,0)</f>
        <v>#DIV/0!</v>
      </c>
      <c r="BQ34" s="62" t="e">
        <f>IF(BQ7&gt;0,Simulador!$G$60*Premissas!$C$17,0)</f>
        <v>#DIV/0!</v>
      </c>
      <c r="BR34" s="62" t="e">
        <f>IF(BR7&gt;0,Simulador!$G$60*Premissas!$C$17,0)</f>
        <v>#DIV/0!</v>
      </c>
      <c r="BS34" s="62" t="e">
        <f>IF(BS7&gt;0,Simulador!$G$60*Premissas!$C$17,0)</f>
        <v>#DIV/0!</v>
      </c>
      <c r="BT34" s="62" t="e">
        <f>IF(BT7&gt;0,Simulador!$G$60*Premissas!$C$17,0)</f>
        <v>#DIV/0!</v>
      </c>
      <c r="BU34" s="62" t="e">
        <f>IF(BU7&gt;0,Simulador!$G$60*Premissas!$C$17,0)</f>
        <v>#DIV/0!</v>
      </c>
      <c r="BV34" s="62" t="e">
        <f>IF(BV7&gt;0,Simulador!$G$60*Premissas!$C$17,0)</f>
        <v>#DIV/0!</v>
      </c>
      <c r="BW34" s="62" t="e">
        <f>IF(BW7&gt;0,Simulador!$G$60*Premissas!$C$17,0)</f>
        <v>#DIV/0!</v>
      </c>
      <c r="BX34" s="62" t="e">
        <f>IF(BX7&gt;0,Simulador!$G$60*Premissas!$C$17,0)</f>
        <v>#DIV/0!</v>
      </c>
      <c r="BY34" s="62" t="e">
        <f>IF(BY7&gt;0,Simulador!$G$60*Premissas!$C$17,0)</f>
        <v>#DIV/0!</v>
      </c>
      <c r="BZ34" s="62" t="e">
        <f>IF(BZ7&gt;0,Simulador!$G$60*Premissas!$C$17,0)</f>
        <v>#DIV/0!</v>
      </c>
      <c r="CA34" s="62" t="e">
        <f>IF(CA7&gt;0,Simulador!$G$60*Premissas!$C$17,0)</f>
        <v>#DIV/0!</v>
      </c>
      <c r="CB34" s="62" t="e">
        <f>IF(CB7&gt;0,Simulador!$G$60*Premissas!$C$17,0)</f>
        <v>#DIV/0!</v>
      </c>
      <c r="CC34" s="62" t="e">
        <f>IF(CC7&gt;0,Simulador!$G$60*Premissas!$C$17,0)</f>
        <v>#DIV/0!</v>
      </c>
      <c r="CD34" s="62" t="e">
        <f>IF(CD7&gt;0,Simulador!$G$60*Premissas!$C$17,0)</f>
        <v>#DIV/0!</v>
      </c>
      <c r="CE34" s="62" t="e">
        <f>IF(CE7&gt;0,Simulador!$G$60*Premissas!$C$17,0)</f>
        <v>#DIV/0!</v>
      </c>
      <c r="CF34" s="62" t="e">
        <f>IF(CF7&gt;0,Simulador!$G$60*Premissas!$C$17,0)</f>
        <v>#DIV/0!</v>
      </c>
      <c r="CG34" s="62" t="e">
        <f>IF(CG7&gt;0,Simulador!$G$60*Premissas!$C$17,0)</f>
        <v>#DIV/0!</v>
      </c>
      <c r="CH34" s="62" t="e">
        <f>IF(CH7&gt;0,Simulador!$G$60*Premissas!$C$17,0)</f>
        <v>#DIV/0!</v>
      </c>
      <c r="CI34" s="62" t="e">
        <f>IF(CI7&gt;0,Simulador!$G$60*Premissas!$C$17,0)</f>
        <v>#DIV/0!</v>
      </c>
      <c r="CJ34" s="62" t="e">
        <f>IF(CJ7&gt;0,Simulador!$G$60*Premissas!$C$17,0)</f>
        <v>#DIV/0!</v>
      </c>
      <c r="CK34" s="62" t="e">
        <f>IF(CK7&gt;0,Simulador!$G$60*Premissas!$C$17,0)</f>
        <v>#DIV/0!</v>
      </c>
      <c r="CL34" s="62" t="e">
        <f>IF(CL7&gt;0,Simulador!$G$60*Premissas!$C$17,0)</f>
        <v>#DIV/0!</v>
      </c>
      <c r="CM34" s="62" t="e">
        <f>IF(CM7&gt;0,Simulador!$G$60*Premissas!$C$17,0)</f>
        <v>#DIV/0!</v>
      </c>
      <c r="CN34" s="62" t="e">
        <f>IF(CN7&gt;0,Simulador!$G$60*Premissas!$C$17,0)</f>
        <v>#DIV/0!</v>
      </c>
      <c r="CO34" s="62" t="e">
        <f>IF(CO7&gt;0,Simulador!$G$60*Premissas!$C$17,0)</f>
        <v>#DIV/0!</v>
      </c>
      <c r="CP34" s="62" t="e">
        <f>IF(CP7&gt;0,Simulador!$G$60*Premissas!$C$17,0)</f>
        <v>#DIV/0!</v>
      </c>
      <c r="CQ34" s="62" t="e">
        <f>IF(CQ7&gt;0,Simulador!$G$60*Premissas!$C$17,0)</f>
        <v>#DIV/0!</v>
      </c>
      <c r="CR34" s="62" t="e">
        <f>IF(CR7&gt;0,Simulador!$G$60*Premissas!$C$17,0)</f>
        <v>#DIV/0!</v>
      </c>
      <c r="CS34" s="62" t="e">
        <f>IF(CS7&gt;0,Simulador!$G$60*Premissas!$C$17,0)</f>
        <v>#DIV/0!</v>
      </c>
      <c r="CT34" s="62" t="e">
        <f>IF(CT7&gt;0,Simulador!$G$60*Premissas!$C$17,0)</f>
        <v>#DIV/0!</v>
      </c>
      <c r="CU34" s="62" t="e">
        <f>IF(CU7&gt;0,Simulador!$G$60*Premissas!$C$17,0)</f>
        <v>#DIV/0!</v>
      </c>
      <c r="CV34" s="62" t="e">
        <f>IF(CV7&gt;0,Simulador!$G$60*Premissas!$C$17,0)</f>
        <v>#DIV/0!</v>
      </c>
      <c r="CW34" s="62" t="e">
        <f>IF(CW7&gt;0,Simulador!$G$60*Premissas!$C$17,0)</f>
        <v>#DIV/0!</v>
      </c>
      <c r="CX34" s="62" t="e">
        <f>IF(CX7&gt;0,Simulador!$G$60*Premissas!$C$17,0)</f>
        <v>#DIV/0!</v>
      </c>
      <c r="CY34" s="62" t="e">
        <f>IF(CY7&gt;0,Simulador!$G$60*Premissas!$C$17,0)</f>
        <v>#DIV/0!</v>
      </c>
      <c r="CZ34" s="62" t="e">
        <f>IF(CZ7&gt;0,Simulador!$G$60*Premissas!$C$17,0)</f>
        <v>#DIV/0!</v>
      </c>
      <c r="DA34" s="62" t="e">
        <f>IF(DA7&gt;0,Simulador!$G$60*Premissas!$C$17,0)</f>
        <v>#DIV/0!</v>
      </c>
      <c r="DB34" s="62" t="e">
        <f>IF(DB7&gt;0,Simulador!$G$60*Premissas!$C$17,0)</f>
        <v>#DIV/0!</v>
      </c>
      <c r="DC34" s="62" t="e">
        <f>IF(DC7&gt;0,Simulador!$G$60*Premissas!$C$17,0)</f>
        <v>#DIV/0!</v>
      </c>
      <c r="DD34" s="62" t="e">
        <f>IF(DD7&gt;0,Simulador!$G$60*Premissas!$C$17,0)</f>
        <v>#DIV/0!</v>
      </c>
      <c r="DE34" s="62" t="e">
        <f>IF(DE7&gt;0,Simulador!$G$60*Premissas!$C$17,0)</f>
        <v>#DIV/0!</v>
      </c>
      <c r="DF34" s="62" t="e">
        <f>IF(DF7&gt;0,Simulador!$G$60*Premissas!$C$17,0)</f>
        <v>#DIV/0!</v>
      </c>
      <c r="DG34" s="62" t="e">
        <f>IF(DG7&gt;0,Simulador!$G$60*Premissas!$C$17,0)</f>
        <v>#DIV/0!</v>
      </c>
      <c r="DH34" s="62" t="e">
        <f>IF(DH7&gt;0,Simulador!$G$60*Premissas!$C$17,0)</f>
        <v>#DIV/0!</v>
      </c>
      <c r="DI34" s="62" t="e">
        <f>IF(DI7&gt;0,Simulador!$G$60*Premissas!$C$17,0)</f>
        <v>#DIV/0!</v>
      </c>
      <c r="DJ34" s="62" t="e">
        <f>IF(DJ7&gt;0,Simulador!$G$60*Premissas!$C$17,0)</f>
        <v>#DIV/0!</v>
      </c>
      <c r="DK34" s="62" t="e">
        <f>IF(DK7&gt;0,Simulador!$G$60*Premissas!$C$17,0)</f>
        <v>#DIV/0!</v>
      </c>
      <c r="DL34" s="62" t="e">
        <f>IF(DL7&gt;0,Simulador!$G$60*Premissas!$C$17,0)</f>
        <v>#DIV/0!</v>
      </c>
      <c r="DM34" s="62" t="e">
        <f>IF(DM7&gt;0,Simulador!$G$60*Premissas!$C$17,0)</f>
        <v>#DIV/0!</v>
      </c>
      <c r="DN34" s="62" t="e">
        <f>IF(DN7&gt;0,Simulador!$G$60*Premissas!$C$17,0)</f>
        <v>#DIV/0!</v>
      </c>
      <c r="DO34" s="62" t="e">
        <f>IF(DO7&gt;0,Simulador!$G$60*Premissas!$C$17,0)</f>
        <v>#DIV/0!</v>
      </c>
      <c r="DP34" s="62" t="e">
        <f>IF(DP7&gt;0,Simulador!$G$60*Premissas!$C$17,0)</f>
        <v>#DIV/0!</v>
      </c>
      <c r="DQ34" s="62" t="e">
        <f>IF(DQ7&gt;0,Simulador!$G$60*Premissas!$C$17,0)</f>
        <v>#DIV/0!</v>
      </c>
      <c r="DR34" s="62" t="e">
        <f>IF(DR7&gt;0,Simulador!$G$60*Premissas!$C$17,0)</f>
        <v>#DIV/0!</v>
      </c>
      <c r="DS34" s="62" t="e">
        <f>IF(DS7&gt;0,Simulador!$G$60*Premissas!$C$17,0)</f>
        <v>#DIV/0!</v>
      </c>
      <c r="DT34" s="62" t="e">
        <f>IF(DT7&gt;0,Simulador!$G$60*Premissas!$C$17,0)</f>
        <v>#DIV/0!</v>
      </c>
      <c r="DU34" s="62" t="e">
        <f>IF(DU7&gt;0,Simulador!$G$60*Premissas!$C$17,0)</f>
        <v>#DIV/0!</v>
      </c>
      <c r="DV34" s="62" t="e">
        <f>IF(DV7&gt;0,Simulador!$G$60*Premissas!$C$17,0)</f>
        <v>#DIV/0!</v>
      </c>
      <c r="DW34" s="62" t="e">
        <f>IF(DW7&gt;0,Simulador!$G$60*Premissas!$C$17,0)</f>
        <v>#DIV/0!</v>
      </c>
      <c r="DX34" s="62" t="e">
        <f>IF(DX7&gt;0,Simulador!$G$60*Premissas!$C$17,0)</f>
        <v>#DIV/0!</v>
      </c>
      <c r="DY34" s="62" t="e">
        <f>IF(DY7&gt;0,Simulador!$G$60*Premissas!$C$17,0)</f>
        <v>#DIV/0!</v>
      </c>
      <c r="DZ34" s="62" t="e">
        <f>IF(DZ7&gt;0,Simulador!$G$60*Premissas!$C$17,0)</f>
        <v>#DIV/0!</v>
      </c>
      <c r="EA34" s="62" t="e">
        <f>IF(EA7&gt;0,Simulador!$G$60*Premissas!$C$17,0)</f>
        <v>#DIV/0!</v>
      </c>
      <c r="EB34" s="62" t="e">
        <f>IF(EB7&gt;0,Simulador!$G$60*Premissas!$C$17,0)</f>
        <v>#DIV/0!</v>
      </c>
      <c r="EC34" s="62" t="e">
        <f>IF(EC7&gt;0,Simulador!$G$60*Premissas!$C$17,0)</f>
        <v>#DIV/0!</v>
      </c>
      <c r="ED34" s="62" t="e">
        <f>IF(ED7&gt;0,Simulador!$G$60*Premissas!$C$17,0)</f>
        <v>#DIV/0!</v>
      </c>
    </row>
    <row r="35" spans="1:135" ht="12.5" x14ac:dyDescent="0.25">
      <c r="B35" s="46" t="s">
        <v>205</v>
      </c>
      <c r="D35" s="62" t="e">
        <f t="shared" ref="D35:H35" si="44">SUMIFS($O35:$BV35,$O$4:$BV$4,D$3)</f>
        <v>#DIV/0!</v>
      </c>
      <c r="E35" s="62" t="e">
        <f t="shared" si="44"/>
        <v>#DIV/0!</v>
      </c>
      <c r="F35" s="62" t="e">
        <f t="shared" si="44"/>
        <v>#DIV/0!</v>
      </c>
      <c r="G35" s="62" t="e">
        <f t="shared" si="44"/>
        <v>#DIV/0!</v>
      </c>
      <c r="H35" s="62" t="e">
        <f t="shared" si="44"/>
        <v>#DIV/0!</v>
      </c>
      <c r="I35" s="62" t="e">
        <f t="shared" ref="I35:M35" si="45">SUMIFS($O35:$ED35,$O$4:$ED$4,I$3)</f>
        <v>#DIV/0!</v>
      </c>
      <c r="J35" s="62" t="e">
        <f t="shared" si="45"/>
        <v>#DIV/0!</v>
      </c>
      <c r="K35" s="62" t="e">
        <f t="shared" si="45"/>
        <v>#DIV/0!</v>
      </c>
      <c r="L35" s="62" t="e">
        <f t="shared" si="45"/>
        <v>#DIV/0!</v>
      </c>
      <c r="M35" s="62" t="e">
        <f t="shared" si="45"/>
        <v>#DIV/0!</v>
      </c>
      <c r="O35" s="62" t="e">
        <f>Premissas!$C$9*MAX((O7-N7),0)</f>
        <v>#DIV/0!</v>
      </c>
      <c r="P35" s="62" t="e">
        <f>Premissas!$C$9*MAX((P7-O7),0)</f>
        <v>#DIV/0!</v>
      </c>
      <c r="Q35" s="62" t="e">
        <f>Premissas!$C$9*MAX((Q7-P7),0)</f>
        <v>#DIV/0!</v>
      </c>
      <c r="R35" s="62" t="e">
        <f>Premissas!$C$9*MAX((R7-Q7),0)</f>
        <v>#DIV/0!</v>
      </c>
      <c r="S35" s="62" t="e">
        <f>Premissas!$C$9*MAX((S7-R7),0)</f>
        <v>#DIV/0!</v>
      </c>
      <c r="T35" s="62" t="e">
        <f>Premissas!$C$9*MAX((T7-S7),0)</f>
        <v>#DIV/0!</v>
      </c>
      <c r="U35" s="62" t="e">
        <f>Premissas!$C$9*MAX((U7-T7),0)</f>
        <v>#DIV/0!</v>
      </c>
      <c r="V35" s="62" t="e">
        <f>Premissas!$C$9*MAX((V7-U7),0)</f>
        <v>#DIV/0!</v>
      </c>
      <c r="W35" s="62" t="e">
        <f>Premissas!$C$9*MAX((W7-V7),0)</f>
        <v>#DIV/0!</v>
      </c>
      <c r="X35" s="62" t="e">
        <f>Premissas!$C$9*MAX((X7-W7),0)</f>
        <v>#DIV/0!</v>
      </c>
      <c r="Y35" s="62" t="e">
        <f>Premissas!$C$9*MAX((Y7-X7),0)</f>
        <v>#DIV/0!</v>
      </c>
      <c r="Z35" s="62" t="e">
        <f>Premissas!$C$9*MAX((Z7-Y7),0)</f>
        <v>#DIV/0!</v>
      </c>
      <c r="AA35" s="62" t="e">
        <f>Premissas!$C$9*MAX((AA7-Z7),0)</f>
        <v>#DIV/0!</v>
      </c>
      <c r="AB35" s="62" t="e">
        <f>Premissas!$C$9*MAX((AB7-AA7),0)</f>
        <v>#DIV/0!</v>
      </c>
      <c r="AC35" s="62" t="e">
        <f>Premissas!$C$9*MAX((AC7-AB7),0)</f>
        <v>#DIV/0!</v>
      </c>
      <c r="AD35" s="62" t="e">
        <f>Premissas!$C$9*MAX((AD7-AC7),0)</f>
        <v>#DIV/0!</v>
      </c>
      <c r="AE35" s="62" t="e">
        <f>Premissas!$C$9*MAX((AE7-AD7),0)</f>
        <v>#DIV/0!</v>
      </c>
      <c r="AF35" s="62" t="e">
        <f>Premissas!$C$9*MAX((AF7-AE7),0)</f>
        <v>#DIV/0!</v>
      </c>
      <c r="AG35" s="62" t="e">
        <f>Premissas!$C$9*MAX((AG7-AF7),0)</f>
        <v>#DIV/0!</v>
      </c>
      <c r="AH35" s="62" t="e">
        <f>Premissas!$C$9*MAX((AH7-AG7),0)</f>
        <v>#DIV/0!</v>
      </c>
      <c r="AI35" s="62" t="e">
        <f>Premissas!$C$9*MAX((AI7-AH7),0)</f>
        <v>#DIV/0!</v>
      </c>
      <c r="AJ35" s="62" t="e">
        <f>Premissas!$C$9*MAX((AJ7-AI7),0)</f>
        <v>#DIV/0!</v>
      </c>
      <c r="AK35" s="62" t="e">
        <f>Premissas!$C$9*MAX((AK7-AJ7),0)</f>
        <v>#DIV/0!</v>
      </c>
      <c r="AL35" s="62" t="e">
        <f>Premissas!$C$9*MAX((AL7-AK7),0)</f>
        <v>#DIV/0!</v>
      </c>
      <c r="AM35" s="62" t="e">
        <f>Premissas!$C$9*MAX((AM7-AL7),0)</f>
        <v>#DIV/0!</v>
      </c>
      <c r="AN35" s="62" t="e">
        <f>Premissas!$C$9*MAX((AN7-AM7),0)</f>
        <v>#DIV/0!</v>
      </c>
      <c r="AO35" s="62" t="e">
        <f>Premissas!$C$9*MAX((AO7-AN7),0)</f>
        <v>#DIV/0!</v>
      </c>
      <c r="AP35" s="62" t="e">
        <f>Premissas!$C$9*MAX((AP7-AO7),0)</f>
        <v>#DIV/0!</v>
      </c>
      <c r="AQ35" s="62" t="e">
        <f>Premissas!$C$9*MAX((AQ7-AP7),0)</f>
        <v>#DIV/0!</v>
      </c>
      <c r="AR35" s="62" t="e">
        <f>Premissas!$C$9*MAX((AR7-AQ7),0)</f>
        <v>#DIV/0!</v>
      </c>
      <c r="AS35" s="62" t="e">
        <f>Premissas!$C$9*MAX((AS7-AR7),0)</f>
        <v>#DIV/0!</v>
      </c>
      <c r="AT35" s="62" t="e">
        <f>Premissas!$C$9*MAX((AT7-AS7),0)</f>
        <v>#DIV/0!</v>
      </c>
      <c r="AU35" s="62" t="e">
        <f>Premissas!$C$9*MAX((AU7-AT7),0)</f>
        <v>#DIV/0!</v>
      </c>
      <c r="AV35" s="62" t="e">
        <f>Premissas!$C$9*MAX((AV7-AU7),0)</f>
        <v>#DIV/0!</v>
      </c>
      <c r="AW35" s="62" t="e">
        <f>Premissas!$C$9*MAX((AW7-AV7),0)</f>
        <v>#DIV/0!</v>
      </c>
      <c r="AX35" s="62" t="e">
        <f>Premissas!$C$9*MAX((AX7-AW7),0)</f>
        <v>#DIV/0!</v>
      </c>
      <c r="AY35" s="62" t="e">
        <f>Premissas!$C$9*MAX((AY7-AX7),0)</f>
        <v>#DIV/0!</v>
      </c>
      <c r="AZ35" s="62" t="e">
        <f>Premissas!$C$9*MAX((AZ7-AY7),0)</f>
        <v>#DIV/0!</v>
      </c>
      <c r="BA35" s="62" t="e">
        <f>Premissas!$C$9*MAX((BA7-AZ7),0)</f>
        <v>#DIV/0!</v>
      </c>
      <c r="BB35" s="62" t="e">
        <f>Premissas!$C$9*MAX((BB7-BA7),0)</f>
        <v>#DIV/0!</v>
      </c>
      <c r="BC35" s="62" t="e">
        <f>Premissas!$C$9*MAX((BC7-BB7),0)</f>
        <v>#DIV/0!</v>
      </c>
      <c r="BD35" s="62" t="e">
        <f>Premissas!$C$9*MAX((BD7-BC7),0)</f>
        <v>#DIV/0!</v>
      </c>
      <c r="BE35" s="62" t="e">
        <f>Premissas!$C$9*MAX((BE7-BD7),0)</f>
        <v>#DIV/0!</v>
      </c>
      <c r="BF35" s="62" t="e">
        <f>Premissas!$C$9*MAX((BF7-BE7),0)</f>
        <v>#DIV/0!</v>
      </c>
      <c r="BG35" s="62" t="e">
        <f>Premissas!$C$9*MAX((BG7-BF7),0)</f>
        <v>#DIV/0!</v>
      </c>
      <c r="BH35" s="62" t="e">
        <f>Premissas!$C$9*MAX((BH7-BG7),0)</f>
        <v>#DIV/0!</v>
      </c>
      <c r="BI35" s="62" t="e">
        <f>Premissas!$C$9*MAX((BI7-BH7),0)</f>
        <v>#DIV/0!</v>
      </c>
      <c r="BJ35" s="62" t="e">
        <f>Premissas!$C$9*MAX((BJ7-BI7),0)</f>
        <v>#DIV/0!</v>
      </c>
      <c r="BK35" s="62" t="e">
        <f>Premissas!$C$9*MAX((BK7-BJ7),0)</f>
        <v>#DIV/0!</v>
      </c>
      <c r="BL35" s="62" t="e">
        <f>Premissas!$C$9*MAX((BL7-BK7),0)</f>
        <v>#DIV/0!</v>
      </c>
      <c r="BM35" s="62" t="e">
        <f>Premissas!$C$9*MAX((BM7-BL7),0)</f>
        <v>#DIV/0!</v>
      </c>
      <c r="BN35" s="62" t="e">
        <f>Premissas!$C$9*MAX((BN7-BM7),0)</f>
        <v>#DIV/0!</v>
      </c>
      <c r="BO35" s="62" t="e">
        <f>Premissas!$C$9*MAX((BO7-BN7),0)</f>
        <v>#DIV/0!</v>
      </c>
      <c r="BP35" s="62" t="e">
        <f>Premissas!$C$9*MAX((BP7-BO7),0)</f>
        <v>#DIV/0!</v>
      </c>
      <c r="BQ35" s="62" t="e">
        <f>Premissas!$C$9*MAX((BQ7-BP7),0)</f>
        <v>#DIV/0!</v>
      </c>
      <c r="BR35" s="62" t="e">
        <f>Premissas!$C$9*MAX((BR7-BQ7),0)</f>
        <v>#DIV/0!</v>
      </c>
      <c r="BS35" s="62" t="e">
        <f>Premissas!$C$9*MAX((BS7-BR7),0)</f>
        <v>#DIV/0!</v>
      </c>
      <c r="BT35" s="62" t="e">
        <f>Premissas!$C$9*MAX((BT7-BS7),0)</f>
        <v>#DIV/0!</v>
      </c>
      <c r="BU35" s="62" t="e">
        <f>Premissas!$C$9*MAX((BU7-BT7),0)</f>
        <v>#DIV/0!</v>
      </c>
      <c r="BV35" s="62" t="e">
        <f>Premissas!$C$9*MAX((BV7-BU7),0)</f>
        <v>#DIV/0!</v>
      </c>
      <c r="BW35" s="62" t="e">
        <f>Premissas!$C$9*MAX((BW7-BV7),0)</f>
        <v>#DIV/0!</v>
      </c>
      <c r="BX35" s="62" t="e">
        <f>Premissas!$C$9*MAX((BX7-BW7),0)</f>
        <v>#DIV/0!</v>
      </c>
      <c r="BY35" s="62" t="e">
        <f>Premissas!$C$9*MAX((BY7-BX7),0)</f>
        <v>#DIV/0!</v>
      </c>
      <c r="BZ35" s="62" t="e">
        <f>Premissas!$C$9*MAX((BZ7-BY7),0)</f>
        <v>#DIV/0!</v>
      </c>
      <c r="CA35" s="62" t="e">
        <f>Premissas!$C$9*MAX((CA7-BZ7),0)</f>
        <v>#DIV/0!</v>
      </c>
      <c r="CB35" s="62" t="e">
        <f>Premissas!$C$9*MAX((CB7-CA7),0)</f>
        <v>#DIV/0!</v>
      </c>
      <c r="CC35" s="62" t="e">
        <f>Premissas!$C$9*MAX((CC7-CB7),0)</f>
        <v>#DIV/0!</v>
      </c>
      <c r="CD35" s="62" t="e">
        <f>Premissas!$C$9*MAX((CD7-CC7),0)</f>
        <v>#DIV/0!</v>
      </c>
      <c r="CE35" s="62" t="e">
        <f>Premissas!$C$9*MAX((CE7-CD7),0)</f>
        <v>#DIV/0!</v>
      </c>
      <c r="CF35" s="62" t="e">
        <f>Premissas!$C$9*MAX((CF7-CE7),0)</f>
        <v>#DIV/0!</v>
      </c>
      <c r="CG35" s="62" t="e">
        <f>Premissas!$C$9*MAX((CG7-CF7),0)</f>
        <v>#DIV/0!</v>
      </c>
      <c r="CH35" s="62" t="e">
        <f>Premissas!$C$9*MAX((CH7-CG7),0)</f>
        <v>#DIV/0!</v>
      </c>
      <c r="CI35" s="62" t="e">
        <f>Premissas!$C$9*MAX((CI7-CH7),0)</f>
        <v>#DIV/0!</v>
      </c>
      <c r="CJ35" s="62" t="e">
        <f>Premissas!$C$9*MAX((CJ7-CI7),0)</f>
        <v>#DIV/0!</v>
      </c>
      <c r="CK35" s="62" t="e">
        <f>Premissas!$C$9*MAX((CK7-CJ7),0)</f>
        <v>#DIV/0!</v>
      </c>
      <c r="CL35" s="62" t="e">
        <f>Premissas!$C$9*MAX((CL7-CK7),0)</f>
        <v>#DIV/0!</v>
      </c>
      <c r="CM35" s="62" t="e">
        <f>Premissas!$C$9*MAX((CM7-CL7),0)</f>
        <v>#DIV/0!</v>
      </c>
      <c r="CN35" s="62" t="e">
        <f>Premissas!$C$9*MAX((CN7-CM7),0)</f>
        <v>#DIV/0!</v>
      </c>
      <c r="CO35" s="62" t="e">
        <f>Premissas!$C$9*MAX((CO7-CN7),0)</f>
        <v>#DIV/0!</v>
      </c>
      <c r="CP35" s="62" t="e">
        <f>Premissas!$C$9*MAX((CP7-CO7),0)</f>
        <v>#DIV/0!</v>
      </c>
      <c r="CQ35" s="62" t="e">
        <f>Premissas!$C$9*MAX((CQ7-CP7),0)</f>
        <v>#DIV/0!</v>
      </c>
      <c r="CR35" s="62" t="e">
        <f>Premissas!$C$9*MAX((CR7-CQ7),0)</f>
        <v>#DIV/0!</v>
      </c>
      <c r="CS35" s="62" t="e">
        <f>Premissas!$C$9*MAX((CS7-CR7),0)</f>
        <v>#DIV/0!</v>
      </c>
      <c r="CT35" s="62" t="e">
        <f>Premissas!$C$9*MAX((CT7-CS7),0)</f>
        <v>#DIV/0!</v>
      </c>
      <c r="CU35" s="62" t="e">
        <f>Premissas!$C$9*MAX((CU7-CT7),0)</f>
        <v>#DIV/0!</v>
      </c>
      <c r="CV35" s="62" t="e">
        <f>Premissas!$C$9*MAX((CV7-CU7),0)</f>
        <v>#DIV/0!</v>
      </c>
      <c r="CW35" s="62" t="e">
        <f>Premissas!$C$9*MAX((CW7-CV7),0)</f>
        <v>#DIV/0!</v>
      </c>
      <c r="CX35" s="62" t="e">
        <f>Premissas!$C$9*MAX((CX7-CW7),0)</f>
        <v>#DIV/0!</v>
      </c>
      <c r="CY35" s="62" t="e">
        <f>Premissas!$C$9*MAX((CY7-CX7),0)</f>
        <v>#DIV/0!</v>
      </c>
      <c r="CZ35" s="62" t="e">
        <f>Premissas!$C$9*MAX((CZ7-CY7),0)</f>
        <v>#DIV/0!</v>
      </c>
      <c r="DA35" s="62" t="e">
        <f>Premissas!$C$9*MAX((DA7-CZ7),0)</f>
        <v>#DIV/0!</v>
      </c>
      <c r="DB35" s="62" t="e">
        <f>Premissas!$C$9*MAX((DB7-DA7),0)</f>
        <v>#DIV/0!</v>
      </c>
      <c r="DC35" s="62" t="e">
        <f>Premissas!$C$9*MAX((DC7-DB7),0)</f>
        <v>#DIV/0!</v>
      </c>
      <c r="DD35" s="62" t="e">
        <f>Premissas!$C$9*MAX((DD7-DC7),0)</f>
        <v>#DIV/0!</v>
      </c>
      <c r="DE35" s="62" t="e">
        <f>Premissas!$C$9*MAX((DE7-DD7),0)</f>
        <v>#DIV/0!</v>
      </c>
      <c r="DF35" s="62" t="e">
        <f>Premissas!$C$9*MAX((DF7-DE7),0)</f>
        <v>#DIV/0!</v>
      </c>
      <c r="DG35" s="62" t="e">
        <f>Premissas!$C$9*MAX((DG7-DF7),0)</f>
        <v>#DIV/0!</v>
      </c>
      <c r="DH35" s="62" t="e">
        <f>Premissas!$C$9*MAX((DH7-DG7),0)</f>
        <v>#DIV/0!</v>
      </c>
      <c r="DI35" s="62" t="e">
        <f>Premissas!$C$9*MAX((DI7-DH7),0)</f>
        <v>#DIV/0!</v>
      </c>
      <c r="DJ35" s="62" t="e">
        <f>Premissas!$C$9*MAX((DJ7-DI7),0)</f>
        <v>#DIV/0!</v>
      </c>
      <c r="DK35" s="62" t="e">
        <f>Premissas!$C$9*MAX((DK7-DJ7),0)</f>
        <v>#DIV/0!</v>
      </c>
      <c r="DL35" s="62" t="e">
        <f>Premissas!$C$9*MAX((DL7-DK7),0)</f>
        <v>#DIV/0!</v>
      </c>
      <c r="DM35" s="62" t="e">
        <f>Premissas!$C$9*MAX((DM7-DL7),0)</f>
        <v>#DIV/0!</v>
      </c>
      <c r="DN35" s="62" t="e">
        <f>Premissas!$C$9*MAX((DN7-DM7),0)</f>
        <v>#DIV/0!</v>
      </c>
      <c r="DO35" s="62" t="e">
        <f>Premissas!$C$9*MAX((DO7-DN7),0)</f>
        <v>#DIV/0!</v>
      </c>
      <c r="DP35" s="62" t="e">
        <f>Premissas!$C$9*MAX((DP7-DO7),0)</f>
        <v>#DIV/0!</v>
      </c>
      <c r="DQ35" s="62" t="e">
        <f>Premissas!$C$9*MAX((DQ7-DP7),0)</f>
        <v>#DIV/0!</v>
      </c>
      <c r="DR35" s="62" t="e">
        <f>Premissas!$C$9*MAX((DR7-DQ7),0)</f>
        <v>#DIV/0!</v>
      </c>
      <c r="DS35" s="62" t="e">
        <f>Premissas!$C$9*MAX((DS7-DR7),0)</f>
        <v>#DIV/0!</v>
      </c>
      <c r="DT35" s="62" t="e">
        <f>Premissas!$C$9*MAX((DT7-DS7),0)</f>
        <v>#DIV/0!</v>
      </c>
      <c r="DU35" s="62" t="e">
        <f>Premissas!$C$9*MAX((DU7-DT7),0)</f>
        <v>#DIV/0!</v>
      </c>
      <c r="DV35" s="62" t="e">
        <f>Premissas!$C$9*MAX((DV7-DU7),0)</f>
        <v>#DIV/0!</v>
      </c>
      <c r="DW35" s="62" t="e">
        <f>Premissas!$C$9*MAX((DW7-DV7),0)</f>
        <v>#DIV/0!</v>
      </c>
      <c r="DX35" s="62" t="e">
        <f>Premissas!$C$9*MAX((DX7-DW7),0)</f>
        <v>#DIV/0!</v>
      </c>
      <c r="DY35" s="62" t="e">
        <f>Premissas!$C$9*MAX((DY7-DX7),0)</f>
        <v>#DIV/0!</v>
      </c>
      <c r="DZ35" s="62" t="e">
        <f>Premissas!$C$9*MAX((DZ7-DY7),0)</f>
        <v>#DIV/0!</v>
      </c>
      <c r="EA35" s="62" t="e">
        <f>Premissas!$C$9*MAX((EA7-DZ7),0)</f>
        <v>#DIV/0!</v>
      </c>
      <c r="EB35" s="62" t="e">
        <f>Premissas!$C$9*MAX((EB7-EA7),0)</f>
        <v>#DIV/0!</v>
      </c>
      <c r="EC35" s="62" t="e">
        <f>Premissas!$C$9*MAX((EC7-EB7),0)</f>
        <v>#DIV/0!</v>
      </c>
      <c r="ED35" s="62" t="e">
        <f>Premissas!$C$9*MAX((ED7-EC7),0)</f>
        <v>#DIV/0!</v>
      </c>
    </row>
    <row r="36" spans="1:135" ht="12.5" x14ac:dyDescent="0.25">
      <c r="B36" s="46" t="s">
        <v>59</v>
      </c>
      <c r="D36" s="62" t="e">
        <f t="shared" ref="D36:H36" si="46">SUMIFS($O36:$BV36,$O$4:$BV$4,D$3)</f>
        <v>#DIV/0!</v>
      </c>
      <c r="E36" s="62" t="e">
        <f t="shared" si="46"/>
        <v>#DIV/0!</v>
      </c>
      <c r="F36" s="62" t="e">
        <f t="shared" si="46"/>
        <v>#DIV/0!</v>
      </c>
      <c r="G36" s="62" t="e">
        <f t="shared" si="46"/>
        <v>#DIV/0!</v>
      </c>
      <c r="H36" s="62" t="e">
        <f t="shared" si="46"/>
        <v>#DIV/0!</v>
      </c>
      <c r="I36" s="62" t="e">
        <f t="shared" ref="I36:M36" si="47">SUMIFS($O36:$ED36,$O$4:$ED$4,I$3)</f>
        <v>#DIV/0!</v>
      </c>
      <c r="J36" s="62" t="e">
        <f t="shared" si="47"/>
        <v>#DIV/0!</v>
      </c>
      <c r="K36" s="62" t="e">
        <f t="shared" si="47"/>
        <v>#DIV/0!</v>
      </c>
      <c r="L36" s="62" t="e">
        <f t="shared" si="47"/>
        <v>#DIV/0!</v>
      </c>
      <c r="M36" s="62" t="e">
        <f t="shared" si="47"/>
        <v>#DIV/0!</v>
      </c>
      <c r="O36" s="62" t="e">
        <f>IF(O7=0,0,-Simulador!$G$64*SUM(O19:O21,O23))</f>
        <v>#DIV/0!</v>
      </c>
      <c r="P36" s="62" t="e">
        <f>IF(P7=0,0,-Simulador!$G$64*SUM(P19:P21,P23))</f>
        <v>#DIV/0!</v>
      </c>
      <c r="Q36" s="62" t="e">
        <f>IF(Q7=0,0,-Simulador!$G$64*SUM(Q19:Q21,Q23))</f>
        <v>#DIV/0!</v>
      </c>
      <c r="R36" s="62" t="e">
        <f>IF(R7=0,0,-Simulador!$G$64*SUM(R19:R21,R23))</f>
        <v>#DIV/0!</v>
      </c>
      <c r="S36" s="62" t="e">
        <f>IF(S7=0,0,-Simulador!$G$64*SUM(S19:S21,S23))</f>
        <v>#DIV/0!</v>
      </c>
      <c r="T36" s="62" t="e">
        <f>IF(T7=0,0,-Simulador!$G$64*SUM(T19:T21,T23))</f>
        <v>#DIV/0!</v>
      </c>
      <c r="U36" s="62" t="e">
        <f>IF(U7=0,0,-Simulador!$G$64*SUM(U19:U21,U23))</f>
        <v>#DIV/0!</v>
      </c>
      <c r="V36" s="62" t="e">
        <f>IF(V7=0,0,-Simulador!$G$64*SUM(V19:V21,V23))</f>
        <v>#DIV/0!</v>
      </c>
      <c r="W36" s="62" t="e">
        <f>IF(W7=0,0,-Simulador!$G$64*SUM(W19:W21,W23))</f>
        <v>#DIV/0!</v>
      </c>
      <c r="X36" s="62" t="e">
        <f>IF(X7=0,0,-Simulador!$G$64*SUM(X19:X21,X23))</f>
        <v>#DIV/0!</v>
      </c>
      <c r="Y36" s="62" t="e">
        <f>IF(Y7=0,0,-Simulador!$G$64*SUM(Y19:Y21,Y23))</f>
        <v>#DIV/0!</v>
      </c>
      <c r="Z36" s="62" t="e">
        <f>IF(Z7=0,0,-Simulador!$G$64*SUM(Z19:Z21,Z23))</f>
        <v>#DIV/0!</v>
      </c>
      <c r="AA36" s="62" t="e">
        <f>IF(AA7=0,0,-Simulador!$G$64*SUM(AA19:AA21,AA23))</f>
        <v>#DIV/0!</v>
      </c>
      <c r="AB36" s="62" t="e">
        <f>IF(AB7=0,0,-Simulador!$G$64*SUM(AB19:AB21,AB23))</f>
        <v>#DIV/0!</v>
      </c>
      <c r="AC36" s="62" t="e">
        <f>IF(AC7=0,0,-Simulador!$G$64*SUM(AC19:AC21,AC23))</f>
        <v>#DIV/0!</v>
      </c>
      <c r="AD36" s="62" t="e">
        <f>IF(AD7=0,0,-Simulador!$G$64*SUM(AD19:AD21,AD23))</f>
        <v>#DIV/0!</v>
      </c>
      <c r="AE36" s="62" t="e">
        <f>IF(AE7=0,0,-Simulador!$G$64*SUM(AE19:AE21,AE23))</f>
        <v>#DIV/0!</v>
      </c>
      <c r="AF36" s="62" t="e">
        <f>IF(AF7=0,0,-Simulador!$G$64*SUM(AF19:AF21,AF23))</f>
        <v>#DIV/0!</v>
      </c>
      <c r="AG36" s="62" t="e">
        <f>IF(AG7=0,0,-Simulador!$G$64*SUM(AG19:AG21,AG23))</f>
        <v>#DIV/0!</v>
      </c>
      <c r="AH36" s="62" t="e">
        <f>IF(AH7=0,0,-Simulador!$G$64*SUM(AH19:AH21,AH23))</f>
        <v>#DIV/0!</v>
      </c>
      <c r="AI36" s="62" t="e">
        <f>IF(AI7=0,0,-Simulador!$G$64*SUM(AI19:AI21,AI23))</f>
        <v>#DIV/0!</v>
      </c>
      <c r="AJ36" s="62" t="e">
        <f>IF(AJ7=0,0,-Simulador!$G$64*SUM(AJ19:AJ21,AJ23))</f>
        <v>#DIV/0!</v>
      </c>
      <c r="AK36" s="62" t="e">
        <f>IF(AK7=0,0,-Simulador!$G$64*SUM(AK19:AK21,AK23))</f>
        <v>#DIV/0!</v>
      </c>
      <c r="AL36" s="62" t="e">
        <f>IF(AL7=0,0,-Simulador!$G$64*SUM(AL19:AL21,AL23))</f>
        <v>#DIV/0!</v>
      </c>
      <c r="AM36" s="62" t="e">
        <f>IF(AM7=0,0,-Simulador!$G$64*SUM(AM19:AM21,AM23))</f>
        <v>#DIV/0!</v>
      </c>
      <c r="AN36" s="62" t="e">
        <f>IF(AN7=0,0,-Simulador!$G$64*SUM(AN19:AN21,AN23))</f>
        <v>#DIV/0!</v>
      </c>
      <c r="AO36" s="62" t="e">
        <f>IF(AO7=0,0,-Simulador!$G$64*SUM(AO19:AO21,AO23))</f>
        <v>#DIV/0!</v>
      </c>
      <c r="AP36" s="62" t="e">
        <f>IF(AP7=0,0,-Simulador!$G$64*SUM(AP19:AP21,AP23))</f>
        <v>#DIV/0!</v>
      </c>
      <c r="AQ36" s="62" t="e">
        <f>IF(AQ7=0,0,-Simulador!$G$64*SUM(AQ19:AQ21,AQ23))</f>
        <v>#DIV/0!</v>
      </c>
      <c r="AR36" s="62" t="e">
        <f>IF(AR7=0,0,-Simulador!$G$64*SUM(AR19:AR21,AR23))</f>
        <v>#DIV/0!</v>
      </c>
      <c r="AS36" s="62" t="e">
        <f>IF(AS7=0,0,-Simulador!$G$64*SUM(AS19:AS21,AS23))</f>
        <v>#DIV/0!</v>
      </c>
      <c r="AT36" s="62" t="e">
        <f>IF(AT7=0,0,-Simulador!$G$64*SUM(AT19:AT21,AT23))</f>
        <v>#DIV/0!</v>
      </c>
      <c r="AU36" s="62" t="e">
        <f>IF(AU7=0,0,-Simulador!$G$64*SUM(AU19:AU21,AU23))</f>
        <v>#DIV/0!</v>
      </c>
      <c r="AV36" s="62" t="e">
        <f>IF(AV7=0,0,-Simulador!$G$64*SUM(AV19:AV21,AV23))</f>
        <v>#DIV/0!</v>
      </c>
      <c r="AW36" s="62" t="e">
        <f>IF(AW7=0,0,-Simulador!$G$64*SUM(AW19:AW21,AW23))</f>
        <v>#DIV/0!</v>
      </c>
      <c r="AX36" s="62" t="e">
        <f>IF(AX7=0,0,-Simulador!$G$64*SUM(AX19:AX21,AX23))</f>
        <v>#DIV/0!</v>
      </c>
      <c r="AY36" s="62" t="e">
        <f>IF(AY7=0,0,-Simulador!$G$64*SUM(AY19:AY21,AY23))</f>
        <v>#DIV/0!</v>
      </c>
      <c r="AZ36" s="62" t="e">
        <f>IF(AZ7=0,0,-Simulador!$G$64*SUM(AZ19:AZ21,AZ23))</f>
        <v>#DIV/0!</v>
      </c>
      <c r="BA36" s="62" t="e">
        <f>IF(BA7=0,0,-Simulador!$G$64*SUM(BA19:BA21,BA23))</f>
        <v>#DIV/0!</v>
      </c>
      <c r="BB36" s="62" t="e">
        <f>IF(BB7=0,0,-Simulador!$G$64*SUM(BB19:BB21,BB23))</f>
        <v>#DIV/0!</v>
      </c>
      <c r="BC36" s="62" t="e">
        <f>IF(BC7=0,0,-Simulador!$G$64*SUM(BC19:BC21,BC23))</f>
        <v>#DIV/0!</v>
      </c>
      <c r="BD36" s="62" t="e">
        <f>IF(BD7=0,0,-Simulador!$G$64*SUM(BD19:BD21,BD23))</f>
        <v>#DIV/0!</v>
      </c>
      <c r="BE36" s="62" t="e">
        <f>IF(BE7=0,0,-Simulador!$G$64*SUM(BE19:BE21,BE23))</f>
        <v>#DIV/0!</v>
      </c>
      <c r="BF36" s="62" t="e">
        <f>IF(BF7=0,0,-Simulador!$G$64*SUM(BF19:BF21,BF23))</f>
        <v>#DIV/0!</v>
      </c>
      <c r="BG36" s="62" t="e">
        <f>IF(BG7=0,0,-Simulador!$G$64*SUM(BG19:BG21,BG23))</f>
        <v>#DIV/0!</v>
      </c>
      <c r="BH36" s="62" t="e">
        <f>IF(BH7=0,0,-Simulador!$G$64*SUM(BH19:BH21,BH23))</f>
        <v>#DIV/0!</v>
      </c>
      <c r="BI36" s="62" t="e">
        <f>IF(BI7=0,0,-Simulador!$G$64*SUM(BI19:BI21,BI23))</f>
        <v>#DIV/0!</v>
      </c>
      <c r="BJ36" s="62" t="e">
        <f>IF(BJ7=0,0,-Simulador!$G$64*SUM(BJ19:BJ21,BJ23))</f>
        <v>#DIV/0!</v>
      </c>
      <c r="BK36" s="62" t="e">
        <f>IF(BK7=0,0,-Simulador!$G$64*SUM(BK19:BK21,BK23))</f>
        <v>#DIV/0!</v>
      </c>
      <c r="BL36" s="62" t="e">
        <f>IF(BL7=0,0,-Simulador!$G$64*SUM(BL19:BL21,BL23))</f>
        <v>#DIV/0!</v>
      </c>
      <c r="BM36" s="62" t="e">
        <f>IF(BM7=0,0,-Simulador!$G$64*SUM(BM19:BM21,BM23))</f>
        <v>#DIV/0!</v>
      </c>
      <c r="BN36" s="62" t="e">
        <f>IF(BN7=0,0,-Simulador!$G$64*SUM(BN19:BN21,BN23))</f>
        <v>#DIV/0!</v>
      </c>
      <c r="BO36" s="62" t="e">
        <f>IF(BO7=0,0,-Simulador!$G$64*SUM(BO19:BO21,BO23))</f>
        <v>#DIV/0!</v>
      </c>
      <c r="BP36" s="62" t="e">
        <f>IF(BP7=0,0,-Simulador!$G$64*SUM(BP19:BP21,BP23))</f>
        <v>#DIV/0!</v>
      </c>
      <c r="BQ36" s="62" t="e">
        <f>IF(BQ7=0,0,-Simulador!$G$64*SUM(BQ19:BQ21,BQ23))</f>
        <v>#DIV/0!</v>
      </c>
      <c r="BR36" s="62" t="e">
        <f>IF(BR7=0,0,-Simulador!$G$64*SUM(BR19:BR21,BR23))</f>
        <v>#DIV/0!</v>
      </c>
      <c r="BS36" s="62" t="e">
        <f>IF(BS7=0,0,-Simulador!$G$64*SUM(BS19:BS21,BS23))</f>
        <v>#DIV/0!</v>
      </c>
      <c r="BT36" s="62" t="e">
        <f>IF(BT7=0,0,-Simulador!$G$64*SUM(BT19:BT21,BT23))</f>
        <v>#DIV/0!</v>
      </c>
      <c r="BU36" s="62" t="e">
        <f>IF(BU7=0,0,-Simulador!$G$64*SUM(BU19:BU21,BU23))</f>
        <v>#DIV/0!</v>
      </c>
      <c r="BV36" s="62" t="e">
        <f>IF(BV7=0,0,-Simulador!$G$64*SUM(BV19:BV21,BV23))</f>
        <v>#DIV/0!</v>
      </c>
      <c r="BW36" s="62" t="e">
        <f>IF(BW7=0,0,-Simulador!$G$64*SUM(BW19:BW21,BW23))</f>
        <v>#DIV/0!</v>
      </c>
      <c r="BX36" s="62" t="e">
        <f>IF(BX7=0,0,-Simulador!$G$64*SUM(BX19:BX21,BX23))</f>
        <v>#DIV/0!</v>
      </c>
      <c r="BY36" s="62" t="e">
        <f>IF(BY7=0,0,-Simulador!$G$64*SUM(BY19:BY21,BY23))</f>
        <v>#DIV/0!</v>
      </c>
      <c r="BZ36" s="62" t="e">
        <f>IF(BZ7=0,0,-Simulador!$G$64*SUM(BZ19:BZ21,BZ23))</f>
        <v>#DIV/0!</v>
      </c>
      <c r="CA36" s="62" t="e">
        <f>IF(CA7=0,0,-Simulador!$G$64*SUM(CA19:CA21,CA23))</f>
        <v>#DIV/0!</v>
      </c>
      <c r="CB36" s="62" t="e">
        <f>IF(CB7=0,0,-Simulador!$G$64*SUM(CB19:CB21,CB23))</f>
        <v>#DIV/0!</v>
      </c>
      <c r="CC36" s="62" t="e">
        <f>IF(CC7=0,0,-Simulador!$G$64*SUM(CC19:CC21,CC23))</f>
        <v>#DIV/0!</v>
      </c>
      <c r="CD36" s="62" t="e">
        <f>IF(CD7=0,0,-Simulador!$G$64*SUM(CD19:CD21,CD23))</f>
        <v>#DIV/0!</v>
      </c>
      <c r="CE36" s="62" t="e">
        <f>IF(CE7=0,0,-Simulador!$G$64*SUM(CE19:CE21,CE23))</f>
        <v>#DIV/0!</v>
      </c>
      <c r="CF36" s="62" t="e">
        <f>IF(CF7=0,0,-Simulador!$G$64*SUM(CF19:CF21,CF23))</f>
        <v>#DIV/0!</v>
      </c>
      <c r="CG36" s="62" t="e">
        <f>IF(CG7=0,0,-Simulador!$G$64*SUM(CG19:CG21,CG23))</f>
        <v>#DIV/0!</v>
      </c>
      <c r="CH36" s="62" t="e">
        <f>IF(CH7=0,0,-Simulador!$G$64*SUM(CH19:CH21,CH23))</f>
        <v>#DIV/0!</v>
      </c>
      <c r="CI36" s="62" t="e">
        <f>IF(CI7=0,0,-Simulador!$G$64*SUM(CI19:CI21,CI23))</f>
        <v>#DIV/0!</v>
      </c>
      <c r="CJ36" s="62" t="e">
        <f>IF(CJ7=0,0,-Simulador!$G$64*SUM(CJ19:CJ21,CJ23))</f>
        <v>#DIV/0!</v>
      </c>
      <c r="CK36" s="62" t="e">
        <f>IF(CK7=0,0,-Simulador!$G$64*SUM(CK19:CK21,CK23))</f>
        <v>#DIV/0!</v>
      </c>
      <c r="CL36" s="62" t="e">
        <f>IF(CL7=0,0,-Simulador!$G$64*SUM(CL19:CL21,CL23))</f>
        <v>#DIV/0!</v>
      </c>
      <c r="CM36" s="62" t="e">
        <f>IF(CM7=0,0,-Simulador!$G$64*SUM(CM19:CM21,CM23))</f>
        <v>#DIV/0!</v>
      </c>
      <c r="CN36" s="62" t="e">
        <f>IF(CN7=0,0,-Simulador!$G$64*SUM(CN19:CN21,CN23))</f>
        <v>#DIV/0!</v>
      </c>
      <c r="CO36" s="62" t="e">
        <f>IF(CO7=0,0,-Simulador!$G$64*SUM(CO19:CO21,CO23))</f>
        <v>#DIV/0!</v>
      </c>
      <c r="CP36" s="62" t="e">
        <f>IF(CP7=0,0,-Simulador!$G$64*SUM(CP19:CP21,CP23))</f>
        <v>#DIV/0!</v>
      </c>
      <c r="CQ36" s="62" t="e">
        <f>IF(CQ7=0,0,-Simulador!$G$64*SUM(CQ19:CQ21,CQ23))</f>
        <v>#DIV/0!</v>
      </c>
      <c r="CR36" s="62" t="e">
        <f>IF(CR7=0,0,-Simulador!$G$64*SUM(CR19:CR21,CR23))</f>
        <v>#DIV/0!</v>
      </c>
      <c r="CS36" s="62" t="e">
        <f>IF(CS7=0,0,-Simulador!$G$64*SUM(CS19:CS21,CS23))</f>
        <v>#DIV/0!</v>
      </c>
      <c r="CT36" s="62" t="e">
        <f>IF(CT7=0,0,-Simulador!$G$64*SUM(CT19:CT21,CT23))</f>
        <v>#DIV/0!</v>
      </c>
      <c r="CU36" s="62" t="e">
        <f>IF(CU7=0,0,-Simulador!$G$64*SUM(CU19:CU21,CU23))</f>
        <v>#DIV/0!</v>
      </c>
      <c r="CV36" s="62" t="e">
        <f>IF(CV7=0,0,-Simulador!$G$64*SUM(CV19:CV21,CV23))</f>
        <v>#DIV/0!</v>
      </c>
      <c r="CW36" s="62" t="e">
        <f>IF(CW7=0,0,-Simulador!$G$64*SUM(CW19:CW21,CW23))</f>
        <v>#DIV/0!</v>
      </c>
      <c r="CX36" s="62" t="e">
        <f>IF(CX7=0,0,-Simulador!$G$64*SUM(CX19:CX21,CX23))</f>
        <v>#DIV/0!</v>
      </c>
      <c r="CY36" s="62" t="e">
        <f>IF(CY7=0,0,-Simulador!$G$64*SUM(CY19:CY21,CY23))</f>
        <v>#DIV/0!</v>
      </c>
      <c r="CZ36" s="62" t="e">
        <f>IF(CZ7=0,0,-Simulador!$G$64*SUM(CZ19:CZ21,CZ23))</f>
        <v>#DIV/0!</v>
      </c>
      <c r="DA36" s="62" t="e">
        <f>IF(DA7=0,0,-Simulador!$G$64*SUM(DA19:DA21,DA23))</f>
        <v>#DIV/0!</v>
      </c>
      <c r="DB36" s="62" t="e">
        <f>IF(DB7=0,0,-Simulador!$G$64*SUM(DB19:DB21,DB23))</f>
        <v>#DIV/0!</v>
      </c>
      <c r="DC36" s="62" t="e">
        <f>IF(DC7=0,0,-Simulador!$G$64*SUM(DC19:DC21,DC23))</f>
        <v>#DIV/0!</v>
      </c>
      <c r="DD36" s="62" t="e">
        <f>IF(DD7=0,0,-Simulador!$G$64*SUM(DD19:DD21,DD23))</f>
        <v>#DIV/0!</v>
      </c>
      <c r="DE36" s="62" t="e">
        <f>IF(DE7=0,0,-Simulador!$G$64*SUM(DE19:DE21,DE23))</f>
        <v>#DIV/0!</v>
      </c>
      <c r="DF36" s="62" t="e">
        <f>IF(DF7=0,0,-Simulador!$G$64*SUM(DF19:DF21,DF23))</f>
        <v>#DIV/0!</v>
      </c>
      <c r="DG36" s="62" t="e">
        <f>IF(DG7=0,0,-Simulador!$G$64*SUM(DG19:DG21,DG23))</f>
        <v>#DIV/0!</v>
      </c>
      <c r="DH36" s="62" t="e">
        <f>IF(DH7=0,0,-Simulador!$G$64*SUM(DH19:DH21,DH23))</f>
        <v>#DIV/0!</v>
      </c>
      <c r="DI36" s="62" t="e">
        <f>IF(DI7=0,0,-Simulador!$G$64*SUM(DI19:DI21,DI23))</f>
        <v>#DIV/0!</v>
      </c>
      <c r="DJ36" s="62" t="e">
        <f>IF(DJ7=0,0,-Simulador!$G$64*SUM(DJ19:DJ21,DJ23))</f>
        <v>#DIV/0!</v>
      </c>
      <c r="DK36" s="62" t="e">
        <f>IF(DK7=0,0,-Simulador!$G$64*SUM(DK19:DK21,DK23))</f>
        <v>#DIV/0!</v>
      </c>
      <c r="DL36" s="62" t="e">
        <f>IF(DL7=0,0,-Simulador!$G$64*SUM(DL19:DL21,DL23))</f>
        <v>#DIV/0!</v>
      </c>
      <c r="DM36" s="62" t="e">
        <f>IF(DM7=0,0,-Simulador!$G$64*SUM(DM19:DM21,DM23))</f>
        <v>#DIV/0!</v>
      </c>
      <c r="DN36" s="62" t="e">
        <f>IF(DN7=0,0,-Simulador!$G$64*SUM(DN19:DN21,DN23))</f>
        <v>#DIV/0!</v>
      </c>
      <c r="DO36" s="62" t="e">
        <f>IF(DO7=0,0,-Simulador!$G$64*SUM(DO19:DO21,DO23))</f>
        <v>#DIV/0!</v>
      </c>
      <c r="DP36" s="62" t="e">
        <f>IF(DP7=0,0,-Simulador!$G$64*SUM(DP19:DP21,DP23))</f>
        <v>#DIV/0!</v>
      </c>
      <c r="DQ36" s="62" t="e">
        <f>IF(DQ7=0,0,-Simulador!$G$64*SUM(DQ19:DQ21,DQ23))</f>
        <v>#DIV/0!</v>
      </c>
      <c r="DR36" s="62" t="e">
        <f>IF(DR7=0,0,-Simulador!$G$64*SUM(DR19:DR21,DR23))</f>
        <v>#DIV/0!</v>
      </c>
      <c r="DS36" s="62" t="e">
        <f>IF(DS7=0,0,-Simulador!$G$64*SUM(DS19:DS21,DS23))</f>
        <v>#DIV/0!</v>
      </c>
      <c r="DT36" s="62" t="e">
        <f>IF(DT7=0,0,-Simulador!$G$64*SUM(DT19:DT21,DT23))</f>
        <v>#DIV/0!</v>
      </c>
      <c r="DU36" s="62" t="e">
        <f>IF(DU7=0,0,-Simulador!$G$64*SUM(DU19:DU21,DU23))</f>
        <v>#DIV/0!</v>
      </c>
      <c r="DV36" s="62" t="e">
        <f>IF(DV7=0,0,-Simulador!$G$64*SUM(DV19:DV21,DV23))</f>
        <v>#DIV/0!</v>
      </c>
      <c r="DW36" s="62" t="e">
        <f>IF(DW7=0,0,-Simulador!$G$64*SUM(DW19:DW21,DW23))</f>
        <v>#DIV/0!</v>
      </c>
      <c r="DX36" s="62" t="e">
        <f>IF(DX7=0,0,-Simulador!$G$64*SUM(DX19:DX21,DX23))</f>
        <v>#DIV/0!</v>
      </c>
      <c r="DY36" s="62" t="e">
        <f>IF(DY7=0,0,-Simulador!$G$64*SUM(DY19:DY21,DY23))</f>
        <v>#DIV/0!</v>
      </c>
      <c r="DZ36" s="62" t="e">
        <f>IF(DZ7=0,0,-Simulador!$G$64*SUM(DZ19:DZ21,DZ23))</f>
        <v>#DIV/0!</v>
      </c>
      <c r="EA36" s="62" t="e">
        <f>IF(EA7=0,0,-Simulador!$G$64*SUM(EA19:EA21,EA23))</f>
        <v>#DIV/0!</v>
      </c>
      <c r="EB36" s="62" t="e">
        <f>IF(EB7=0,0,-Simulador!$G$64*SUM(EB19:EB21,EB23))</f>
        <v>#DIV/0!</v>
      </c>
      <c r="EC36" s="62" t="e">
        <f>IF(EC7=0,0,-Simulador!$G$64*SUM(EC19:EC21,EC23))</f>
        <v>#DIV/0!</v>
      </c>
      <c r="ED36" s="62" t="e">
        <f>IF(ED7=0,0,-Simulador!$G$64*SUM(ED19:ED21,ED23))</f>
        <v>#DIV/0!</v>
      </c>
      <c r="EE36" s="62"/>
    </row>
    <row r="37" spans="1:135" ht="13" x14ac:dyDescent="0.3">
      <c r="B37" s="38"/>
      <c r="C37" s="53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3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46"/>
    </row>
    <row r="38" spans="1:135" ht="13" x14ac:dyDescent="0.3">
      <c r="B38" s="38" t="s">
        <v>206</v>
      </c>
      <c r="C38" s="53"/>
      <c r="D38" s="62">
        <f t="shared" ref="D38:H38" si="48">SUMIFS($O38:$BV38,$O$4:$BV$4,D$3)</f>
        <v>-6085.1063829787236</v>
      </c>
      <c r="E38" s="62">
        <f t="shared" si="48"/>
        <v>0</v>
      </c>
      <c r="F38" s="62">
        <f t="shared" si="48"/>
        <v>0</v>
      </c>
      <c r="G38" s="62">
        <f t="shared" si="48"/>
        <v>0</v>
      </c>
      <c r="H38" s="62">
        <f t="shared" si="48"/>
        <v>0</v>
      </c>
      <c r="I38" s="62">
        <f t="shared" ref="I38:M38" si="49">SUMIFS($O38:$ED38,$O$4:$ED$4,I$3)</f>
        <v>0</v>
      </c>
      <c r="J38" s="62">
        <f t="shared" si="49"/>
        <v>0</v>
      </c>
      <c r="K38" s="62">
        <f t="shared" si="49"/>
        <v>0</v>
      </c>
      <c r="L38" s="62">
        <f t="shared" si="49"/>
        <v>0</v>
      </c>
      <c r="M38" s="62">
        <f t="shared" si="49"/>
        <v>0</v>
      </c>
      <c r="N38" s="53"/>
      <c r="O38" s="67">
        <f t="shared" ref="O38:ED38" si="50">SUM(O39:O44)</f>
        <v>-6085.1063829787236</v>
      </c>
      <c r="P38" s="67">
        <f t="shared" si="50"/>
        <v>0</v>
      </c>
      <c r="Q38" s="67">
        <f t="shared" si="50"/>
        <v>0</v>
      </c>
      <c r="R38" s="67">
        <f t="shared" si="50"/>
        <v>0</v>
      </c>
      <c r="S38" s="67">
        <f t="shared" si="50"/>
        <v>0</v>
      </c>
      <c r="T38" s="67">
        <f t="shared" si="50"/>
        <v>0</v>
      </c>
      <c r="U38" s="67">
        <f t="shared" si="50"/>
        <v>0</v>
      </c>
      <c r="V38" s="67">
        <f t="shared" si="50"/>
        <v>0</v>
      </c>
      <c r="W38" s="67">
        <f t="shared" si="50"/>
        <v>0</v>
      </c>
      <c r="X38" s="67">
        <f t="shared" si="50"/>
        <v>0</v>
      </c>
      <c r="Y38" s="67">
        <f t="shared" si="50"/>
        <v>0</v>
      </c>
      <c r="Z38" s="67">
        <f t="shared" si="50"/>
        <v>0</v>
      </c>
      <c r="AA38" s="67">
        <f t="shared" si="50"/>
        <v>0</v>
      </c>
      <c r="AB38" s="67">
        <f t="shared" si="50"/>
        <v>0</v>
      </c>
      <c r="AC38" s="67">
        <f t="shared" si="50"/>
        <v>0</v>
      </c>
      <c r="AD38" s="67">
        <f t="shared" si="50"/>
        <v>0</v>
      </c>
      <c r="AE38" s="67">
        <f t="shared" si="50"/>
        <v>0</v>
      </c>
      <c r="AF38" s="67">
        <f t="shared" si="50"/>
        <v>0</v>
      </c>
      <c r="AG38" s="67">
        <f t="shared" si="50"/>
        <v>0</v>
      </c>
      <c r="AH38" s="67">
        <f t="shared" si="50"/>
        <v>0</v>
      </c>
      <c r="AI38" s="67">
        <f t="shared" si="50"/>
        <v>0</v>
      </c>
      <c r="AJ38" s="67">
        <f t="shared" si="50"/>
        <v>0</v>
      </c>
      <c r="AK38" s="67">
        <f t="shared" si="50"/>
        <v>0</v>
      </c>
      <c r="AL38" s="67">
        <f t="shared" si="50"/>
        <v>0</v>
      </c>
      <c r="AM38" s="67">
        <f t="shared" si="50"/>
        <v>0</v>
      </c>
      <c r="AN38" s="67">
        <f t="shared" si="50"/>
        <v>0</v>
      </c>
      <c r="AO38" s="67">
        <f t="shared" si="50"/>
        <v>0</v>
      </c>
      <c r="AP38" s="67">
        <f t="shared" si="50"/>
        <v>0</v>
      </c>
      <c r="AQ38" s="67">
        <f t="shared" si="50"/>
        <v>0</v>
      </c>
      <c r="AR38" s="67">
        <f t="shared" si="50"/>
        <v>0</v>
      </c>
      <c r="AS38" s="67">
        <f t="shared" si="50"/>
        <v>0</v>
      </c>
      <c r="AT38" s="67">
        <f t="shared" si="50"/>
        <v>0</v>
      </c>
      <c r="AU38" s="67">
        <f t="shared" si="50"/>
        <v>0</v>
      </c>
      <c r="AV38" s="67">
        <f t="shared" si="50"/>
        <v>0</v>
      </c>
      <c r="AW38" s="67">
        <f t="shared" si="50"/>
        <v>0</v>
      </c>
      <c r="AX38" s="67">
        <f t="shared" si="50"/>
        <v>0</v>
      </c>
      <c r="AY38" s="67">
        <f t="shared" si="50"/>
        <v>0</v>
      </c>
      <c r="AZ38" s="67">
        <f t="shared" si="50"/>
        <v>0</v>
      </c>
      <c r="BA38" s="67">
        <f t="shared" si="50"/>
        <v>0</v>
      </c>
      <c r="BB38" s="67">
        <f t="shared" si="50"/>
        <v>0</v>
      </c>
      <c r="BC38" s="67">
        <f t="shared" si="50"/>
        <v>0</v>
      </c>
      <c r="BD38" s="67">
        <f t="shared" si="50"/>
        <v>0</v>
      </c>
      <c r="BE38" s="67">
        <f t="shared" si="50"/>
        <v>0</v>
      </c>
      <c r="BF38" s="67">
        <f t="shared" si="50"/>
        <v>0</v>
      </c>
      <c r="BG38" s="67">
        <f t="shared" si="50"/>
        <v>0</v>
      </c>
      <c r="BH38" s="67">
        <f t="shared" si="50"/>
        <v>0</v>
      </c>
      <c r="BI38" s="67">
        <f t="shared" si="50"/>
        <v>0</v>
      </c>
      <c r="BJ38" s="67">
        <f t="shared" si="50"/>
        <v>0</v>
      </c>
      <c r="BK38" s="67">
        <f t="shared" si="50"/>
        <v>0</v>
      </c>
      <c r="BL38" s="67">
        <f t="shared" si="50"/>
        <v>0</v>
      </c>
      <c r="BM38" s="67">
        <f t="shared" si="50"/>
        <v>0</v>
      </c>
      <c r="BN38" s="67">
        <f t="shared" si="50"/>
        <v>0</v>
      </c>
      <c r="BO38" s="67">
        <f t="shared" si="50"/>
        <v>0</v>
      </c>
      <c r="BP38" s="67">
        <f t="shared" si="50"/>
        <v>0</v>
      </c>
      <c r="BQ38" s="67">
        <f t="shared" si="50"/>
        <v>0</v>
      </c>
      <c r="BR38" s="67">
        <f t="shared" si="50"/>
        <v>0</v>
      </c>
      <c r="BS38" s="67">
        <f t="shared" si="50"/>
        <v>0</v>
      </c>
      <c r="BT38" s="67">
        <f t="shared" si="50"/>
        <v>0</v>
      </c>
      <c r="BU38" s="67">
        <f t="shared" si="50"/>
        <v>0</v>
      </c>
      <c r="BV38" s="67">
        <f t="shared" si="50"/>
        <v>0</v>
      </c>
      <c r="BW38" s="67">
        <f t="shared" si="50"/>
        <v>0</v>
      </c>
      <c r="BX38" s="67">
        <f t="shared" si="50"/>
        <v>0</v>
      </c>
      <c r="BY38" s="67">
        <f t="shared" si="50"/>
        <v>0</v>
      </c>
      <c r="BZ38" s="67">
        <f t="shared" si="50"/>
        <v>0</v>
      </c>
      <c r="CA38" s="67">
        <f t="shared" si="50"/>
        <v>0</v>
      </c>
      <c r="CB38" s="67">
        <f t="shared" si="50"/>
        <v>0</v>
      </c>
      <c r="CC38" s="67">
        <f t="shared" si="50"/>
        <v>0</v>
      </c>
      <c r="CD38" s="67">
        <f t="shared" si="50"/>
        <v>0</v>
      </c>
      <c r="CE38" s="67">
        <f t="shared" si="50"/>
        <v>0</v>
      </c>
      <c r="CF38" s="67">
        <f t="shared" si="50"/>
        <v>0</v>
      </c>
      <c r="CG38" s="67">
        <f t="shared" si="50"/>
        <v>0</v>
      </c>
      <c r="CH38" s="67">
        <f t="shared" si="50"/>
        <v>0</v>
      </c>
      <c r="CI38" s="67">
        <f t="shared" si="50"/>
        <v>0</v>
      </c>
      <c r="CJ38" s="67">
        <f t="shared" si="50"/>
        <v>0</v>
      </c>
      <c r="CK38" s="67">
        <f t="shared" si="50"/>
        <v>0</v>
      </c>
      <c r="CL38" s="67">
        <f t="shared" si="50"/>
        <v>0</v>
      </c>
      <c r="CM38" s="67">
        <f t="shared" si="50"/>
        <v>0</v>
      </c>
      <c r="CN38" s="67">
        <f t="shared" si="50"/>
        <v>0</v>
      </c>
      <c r="CO38" s="67">
        <f t="shared" si="50"/>
        <v>0</v>
      </c>
      <c r="CP38" s="67">
        <f t="shared" si="50"/>
        <v>0</v>
      </c>
      <c r="CQ38" s="67">
        <f t="shared" si="50"/>
        <v>0</v>
      </c>
      <c r="CR38" s="67">
        <f t="shared" si="50"/>
        <v>0</v>
      </c>
      <c r="CS38" s="67">
        <f t="shared" si="50"/>
        <v>0</v>
      </c>
      <c r="CT38" s="67">
        <f t="shared" si="50"/>
        <v>0</v>
      </c>
      <c r="CU38" s="67">
        <f t="shared" si="50"/>
        <v>0</v>
      </c>
      <c r="CV38" s="67">
        <f t="shared" si="50"/>
        <v>0</v>
      </c>
      <c r="CW38" s="67">
        <f t="shared" si="50"/>
        <v>0</v>
      </c>
      <c r="CX38" s="67">
        <f t="shared" si="50"/>
        <v>0</v>
      </c>
      <c r="CY38" s="67">
        <f t="shared" si="50"/>
        <v>0</v>
      </c>
      <c r="CZ38" s="67">
        <f t="shared" si="50"/>
        <v>0</v>
      </c>
      <c r="DA38" s="67">
        <f t="shared" si="50"/>
        <v>0</v>
      </c>
      <c r="DB38" s="67">
        <f t="shared" si="50"/>
        <v>0</v>
      </c>
      <c r="DC38" s="67">
        <f t="shared" si="50"/>
        <v>0</v>
      </c>
      <c r="DD38" s="67">
        <f t="shared" si="50"/>
        <v>0</v>
      </c>
      <c r="DE38" s="67">
        <f t="shared" si="50"/>
        <v>0</v>
      </c>
      <c r="DF38" s="67">
        <f t="shared" si="50"/>
        <v>0</v>
      </c>
      <c r="DG38" s="67">
        <f t="shared" si="50"/>
        <v>0</v>
      </c>
      <c r="DH38" s="67">
        <f t="shared" si="50"/>
        <v>0</v>
      </c>
      <c r="DI38" s="67">
        <f t="shared" si="50"/>
        <v>0</v>
      </c>
      <c r="DJ38" s="67">
        <f t="shared" si="50"/>
        <v>0</v>
      </c>
      <c r="DK38" s="67">
        <f t="shared" si="50"/>
        <v>0</v>
      </c>
      <c r="DL38" s="67">
        <f t="shared" si="50"/>
        <v>0</v>
      </c>
      <c r="DM38" s="67">
        <f t="shared" si="50"/>
        <v>0</v>
      </c>
      <c r="DN38" s="67">
        <f t="shared" si="50"/>
        <v>0</v>
      </c>
      <c r="DO38" s="67">
        <f t="shared" si="50"/>
        <v>0</v>
      </c>
      <c r="DP38" s="67">
        <f t="shared" si="50"/>
        <v>0</v>
      </c>
      <c r="DQ38" s="67">
        <f t="shared" si="50"/>
        <v>0</v>
      </c>
      <c r="DR38" s="67">
        <f t="shared" si="50"/>
        <v>0</v>
      </c>
      <c r="DS38" s="67">
        <f t="shared" si="50"/>
        <v>0</v>
      </c>
      <c r="DT38" s="67">
        <f t="shared" si="50"/>
        <v>0</v>
      </c>
      <c r="DU38" s="67">
        <f t="shared" si="50"/>
        <v>0</v>
      </c>
      <c r="DV38" s="67">
        <f t="shared" si="50"/>
        <v>0</v>
      </c>
      <c r="DW38" s="67">
        <f t="shared" si="50"/>
        <v>0</v>
      </c>
      <c r="DX38" s="67">
        <f t="shared" si="50"/>
        <v>0</v>
      </c>
      <c r="DY38" s="67">
        <f t="shared" si="50"/>
        <v>0</v>
      </c>
      <c r="DZ38" s="67">
        <f t="shared" si="50"/>
        <v>0</v>
      </c>
      <c r="EA38" s="67">
        <f t="shared" si="50"/>
        <v>0</v>
      </c>
      <c r="EB38" s="67">
        <f t="shared" si="50"/>
        <v>0</v>
      </c>
      <c r="EC38" s="67">
        <f t="shared" si="50"/>
        <v>0</v>
      </c>
      <c r="ED38" s="67">
        <f t="shared" si="50"/>
        <v>0</v>
      </c>
      <c r="EE38" s="46"/>
    </row>
    <row r="39" spans="1:135" ht="12.5" x14ac:dyDescent="0.25">
      <c r="B39" s="46" t="s">
        <v>207</v>
      </c>
      <c r="C39" s="53"/>
      <c r="D39" s="62">
        <f t="shared" ref="D39:H39" si="51">SUMIFS($O39:$BV39,$O$4:$BV$4,D$3)</f>
        <v>-6085.1063829787236</v>
      </c>
      <c r="E39" s="62">
        <f t="shared" si="51"/>
        <v>0</v>
      </c>
      <c r="F39" s="62">
        <f t="shared" si="51"/>
        <v>0</v>
      </c>
      <c r="G39" s="62">
        <f t="shared" si="51"/>
        <v>0</v>
      </c>
      <c r="H39" s="62">
        <f t="shared" si="51"/>
        <v>0</v>
      </c>
      <c r="I39" s="62">
        <f t="shared" ref="I39:M39" si="52">SUMIFS($O39:$ED39,$O$4:$ED$4,I$3)</f>
        <v>0</v>
      </c>
      <c r="J39" s="62">
        <f t="shared" si="52"/>
        <v>0</v>
      </c>
      <c r="K39" s="62">
        <f t="shared" si="52"/>
        <v>0</v>
      </c>
      <c r="L39" s="62">
        <f t="shared" si="52"/>
        <v>0</v>
      </c>
      <c r="M39" s="62">
        <f t="shared" si="52"/>
        <v>0</v>
      </c>
      <c r="N39" s="53"/>
      <c r="O39" s="62">
        <f>((1/47)*-143000)*2</f>
        <v>-6085.1063829787236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46"/>
    </row>
    <row r="40" spans="1:135" ht="12.5" x14ac:dyDescent="0.25">
      <c r="B40" s="46" t="s">
        <v>208</v>
      </c>
      <c r="C40" s="53"/>
      <c r="D40" s="62">
        <f t="shared" ref="D40:H40" si="53">SUMIFS($O40:$BV40,$O$4:$BV$4,D$3)</f>
        <v>0</v>
      </c>
      <c r="E40" s="62">
        <f t="shared" si="53"/>
        <v>0</v>
      </c>
      <c r="F40" s="62">
        <f t="shared" si="53"/>
        <v>0</v>
      </c>
      <c r="G40" s="62">
        <f t="shared" si="53"/>
        <v>0</v>
      </c>
      <c r="H40" s="62">
        <f t="shared" si="53"/>
        <v>0</v>
      </c>
      <c r="I40" s="62">
        <f t="shared" ref="I40:M40" si="54">SUMIFS($O40:$ED40,$O$4:$ED$4,I$3)</f>
        <v>0</v>
      </c>
      <c r="J40" s="62">
        <f t="shared" si="54"/>
        <v>0</v>
      </c>
      <c r="K40" s="62">
        <f t="shared" si="54"/>
        <v>0</v>
      </c>
      <c r="L40" s="62">
        <f t="shared" si="54"/>
        <v>0</v>
      </c>
      <c r="M40" s="62">
        <f t="shared" si="54"/>
        <v>0</v>
      </c>
      <c r="N40" s="53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46"/>
    </row>
    <row r="41" spans="1:135" ht="12.5" x14ac:dyDescent="0.25">
      <c r="B41" s="46" t="s">
        <v>45</v>
      </c>
      <c r="C41" s="53"/>
      <c r="D41" s="62">
        <f t="shared" ref="D41:H41" si="55">SUMIFS($O41:$BV41,$O$4:$BV$4,D$3)</f>
        <v>0</v>
      </c>
      <c r="E41" s="62">
        <f t="shared" si="55"/>
        <v>0</v>
      </c>
      <c r="F41" s="62">
        <f t="shared" si="55"/>
        <v>0</v>
      </c>
      <c r="G41" s="62">
        <f t="shared" si="55"/>
        <v>0</v>
      </c>
      <c r="H41" s="62">
        <f t="shared" si="55"/>
        <v>0</v>
      </c>
      <c r="I41" s="62">
        <f t="shared" ref="I41:M41" si="56">SUMIFS($O41:$ED41,$O$4:$ED$4,I$3)</f>
        <v>0</v>
      </c>
      <c r="J41" s="62">
        <f t="shared" si="56"/>
        <v>0</v>
      </c>
      <c r="K41" s="62">
        <f t="shared" si="56"/>
        <v>0</v>
      </c>
      <c r="L41" s="62">
        <f t="shared" si="56"/>
        <v>0</v>
      </c>
      <c r="M41" s="62">
        <f t="shared" si="56"/>
        <v>0</v>
      </c>
      <c r="N41" s="53"/>
      <c r="O41" s="62">
        <v>0</v>
      </c>
      <c r="P41" s="62">
        <f>IF(P1&lt;=Simulador!$G$50,-Simulador!$G$51,0)</f>
        <v>0</v>
      </c>
      <c r="Q41" s="62">
        <f>IF(Q1&lt;=Simulador!$G$50,-Simulador!$G$51,0)</f>
        <v>0</v>
      </c>
      <c r="R41" s="62">
        <f>IF(R1&lt;=Simulador!$G$50,-Simulador!$G$51,0)</f>
        <v>0</v>
      </c>
      <c r="S41" s="62">
        <f>IF(S1&lt;=Simulador!$G$50,-Simulador!$G$51,0)</f>
        <v>0</v>
      </c>
      <c r="T41" s="62">
        <f>IF(T1&lt;=Simulador!$G$50,-Simulador!$G$51,0)</f>
        <v>0</v>
      </c>
      <c r="U41" s="62">
        <f>IF(U1&lt;=Simulador!$G$50,-Simulador!$G$51,0)</f>
        <v>0</v>
      </c>
      <c r="V41" s="62">
        <f>IF(V1&lt;=Simulador!$G$50,-Simulador!$G$51,0)</f>
        <v>0</v>
      </c>
      <c r="W41" s="62">
        <f>IF(W1&lt;=Simulador!$G$50,-Simulador!$G$51,0)</f>
        <v>0</v>
      </c>
      <c r="X41" s="62">
        <f>IF(X1&lt;=Simulador!$G$50,-Simulador!$G$51,0)</f>
        <v>0</v>
      </c>
      <c r="Y41" s="62">
        <f>IF(Y1&lt;=Simulador!$G$50,-Simulador!$G$51,0)</f>
        <v>0</v>
      </c>
      <c r="Z41" s="62">
        <f>IF(Z1&lt;=Simulador!$G$50,-Simulador!$G$51,0)</f>
        <v>0</v>
      </c>
      <c r="AA41" s="62">
        <f>IF(AA1&lt;=Simulador!$G$50,-Simulador!$G$51,0)</f>
        <v>0</v>
      </c>
      <c r="AB41" s="62">
        <f>IF(AB1&lt;=Simulador!$G$50,-Simulador!$G$51,0)</f>
        <v>0</v>
      </c>
      <c r="AC41" s="62">
        <f>IF(AC1&lt;=Simulador!$G$50,-Simulador!$G$51,0)</f>
        <v>0</v>
      </c>
      <c r="AD41" s="62">
        <f>IF(AD1&lt;=Simulador!$G$50,-Simulador!$G$51,0)</f>
        <v>0</v>
      </c>
      <c r="AE41" s="62">
        <f>IF(AE1&lt;=Simulador!$G$50,-Simulador!$G$51,0)</f>
        <v>0</v>
      </c>
      <c r="AF41" s="62">
        <f>IF(AF1&lt;=Simulador!$G$50,-Simulador!$G$51,0)</f>
        <v>0</v>
      </c>
      <c r="AG41" s="62">
        <f>IF(AG1&lt;=Simulador!$G$50,-Simulador!$G$51,0)</f>
        <v>0</v>
      </c>
      <c r="AH41" s="62">
        <f>IF(AH1&lt;=Simulador!$G$50,-Simulador!$G$51,0)</f>
        <v>0</v>
      </c>
      <c r="AI41" s="62">
        <f>IF(AI1&lt;=Simulador!$G$50,-Simulador!$G$51,0)</f>
        <v>0</v>
      </c>
      <c r="AJ41" s="62">
        <f>IF(AJ1&lt;=Simulador!$G$50,-Simulador!$G$51,0)</f>
        <v>0</v>
      </c>
      <c r="AK41" s="62">
        <f>IF(AK1&lt;=Simulador!$G$50,-Simulador!$G$51,0)</f>
        <v>0</v>
      </c>
      <c r="AL41" s="62">
        <f>IF(AL1&lt;=Simulador!$G$50,-Simulador!$G$51,0)</f>
        <v>0</v>
      </c>
      <c r="AM41" s="62">
        <f>IF(AM1&lt;=Simulador!$G$50,-Simulador!$G$51,0)</f>
        <v>0</v>
      </c>
      <c r="AN41" s="62">
        <f>IF(AN1&lt;=Simulador!$G$50,-Simulador!$G$51,0)</f>
        <v>0</v>
      </c>
      <c r="AO41" s="62">
        <f>IF(AO1&lt;=Simulador!$G$50,-Simulador!$G$51,0)</f>
        <v>0</v>
      </c>
      <c r="AP41" s="62">
        <f>IF(AP1&lt;=Simulador!$G$50,-Simulador!$G$51,0)</f>
        <v>0</v>
      </c>
      <c r="AQ41" s="62">
        <f>IF(AQ1&lt;=Simulador!$G$50,-Simulador!$G$51,0)</f>
        <v>0</v>
      </c>
      <c r="AR41" s="62">
        <f>IF(AR1&lt;=Simulador!$G$50,-Simulador!$G$51,0)</f>
        <v>0</v>
      </c>
      <c r="AS41" s="62">
        <f>IF(AS1&lt;=Simulador!$G$50,-Simulador!$G$51,0)</f>
        <v>0</v>
      </c>
      <c r="AT41" s="62">
        <f>IF(AT1&lt;=Simulador!$G$50,-Simulador!$G$51,0)</f>
        <v>0</v>
      </c>
      <c r="AU41" s="62">
        <f>IF(AU1&lt;=Simulador!$G$50,-Simulador!$G$51,0)</f>
        <v>0</v>
      </c>
      <c r="AV41" s="62">
        <f>IF(AV1&lt;=Simulador!$G$50,-Simulador!$G$51,0)</f>
        <v>0</v>
      </c>
      <c r="AW41" s="62">
        <f>IF(AW1&lt;=Simulador!$G$50,-Simulador!$G$51,0)</f>
        <v>0</v>
      </c>
      <c r="AX41" s="62">
        <f>IF(AX1&lt;=Simulador!$G$50,-Simulador!$G$51,0)</f>
        <v>0</v>
      </c>
      <c r="AY41" s="62">
        <f>IF(AY1&lt;=Simulador!$G$50,-Simulador!$G$51,0)</f>
        <v>0</v>
      </c>
      <c r="AZ41" s="62">
        <f>IF(AZ1&lt;=Simulador!$G$50,-Simulador!$G$51,0)</f>
        <v>0</v>
      </c>
      <c r="BA41" s="62">
        <f>IF(BA1&lt;=Simulador!$G$50,-Simulador!$G$51,0)</f>
        <v>0</v>
      </c>
      <c r="BB41" s="62">
        <f>IF(BB1&lt;=Simulador!$G$50,-Simulador!$G$51,0)</f>
        <v>0</v>
      </c>
      <c r="BC41" s="62">
        <f>IF(BC1&lt;=Simulador!$G$50,-Simulador!$G$51,0)</f>
        <v>0</v>
      </c>
      <c r="BD41" s="62">
        <f>IF(BD1&lt;=Simulador!$G$50,-Simulador!$G$51,0)</f>
        <v>0</v>
      </c>
      <c r="BE41" s="62">
        <f>IF(BE1&lt;=Simulador!$G$50,-Simulador!$G$51,0)</f>
        <v>0</v>
      </c>
      <c r="BF41" s="62">
        <f>IF(BF1&lt;=Simulador!$G$50,-Simulador!$G$51,0)</f>
        <v>0</v>
      </c>
      <c r="BG41" s="62">
        <f>IF(BG1&lt;=Simulador!$G$50,-Simulador!$G$51,0)</f>
        <v>0</v>
      </c>
      <c r="BH41" s="62">
        <f>IF(BH1&lt;=Simulador!$G$50,-Simulador!$G$51,0)</f>
        <v>0</v>
      </c>
      <c r="BI41" s="62">
        <f>IF(BI1&lt;=Simulador!$G$50,-Simulador!$G$51,0)</f>
        <v>0</v>
      </c>
      <c r="BJ41" s="62">
        <f>IF(BJ1&lt;=Simulador!$G$50,-Simulador!$G$51,0)</f>
        <v>0</v>
      </c>
      <c r="BK41" s="62">
        <f>IF(BK1&lt;=Simulador!$G$50,-Simulador!$G$51,0)</f>
        <v>0</v>
      </c>
      <c r="BL41" s="62">
        <f>IF(BL1&lt;=Simulador!$G$50,-Simulador!$G$51,0)</f>
        <v>0</v>
      </c>
      <c r="BM41" s="62">
        <f>IF(BM1&lt;=Simulador!$G$50,-Simulador!$G$51,0)</f>
        <v>0</v>
      </c>
      <c r="BN41" s="62">
        <f>IF(BN1&lt;=Simulador!$G$50,-Simulador!$G$51,0)</f>
        <v>0</v>
      </c>
      <c r="BO41" s="62">
        <f>IF(BO1&lt;=Simulador!$G$50,-Simulador!$G$51,0)</f>
        <v>0</v>
      </c>
      <c r="BP41" s="62">
        <f>IF(BP1&lt;=Simulador!$G$50,-Simulador!$G$51,0)</f>
        <v>0</v>
      </c>
      <c r="BQ41" s="62">
        <f>IF(BQ1&lt;=Simulador!$G$50,-Simulador!$G$51,0)</f>
        <v>0</v>
      </c>
      <c r="BR41" s="62">
        <f>IF(BR1&lt;=Simulador!$G$50,-Simulador!$G$51,0)</f>
        <v>0</v>
      </c>
      <c r="BS41" s="62">
        <f>IF(BS1&lt;=Simulador!$G$50,-Simulador!$G$51,0)</f>
        <v>0</v>
      </c>
      <c r="BT41" s="62">
        <f>IF(BT1&lt;=Simulador!$G$50,-Simulador!$G$51,0)</f>
        <v>0</v>
      </c>
      <c r="BU41" s="62">
        <f>IF(BU1&lt;=Simulador!$G$50,-Simulador!$G$51,0)</f>
        <v>0</v>
      </c>
      <c r="BV41" s="62">
        <f>IF(BV1&lt;=Simulador!$G$50,-Simulador!$G$51,0)</f>
        <v>0</v>
      </c>
      <c r="BW41" s="62">
        <f>IF(BW1&lt;=Simulador!$G$50,-Simulador!$G$51,0)</f>
        <v>0</v>
      </c>
      <c r="BX41" s="62">
        <f>IF(BX1&lt;=Simulador!$G$50,-Simulador!$G$51,0)</f>
        <v>0</v>
      </c>
      <c r="BY41" s="62">
        <f>IF(BY1&lt;=Simulador!$G$50,-Simulador!$G$51,0)</f>
        <v>0</v>
      </c>
      <c r="BZ41" s="62">
        <f>IF(BZ1&lt;=Simulador!$G$50,-Simulador!$G$51,0)</f>
        <v>0</v>
      </c>
      <c r="CA41" s="62">
        <f>IF(CA1&lt;=Simulador!$G$50,-Simulador!$G$51,0)</f>
        <v>0</v>
      </c>
      <c r="CB41" s="62">
        <f>IF(CB1&lt;=Simulador!$G$50,-Simulador!$G$51,0)</f>
        <v>0</v>
      </c>
      <c r="CC41" s="62">
        <f>IF(CC1&lt;=Simulador!$G$50,-Simulador!$G$51,0)</f>
        <v>0</v>
      </c>
      <c r="CD41" s="62">
        <f>IF(CD1&lt;=Simulador!$G$50,-Simulador!$G$51,0)</f>
        <v>0</v>
      </c>
      <c r="CE41" s="62">
        <f>IF(CE1&lt;=Simulador!$G$50,-Simulador!$G$51,0)</f>
        <v>0</v>
      </c>
      <c r="CF41" s="62">
        <f>IF(CF1&lt;=Simulador!$G$50,-Simulador!$G$51,0)</f>
        <v>0</v>
      </c>
      <c r="CG41" s="62">
        <f>IF(CG1&lt;=Simulador!$G$50,-Simulador!$G$51,0)</f>
        <v>0</v>
      </c>
      <c r="CH41" s="62">
        <f>IF(CH1&lt;=Simulador!$G$50,-Simulador!$G$51,0)</f>
        <v>0</v>
      </c>
      <c r="CI41" s="62">
        <f>IF(CI1&lt;=Simulador!$G$50,-Simulador!$G$51,0)</f>
        <v>0</v>
      </c>
      <c r="CJ41" s="62">
        <f>IF(CJ1&lt;=Simulador!$G$50,-Simulador!$G$51,0)</f>
        <v>0</v>
      </c>
      <c r="CK41" s="62">
        <f>IF(CK1&lt;=Simulador!$G$50,-Simulador!$G$51,0)</f>
        <v>0</v>
      </c>
      <c r="CL41" s="62">
        <f>IF(CL1&lt;=Simulador!$G$50,-Simulador!$G$51,0)</f>
        <v>0</v>
      </c>
      <c r="CM41" s="62">
        <f>IF(CM1&lt;=Simulador!$G$50,-Simulador!$G$51,0)</f>
        <v>0</v>
      </c>
      <c r="CN41" s="62">
        <f>IF(CN1&lt;=Simulador!$G$50,-Simulador!$G$51,0)</f>
        <v>0</v>
      </c>
      <c r="CO41" s="62">
        <f>IF(CO1&lt;=Simulador!$G$50,-Simulador!$G$51,0)</f>
        <v>0</v>
      </c>
      <c r="CP41" s="62">
        <f>IF(CP1&lt;=Simulador!$G$50,-Simulador!$G$51,0)</f>
        <v>0</v>
      </c>
      <c r="CQ41" s="62">
        <f>IF(CQ1&lt;=Simulador!$G$50,-Simulador!$G$51,0)</f>
        <v>0</v>
      </c>
      <c r="CR41" s="62">
        <f>IF(CR1&lt;=Simulador!$G$50,-Simulador!$G$51,0)</f>
        <v>0</v>
      </c>
      <c r="CS41" s="62">
        <f>IF(CS1&lt;=Simulador!$G$50,-Simulador!$G$51,0)</f>
        <v>0</v>
      </c>
      <c r="CT41" s="62">
        <f>IF(CT1&lt;=Simulador!$G$50,-Simulador!$G$51,0)</f>
        <v>0</v>
      </c>
      <c r="CU41" s="62">
        <f>IF(CU1&lt;=Simulador!$G$50,-Simulador!$G$51,0)</f>
        <v>0</v>
      </c>
      <c r="CV41" s="62">
        <f>IF(CV1&lt;=Simulador!$G$50,-Simulador!$G$51,0)</f>
        <v>0</v>
      </c>
      <c r="CW41" s="62">
        <f>IF(CW1&lt;=Simulador!$G$50,-Simulador!$G$51,0)</f>
        <v>0</v>
      </c>
      <c r="CX41" s="62">
        <f>IF(CX1&lt;=Simulador!$G$50,-Simulador!$G$51,0)</f>
        <v>0</v>
      </c>
      <c r="CY41" s="62">
        <f>IF(CY1&lt;=Simulador!$G$50,-Simulador!$G$51,0)</f>
        <v>0</v>
      </c>
      <c r="CZ41" s="62">
        <f>IF(CZ1&lt;=Simulador!$G$50,-Simulador!$G$51,0)</f>
        <v>0</v>
      </c>
      <c r="DA41" s="62">
        <f>IF(DA1&lt;=Simulador!$G$50,-Simulador!$G$51,0)</f>
        <v>0</v>
      </c>
      <c r="DB41" s="62">
        <f>IF(DB1&lt;=Simulador!$G$50,-Simulador!$G$51,0)</f>
        <v>0</v>
      </c>
      <c r="DC41" s="62">
        <f>IF(DC1&lt;=Simulador!$G$50,-Simulador!$G$51,0)</f>
        <v>0</v>
      </c>
      <c r="DD41" s="62">
        <f>IF(DD1&lt;=Simulador!$G$50,-Simulador!$G$51,0)</f>
        <v>0</v>
      </c>
      <c r="DE41" s="62">
        <f>IF(DE1&lt;=Simulador!$G$50,-Simulador!$G$51,0)</f>
        <v>0</v>
      </c>
      <c r="DF41" s="62">
        <f>IF(DF1&lt;=Simulador!$G$50,-Simulador!$G$51,0)</f>
        <v>0</v>
      </c>
      <c r="DG41" s="62">
        <f>IF(DG1&lt;=Simulador!$G$50,-Simulador!$G$51,0)</f>
        <v>0</v>
      </c>
      <c r="DH41" s="62">
        <f>IF(DH1&lt;=Simulador!$G$50,-Simulador!$G$51,0)</f>
        <v>0</v>
      </c>
      <c r="DI41" s="62">
        <f>IF(DI1&lt;=Simulador!$G$50,-Simulador!$G$51,0)</f>
        <v>0</v>
      </c>
      <c r="DJ41" s="62">
        <f>IF(DJ1&lt;=Simulador!$G$50,-Simulador!$G$51,0)</f>
        <v>0</v>
      </c>
      <c r="DK41" s="62">
        <f>IF(DK1&lt;=Simulador!$G$50,-Simulador!$G$51,0)</f>
        <v>0</v>
      </c>
      <c r="DL41" s="62">
        <f>IF(DL1&lt;=Simulador!$G$50,-Simulador!$G$51,0)</f>
        <v>0</v>
      </c>
      <c r="DM41" s="62">
        <f>IF(DM1&lt;=Simulador!$G$50,-Simulador!$G$51,0)</f>
        <v>0</v>
      </c>
      <c r="DN41" s="62">
        <f>IF(DN1&lt;=Simulador!$G$50,-Simulador!$G$51,0)</f>
        <v>0</v>
      </c>
      <c r="DO41" s="62">
        <f>IF(DO1&lt;=Simulador!$G$50,-Simulador!$G$51,0)</f>
        <v>0</v>
      </c>
      <c r="DP41" s="62">
        <f>IF(DP1&lt;=Simulador!$G$50,-Simulador!$G$51,0)</f>
        <v>0</v>
      </c>
      <c r="DQ41" s="62">
        <f>IF(DQ1&lt;=Simulador!$G$50,-Simulador!$G$51,0)</f>
        <v>0</v>
      </c>
      <c r="DR41" s="62">
        <f>IF(DR1&lt;=Simulador!$G$50,-Simulador!$G$51,0)</f>
        <v>0</v>
      </c>
      <c r="DS41" s="62">
        <f>IF(DS1&lt;=Simulador!$G$50,-Simulador!$G$51,0)</f>
        <v>0</v>
      </c>
      <c r="DT41" s="62">
        <f>IF(DT1&lt;=Simulador!$G$50,-Simulador!$G$51,0)</f>
        <v>0</v>
      </c>
      <c r="DU41" s="62">
        <f>IF(DU1&lt;=Simulador!$G$50,-Simulador!$G$51,0)</f>
        <v>0</v>
      </c>
      <c r="DV41" s="62">
        <f>IF(DV1&lt;=Simulador!$G$50,-Simulador!$G$51,0)</f>
        <v>0</v>
      </c>
      <c r="DW41" s="62">
        <f>IF(DW1&lt;=Simulador!$G$50,-Simulador!$G$51,0)</f>
        <v>0</v>
      </c>
      <c r="DX41" s="62">
        <f>IF(DX1&lt;=Simulador!$G$50,-Simulador!$G$51,0)</f>
        <v>0</v>
      </c>
      <c r="DY41" s="62">
        <f>IF(DY1&lt;=Simulador!$G$50,-Simulador!$G$51,0)</f>
        <v>0</v>
      </c>
      <c r="DZ41" s="62">
        <f>IF(DZ1&lt;=Simulador!$G$50,-Simulador!$G$51,0)</f>
        <v>0</v>
      </c>
      <c r="EA41" s="62">
        <f>IF(EA1&lt;=Simulador!$G$50,-Simulador!$G$51,0)</f>
        <v>0</v>
      </c>
      <c r="EB41" s="62">
        <f>IF(EB1&lt;=Simulador!$G$50,-Simulador!$G$51,0)</f>
        <v>0</v>
      </c>
      <c r="EC41" s="62">
        <f>IF(EC1&lt;=Simulador!$G$50,-Simulador!$G$51,0)</f>
        <v>0</v>
      </c>
      <c r="ED41" s="62">
        <f>IF(ED1&lt;=Simulador!$G$50,-Simulador!$G$51,0)</f>
        <v>0</v>
      </c>
      <c r="EE41" s="46"/>
    </row>
    <row r="42" spans="1:135" ht="12.5" x14ac:dyDescent="0.25">
      <c r="A42" s="26"/>
      <c r="B42" s="46" t="s">
        <v>53</v>
      </c>
      <c r="C42" s="26"/>
      <c r="D42" s="62">
        <f t="shared" ref="D42:H42" si="57">SUMIFS($O42:$BV42,$O$4:$BV$4,D$3)</f>
        <v>0</v>
      </c>
      <c r="E42" s="62">
        <f t="shared" si="57"/>
        <v>0</v>
      </c>
      <c r="F42" s="62">
        <f t="shared" si="57"/>
        <v>0</v>
      </c>
      <c r="G42" s="62">
        <f t="shared" si="57"/>
        <v>0</v>
      </c>
      <c r="H42" s="62">
        <f t="shared" si="57"/>
        <v>0</v>
      </c>
      <c r="I42" s="62">
        <f t="shared" ref="I42:M42" si="58">SUMIFS($O42:$ED42,$O$4:$ED$4,I$3)</f>
        <v>0</v>
      </c>
      <c r="J42" s="62">
        <f t="shared" si="58"/>
        <v>0</v>
      </c>
      <c r="K42" s="62">
        <f t="shared" si="58"/>
        <v>0</v>
      </c>
      <c r="L42" s="62">
        <f t="shared" si="58"/>
        <v>0</v>
      </c>
      <c r="M42" s="62">
        <f t="shared" si="58"/>
        <v>0</v>
      </c>
      <c r="N42" s="26"/>
      <c r="O42" s="68">
        <f>-Simulador!$G$58</f>
        <v>0</v>
      </c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</row>
    <row r="43" spans="1:135" ht="12.5" x14ac:dyDescent="0.25">
      <c r="A43" s="26"/>
      <c r="B43" s="46" t="s">
        <v>209</v>
      </c>
      <c r="C43" s="26"/>
      <c r="D43" s="68">
        <f t="shared" ref="D43:H43" si="59">SUMIFS($O43:$BV43,$O$4:$BV$4,D$3)</f>
        <v>0</v>
      </c>
      <c r="E43" s="68">
        <f t="shared" si="59"/>
        <v>0</v>
      </c>
      <c r="F43" s="68">
        <f t="shared" si="59"/>
        <v>0</v>
      </c>
      <c r="G43" s="68">
        <f t="shared" si="59"/>
        <v>0</v>
      </c>
      <c r="H43" s="68">
        <f t="shared" si="59"/>
        <v>0</v>
      </c>
      <c r="I43" s="68">
        <f t="shared" ref="I43:M43" si="60">SUMIFS($O43:$ED43,$O$4:$ED$4,I$3)</f>
        <v>0</v>
      </c>
      <c r="J43" s="68">
        <f t="shared" si="60"/>
        <v>0</v>
      </c>
      <c r="K43" s="68">
        <f t="shared" si="60"/>
        <v>0</v>
      </c>
      <c r="L43" s="68">
        <f t="shared" si="60"/>
        <v>0</v>
      </c>
      <c r="M43" s="68">
        <f t="shared" si="60"/>
        <v>0</v>
      </c>
      <c r="N43" s="26"/>
      <c r="O43" s="68">
        <v>0</v>
      </c>
      <c r="P43" s="68">
        <f>IF(AND(P1&lt;=Simulador!$G$8,MOD(P1-1,12)+1=Simulador!$G$55),-Simulador!$G$56,0)</f>
        <v>0</v>
      </c>
      <c r="Q43" s="68">
        <f>IF(AND(Q1&lt;=Simulador!$G$8,MOD(Q1-1,12)+1=Simulador!$G$55),-Simulador!$G$56,0)</f>
        <v>0</v>
      </c>
      <c r="R43" s="68">
        <f>IF(AND(R1&lt;=Simulador!$G$8,MOD(R1-1,12)+1=Simulador!$G$55),-Simulador!$G$56,0)</f>
        <v>0</v>
      </c>
      <c r="S43" s="68">
        <f>IF(AND(S1&lt;=Simulador!$G$8,MOD(S1-1,12)+1=Simulador!$G$55),-Simulador!$G$56,0)</f>
        <v>0</v>
      </c>
      <c r="T43" s="68">
        <f>IF(AND(T1&lt;=Simulador!$G$8,MOD(T1-1,12)+1=Simulador!$G$55),-Simulador!$G$56,0)</f>
        <v>0</v>
      </c>
      <c r="U43" s="68">
        <f>IF(AND(U1&lt;=Simulador!$G$8,MOD(U1-1,12)+1=Simulador!$G$55),-Simulador!$G$56,0)</f>
        <v>0</v>
      </c>
      <c r="V43" s="68">
        <f>IF(AND(V1&lt;=Simulador!$G$8,MOD(V1-1,12)+1=Simulador!$G$55),-Simulador!$G$56,0)</f>
        <v>0</v>
      </c>
      <c r="W43" s="68">
        <f>IF(AND(W1&lt;=Simulador!$G$8,MOD(W1-1,12)+1=Simulador!$G$55),-Simulador!$G$56,0)</f>
        <v>0</v>
      </c>
      <c r="X43" s="68">
        <f>IF(AND(X1&lt;=Simulador!$G$8,MOD(X1-1,12)+1=Simulador!$G$55),-Simulador!$G$56,0)</f>
        <v>0</v>
      </c>
      <c r="Y43" s="68">
        <f>IF(AND(Y1&lt;=Simulador!$G$8,MOD(Y1-1,12)+1=Simulador!$G$55),-Simulador!$G$56,0)</f>
        <v>0</v>
      </c>
      <c r="Z43" s="68">
        <f>IF(AND(Z1&lt;=Simulador!$G$8,MOD(Z1-1,12)+1=Simulador!$G$55),-Simulador!$G$56,0)</f>
        <v>0</v>
      </c>
      <c r="AA43" s="68">
        <f>IF(AND(AA1&lt;=Simulador!$G$8,MOD(AA1-1,12)+1=Simulador!$G$55),-Simulador!$G$56,0)</f>
        <v>0</v>
      </c>
      <c r="AB43" s="68">
        <f>IF(AND(AB1&lt;=Simulador!$G$8,MOD(AB1-1,12)+1=Simulador!$G$55),-Simulador!$G$56,0)</f>
        <v>0</v>
      </c>
      <c r="AC43" s="68">
        <f>IF(AND(AC1&lt;=Simulador!$G$8,MOD(AC1-1,12)+1=Simulador!$G$55),-Simulador!$G$56,0)</f>
        <v>0</v>
      </c>
      <c r="AD43" s="68">
        <f>IF(AND(AD1&lt;=Simulador!$G$8,MOD(AD1-1,12)+1=Simulador!$G$55),-Simulador!$G$56,0)</f>
        <v>0</v>
      </c>
      <c r="AE43" s="68">
        <f>IF(AND(AE1&lt;=Simulador!$G$8,MOD(AE1-1,12)+1=Simulador!$G$55),-Simulador!$G$56,0)</f>
        <v>0</v>
      </c>
      <c r="AF43" s="68">
        <f>IF(AND(AF1&lt;=Simulador!$G$8,MOD(AF1-1,12)+1=Simulador!$G$55),-Simulador!$G$56,0)</f>
        <v>0</v>
      </c>
      <c r="AG43" s="68">
        <f>IF(AND(AG1&lt;=Simulador!$G$8,MOD(AG1-1,12)+1=Simulador!$G$55),-Simulador!$G$56,0)</f>
        <v>0</v>
      </c>
      <c r="AH43" s="68">
        <f>IF(AND(AH1&lt;=Simulador!$G$8,MOD(AH1-1,12)+1=Simulador!$G$55),-Simulador!$G$56,0)</f>
        <v>0</v>
      </c>
      <c r="AI43" s="68">
        <f>IF(AND(AI1&lt;=Simulador!$G$8,MOD(AI1-1,12)+1=Simulador!$G$55),-Simulador!$G$56,0)</f>
        <v>0</v>
      </c>
      <c r="AJ43" s="68">
        <f>IF(AND(AJ1&lt;=Simulador!$G$8,MOD(AJ1-1,12)+1=Simulador!$G$55),-Simulador!$G$56,0)</f>
        <v>0</v>
      </c>
      <c r="AK43" s="68">
        <f>IF(AND(AK1&lt;=Simulador!$G$8,MOD(AK1-1,12)+1=Simulador!$G$55),-Simulador!$G$56,0)</f>
        <v>0</v>
      </c>
      <c r="AL43" s="68">
        <f>IF(AND(AL1&lt;=Simulador!$G$8,MOD(AL1-1,12)+1=Simulador!$G$55),-Simulador!$G$56,0)</f>
        <v>0</v>
      </c>
      <c r="AM43" s="68">
        <f>IF(AND(AM1&lt;=Simulador!$G$8,MOD(AM1-1,12)+1=Simulador!$G$55),-Simulador!$G$56,0)</f>
        <v>0</v>
      </c>
      <c r="AN43" s="68">
        <f>IF(AND(AN1&lt;=Simulador!$G$8,MOD(AN1-1,12)+1=Simulador!$G$55),-Simulador!$G$56,0)</f>
        <v>0</v>
      </c>
      <c r="AO43" s="68">
        <f>IF(AND(AO1&lt;=Simulador!$G$8,MOD(AO1-1,12)+1=Simulador!$G$55),-Simulador!$G$56,0)</f>
        <v>0</v>
      </c>
      <c r="AP43" s="68">
        <f>IF(AND(AP1&lt;=Simulador!$G$8,MOD(AP1-1,12)+1=Simulador!$G$55),-Simulador!$G$56,0)</f>
        <v>0</v>
      </c>
      <c r="AQ43" s="68">
        <f>IF(AND(AQ1&lt;=Simulador!$G$8,MOD(AQ1-1,12)+1=Simulador!$G$55),-Simulador!$G$56,0)</f>
        <v>0</v>
      </c>
      <c r="AR43" s="68">
        <f>IF(AND(AR1&lt;=Simulador!$G$8,MOD(AR1-1,12)+1=Simulador!$G$55),-Simulador!$G$56,0)</f>
        <v>0</v>
      </c>
      <c r="AS43" s="68">
        <f>IF(AND(AS1&lt;=Simulador!$G$8,MOD(AS1-1,12)+1=Simulador!$G$55),-Simulador!$G$56,0)</f>
        <v>0</v>
      </c>
      <c r="AT43" s="68">
        <f>IF(AND(AT1&lt;=Simulador!$G$8,MOD(AT1-1,12)+1=Simulador!$G$55),-Simulador!$G$56,0)</f>
        <v>0</v>
      </c>
      <c r="AU43" s="68">
        <f>IF(AND(AU1&lt;=Simulador!$G$8,MOD(AU1-1,12)+1=Simulador!$G$55),-Simulador!$G$56,0)</f>
        <v>0</v>
      </c>
      <c r="AV43" s="68">
        <f>IF(AND(AV1&lt;=Simulador!$G$8,MOD(AV1-1,12)+1=Simulador!$G$55),-Simulador!$G$56,0)</f>
        <v>0</v>
      </c>
      <c r="AW43" s="68">
        <f>IF(AND(AW1&lt;=Simulador!$G$8,MOD(AW1-1,12)+1=Simulador!$G$55),-Simulador!$G$56,0)</f>
        <v>0</v>
      </c>
      <c r="AX43" s="68">
        <f>IF(AND(AX1&lt;=Simulador!$G$8,MOD(AX1-1,12)+1=Simulador!$G$55),-Simulador!$G$56,0)</f>
        <v>0</v>
      </c>
      <c r="AY43" s="68">
        <f>IF(AND(AY1&lt;=Simulador!$G$8,MOD(AY1-1,12)+1=Simulador!$G$55),-Simulador!$G$56,0)</f>
        <v>0</v>
      </c>
      <c r="AZ43" s="68">
        <f>IF(AND(AZ1&lt;=Simulador!$G$8,MOD(AZ1-1,12)+1=Simulador!$G$55),-Simulador!$G$56,0)</f>
        <v>0</v>
      </c>
      <c r="BA43" s="68">
        <f>IF(AND(BA1&lt;=Simulador!$G$8,MOD(BA1-1,12)+1=Simulador!$G$55),-Simulador!$G$56,0)</f>
        <v>0</v>
      </c>
      <c r="BB43" s="68">
        <f>IF(AND(BB1&lt;=Simulador!$G$8,MOD(BB1-1,12)+1=Simulador!$G$55),-Simulador!$G$56,0)</f>
        <v>0</v>
      </c>
      <c r="BC43" s="68">
        <f>IF(AND(BC1&lt;=Simulador!$G$8,MOD(BC1-1,12)+1=Simulador!$G$55),-Simulador!$G$56,0)</f>
        <v>0</v>
      </c>
      <c r="BD43" s="68">
        <f>IF(AND(BD1&lt;=Simulador!$G$8,MOD(BD1-1,12)+1=Simulador!$G$55),-Simulador!$G$56,0)</f>
        <v>0</v>
      </c>
      <c r="BE43" s="68">
        <f>IF(AND(BE1&lt;=Simulador!$G$8,MOD(BE1-1,12)+1=Simulador!$G$55),-Simulador!$G$56,0)</f>
        <v>0</v>
      </c>
      <c r="BF43" s="68">
        <f>IF(AND(BF1&lt;=Simulador!$G$8,MOD(BF1-1,12)+1=Simulador!$G$55),-Simulador!$G$56,0)</f>
        <v>0</v>
      </c>
      <c r="BG43" s="68">
        <f>IF(AND(BG1&lt;=Simulador!$G$8,MOD(BG1-1,12)+1=Simulador!$G$55),-Simulador!$G$56,0)</f>
        <v>0</v>
      </c>
      <c r="BH43" s="68">
        <f>IF(AND(BH1&lt;=Simulador!$G$8,MOD(BH1-1,12)+1=Simulador!$G$55),-Simulador!$G$56,0)</f>
        <v>0</v>
      </c>
      <c r="BI43" s="68">
        <f>IF(AND(BI1&lt;=Simulador!$G$8,MOD(BI1-1,12)+1=Simulador!$G$55),-Simulador!$G$56,0)</f>
        <v>0</v>
      </c>
      <c r="BJ43" s="68">
        <f>IF(AND(BJ1&lt;=Simulador!$G$8,MOD(BJ1-1,12)+1=Simulador!$G$55),-Simulador!$G$56,0)</f>
        <v>0</v>
      </c>
      <c r="BK43" s="68">
        <f>IF(AND(BK1&lt;=Simulador!$G$8,MOD(BK1-1,12)+1=Simulador!$G$55),-Simulador!$G$56,0)</f>
        <v>0</v>
      </c>
      <c r="BL43" s="68">
        <f>IF(AND(BL1&lt;=Simulador!$G$8,MOD(BL1-1,12)+1=Simulador!$G$55),-Simulador!$G$56,0)</f>
        <v>0</v>
      </c>
      <c r="BM43" s="68">
        <f>IF(AND(BM1&lt;=Simulador!$G$8,MOD(BM1-1,12)+1=Simulador!$G$55),-Simulador!$G$56,0)</f>
        <v>0</v>
      </c>
      <c r="BN43" s="68">
        <f>IF(AND(BN1&lt;=Simulador!$G$8,MOD(BN1-1,12)+1=Simulador!$G$55),-Simulador!$G$56,0)</f>
        <v>0</v>
      </c>
      <c r="BO43" s="68">
        <f>IF(AND(BO1&lt;=Simulador!$G$8,MOD(BO1-1,12)+1=Simulador!$G$55),-Simulador!$G$56,0)</f>
        <v>0</v>
      </c>
      <c r="BP43" s="68">
        <f>IF(AND(BP1&lt;=Simulador!$G$8,MOD(BP1-1,12)+1=Simulador!$G$55),-Simulador!$G$56,0)</f>
        <v>0</v>
      </c>
      <c r="BQ43" s="68">
        <f>IF(AND(BQ1&lt;=Simulador!$G$8,MOD(BQ1-1,12)+1=Simulador!$G$55),-Simulador!$G$56,0)</f>
        <v>0</v>
      </c>
      <c r="BR43" s="68">
        <f>IF(AND(BR1&lt;=Simulador!$G$8,MOD(BR1-1,12)+1=Simulador!$G$55),-Simulador!$G$56,0)</f>
        <v>0</v>
      </c>
      <c r="BS43" s="68">
        <f>IF(AND(BS1&lt;=Simulador!$G$8,MOD(BS1-1,12)+1=Simulador!$G$55),-Simulador!$G$56,0)</f>
        <v>0</v>
      </c>
      <c r="BT43" s="68">
        <f>IF(AND(BT1&lt;=Simulador!$G$8,MOD(BT1-1,12)+1=Simulador!$G$55),-Simulador!$G$56,0)</f>
        <v>0</v>
      </c>
      <c r="BU43" s="68">
        <f>IF(AND(BU1&lt;=Simulador!$G$8,MOD(BU1-1,12)+1=Simulador!$G$55),-Simulador!$G$56,0)</f>
        <v>0</v>
      </c>
      <c r="BV43" s="68">
        <f>IF(AND(BV1&lt;=Simulador!$G$8,MOD(BV1-1,12)+1=Simulador!$G$55),-Simulador!$G$56,0)</f>
        <v>0</v>
      </c>
      <c r="BW43" s="68">
        <f>IF(AND(BW1&lt;=Simulador!$G$8,MOD(BW1-1,12)+1=Simulador!$G$55),-Simulador!$G$56,0)</f>
        <v>0</v>
      </c>
      <c r="BX43" s="68">
        <f>IF(AND(BX1&lt;=Simulador!$G$8,MOD(BX1-1,12)+1=Simulador!$G$55),-Simulador!$G$56,0)</f>
        <v>0</v>
      </c>
      <c r="BY43" s="68">
        <f>IF(AND(BY1&lt;=Simulador!$G$8,MOD(BY1-1,12)+1=Simulador!$G$55),-Simulador!$G$56,0)</f>
        <v>0</v>
      </c>
      <c r="BZ43" s="68">
        <f>IF(AND(BZ1&lt;=Simulador!$G$8,MOD(BZ1-1,12)+1=Simulador!$G$55),-Simulador!$G$56,0)</f>
        <v>0</v>
      </c>
      <c r="CA43" s="68">
        <f>IF(AND(CA1&lt;=Simulador!$G$8,MOD(CA1-1,12)+1=Simulador!$G$55),-Simulador!$G$56,0)</f>
        <v>0</v>
      </c>
      <c r="CB43" s="68">
        <f>IF(AND(CB1&lt;=Simulador!$G$8,MOD(CB1-1,12)+1=Simulador!$G$55),-Simulador!$G$56,0)</f>
        <v>0</v>
      </c>
      <c r="CC43" s="68">
        <f>IF(AND(CC1&lt;=Simulador!$G$8,MOD(CC1-1,12)+1=Simulador!$G$55),-Simulador!$G$56,0)</f>
        <v>0</v>
      </c>
      <c r="CD43" s="68">
        <f>IF(AND(CD1&lt;=Simulador!$G$8,MOD(CD1-1,12)+1=Simulador!$G$55),-Simulador!$G$56,0)</f>
        <v>0</v>
      </c>
      <c r="CE43" s="68">
        <f>IF(AND(CE1&lt;=Simulador!$G$8,MOD(CE1-1,12)+1=Simulador!$G$55),-Simulador!$G$56,0)</f>
        <v>0</v>
      </c>
      <c r="CF43" s="68">
        <f>IF(AND(CF1&lt;=Simulador!$G$8,MOD(CF1-1,12)+1=Simulador!$G$55),-Simulador!$G$56,0)</f>
        <v>0</v>
      </c>
      <c r="CG43" s="68">
        <f>IF(AND(CG1&lt;=Simulador!$G$8,MOD(CG1-1,12)+1=Simulador!$G$55),-Simulador!$G$56,0)</f>
        <v>0</v>
      </c>
      <c r="CH43" s="68">
        <f>IF(AND(CH1&lt;=Simulador!$G$8,MOD(CH1-1,12)+1=Simulador!$G$55),-Simulador!$G$56,0)</f>
        <v>0</v>
      </c>
      <c r="CI43" s="68">
        <f>IF(AND(CI1&lt;=Simulador!$G$8,MOD(CI1-1,12)+1=Simulador!$G$55),-Simulador!$G$56,0)</f>
        <v>0</v>
      </c>
      <c r="CJ43" s="68">
        <f>IF(AND(CJ1&lt;=Simulador!$G$8,MOD(CJ1-1,12)+1=Simulador!$G$55),-Simulador!$G$56,0)</f>
        <v>0</v>
      </c>
      <c r="CK43" s="68">
        <f>IF(AND(CK1&lt;=Simulador!$G$8,MOD(CK1-1,12)+1=Simulador!$G$55),-Simulador!$G$56,0)</f>
        <v>0</v>
      </c>
      <c r="CL43" s="68">
        <f>IF(AND(CL1&lt;=Simulador!$G$8,MOD(CL1-1,12)+1=Simulador!$G$55),-Simulador!$G$56,0)</f>
        <v>0</v>
      </c>
      <c r="CM43" s="68">
        <f>IF(AND(CM1&lt;=Simulador!$G$8,MOD(CM1-1,12)+1=Simulador!$G$55),-Simulador!$G$56,0)</f>
        <v>0</v>
      </c>
      <c r="CN43" s="68">
        <f>IF(AND(CN1&lt;=Simulador!$G$8,MOD(CN1-1,12)+1=Simulador!$G$55),-Simulador!$G$56,0)</f>
        <v>0</v>
      </c>
      <c r="CO43" s="68">
        <f>IF(AND(CO1&lt;=Simulador!$G$8,MOD(CO1-1,12)+1=Simulador!$G$55),-Simulador!$G$56,0)</f>
        <v>0</v>
      </c>
      <c r="CP43" s="68">
        <f>IF(AND(CP1&lt;=Simulador!$G$8,MOD(CP1-1,12)+1=Simulador!$G$55),-Simulador!$G$56,0)</f>
        <v>0</v>
      </c>
      <c r="CQ43" s="68">
        <f>IF(AND(CQ1&lt;=Simulador!$G$8,MOD(CQ1-1,12)+1=Simulador!$G$55),-Simulador!$G$56,0)</f>
        <v>0</v>
      </c>
      <c r="CR43" s="68">
        <f>IF(AND(CR1&lt;=Simulador!$G$8,MOD(CR1-1,12)+1=Simulador!$G$55),-Simulador!$G$56,0)</f>
        <v>0</v>
      </c>
      <c r="CS43" s="68">
        <f>IF(AND(CS1&lt;=Simulador!$G$8,MOD(CS1-1,12)+1=Simulador!$G$55),-Simulador!$G$56,0)</f>
        <v>0</v>
      </c>
      <c r="CT43" s="68">
        <f>IF(AND(CT1&lt;=Simulador!$G$8,MOD(CT1-1,12)+1=Simulador!$G$55),-Simulador!$G$56,0)</f>
        <v>0</v>
      </c>
      <c r="CU43" s="68">
        <f>IF(AND(CU1&lt;=Simulador!$G$8,MOD(CU1-1,12)+1=Simulador!$G$55),-Simulador!$G$56,0)</f>
        <v>0</v>
      </c>
      <c r="CV43" s="68">
        <f>IF(AND(CV1&lt;=Simulador!$G$8,MOD(CV1-1,12)+1=Simulador!$G$55),-Simulador!$G$56,0)</f>
        <v>0</v>
      </c>
      <c r="CW43" s="68">
        <f>IF(AND(CW1&lt;=Simulador!$G$8,MOD(CW1-1,12)+1=Simulador!$G$55),-Simulador!$G$56,0)</f>
        <v>0</v>
      </c>
      <c r="CX43" s="68">
        <f>IF(AND(CX1&lt;=Simulador!$G$8,MOD(CX1-1,12)+1=Simulador!$G$55),-Simulador!$G$56,0)</f>
        <v>0</v>
      </c>
      <c r="CY43" s="68">
        <f>IF(AND(CY1&lt;=Simulador!$G$8,MOD(CY1-1,12)+1=Simulador!$G$55),-Simulador!$G$56,0)</f>
        <v>0</v>
      </c>
      <c r="CZ43" s="68">
        <f>IF(AND(CZ1&lt;=Simulador!$G$8,MOD(CZ1-1,12)+1=Simulador!$G$55),-Simulador!$G$56,0)</f>
        <v>0</v>
      </c>
      <c r="DA43" s="68">
        <f>IF(AND(DA1&lt;=Simulador!$G$8,MOD(DA1-1,12)+1=Simulador!$G$55),-Simulador!$G$56,0)</f>
        <v>0</v>
      </c>
      <c r="DB43" s="68">
        <f>IF(AND(DB1&lt;=Simulador!$G$8,MOD(DB1-1,12)+1=Simulador!$G$55),-Simulador!$G$56,0)</f>
        <v>0</v>
      </c>
      <c r="DC43" s="68">
        <f>IF(AND(DC1&lt;=Simulador!$G$8,MOD(DC1-1,12)+1=Simulador!$G$55),-Simulador!$G$56,0)</f>
        <v>0</v>
      </c>
      <c r="DD43" s="68">
        <f>IF(AND(DD1&lt;=Simulador!$G$8,MOD(DD1-1,12)+1=Simulador!$G$55),-Simulador!$G$56,0)</f>
        <v>0</v>
      </c>
      <c r="DE43" s="68">
        <f>IF(AND(DE1&lt;=Simulador!$G$8,MOD(DE1-1,12)+1=Simulador!$G$55),-Simulador!$G$56,0)</f>
        <v>0</v>
      </c>
      <c r="DF43" s="68">
        <f>IF(AND(DF1&lt;=Simulador!$G$8,MOD(DF1-1,12)+1=Simulador!$G$55),-Simulador!$G$56,0)</f>
        <v>0</v>
      </c>
      <c r="DG43" s="68">
        <f>IF(AND(DG1&lt;=Simulador!$G$8,MOD(DG1-1,12)+1=Simulador!$G$55),-Simulador!$G$56,0)</f>
        <v>0</v>
      </c>
      <c r="DH43" s="68">
        <f>IF(AND(DH1&lt;=Simulador!$G$8,MOD(DH1-1,12)+1=Simulador!$G$55),-Simulador!$G$56,0)</f>
        <v>0</v>
      </c>
      <c r="DI43" s="68">
        <f>IF(AND(DI1&lt;=Simulador!$G$8,MOD(DI1-1,12)+1=Simulador!$G$55),-Simulador!$G$56,0)</f>
        <v>0</v>
      </c>
      <c r="DJ43" s="68">
        <f>IF(AND(DJ1&lt;=Simulador!$G$8,MOD(DJ1-1,12)+1=Simulador!$G$55),-Simulador!$G$56,0)</f>
        <v>0</v>
      </c>
      <c r="DK43" s="68">
        <f>IF(AND(DK1&lt;=Simulador!$G$8,MOD(DK1-1,12)+1=Simulador!$G$55),-Simulador!$G$56,0)</f>
        <v>0</v>
      </c>
      <c r="DL43" s="68">
        <f>IF(AND(DL1&lt;=Simulador!$G$8,MOD(DL1-1,12)+1=Simulador!$G$55),-Simulador!$G$56,0)</f>
        <v>0</v>
      </c>
      <c r="DM43" s="68">
        <f>IF(AND(DM1&lt;=Simulador!$G$8,MOD(DM1-1,12)+1=Simulador!$G$55),-Simulador!$G$56,0)</f>
        <v>0</v>
      </c>
      <c r="DN43" s="68">
        <f>IF(AND(DN1&lt;=Simulador!$G$8,MOD(DN1-1,12)+1=Simulador!$G$55),-Simulador!$G$56,0)</f>
        <v>0</v>
      </c>
      <c r="DO43" s="68">
        <f>IF(AND(DO1&lt;=Simulador!$G$8,MOD(DO1-1,12)+1=Simulador!$G$55),-Simulador!$G$56,0)</f>
        <v>0</v>
      </c>
      <c r="DP43" s="68">
        <f>IF(AND(DP1&lt;=Simulador!$G$8,MOD(DP1-1,12)+1=Simulador!$G$55),-Simulador!$G$56,0)</f>
        <v>0</v>
      </c>
      <c r="DQ43" s="68">
        <f>IF(AND(DQ1&lt;=Simulador!$G$8,MOD(DQ1-1,12)+1=Simulador!$G$55),-Simulador!$G$56,0)</f>
        <v>0</v>
      </c>
      <c r="DR43" s="68">
        <f>IF(AND(DR1&lt;=Simulador!$G$8,MOD(DR1-1,12)+1=Simulador!$G$55),-Simulador!$G$56,0)</f>
        <v>0</v>
      </c>
      <c r="DS43" s="68">
        <f>IF(AND(DS1&lt;=Simulador!$G$8,MOD(DS1-1,12)+1=Simulador!$G$55),-Simulador!$G$56,0)</f>
        <v>0</v>
      </c>
      <c r="DT43" s="68">
        <f>IF(AND(DT1&lt;=Simulador!$G$8,MOD(DT1-1,12)+1=Simulador!$G$55),-Simulador!$G$56,0)</f>
        <v>0</v>
      </c>
      <c r="DU43" s="68">
        <f>IF(AND(DU1&lt;=Simulador!$G$8,MOD(DU1-1,12)+1=Simulador!$G$55),-Simulador!$G$56,0)</f>
        <v>0</v>
      </c>
      <c r="DV43" s="68">
        <f>IF(AND(DV1&lt;=Simulador!$G$8,MOD(DV1-1,12)+1=Simulador!$G$55),-Simulador!$G$56,0)</f>
        <v>0</v>
      </c>
      <c r="DW43" s="68">
        <f>IF(AND(DW1&lt;=Simulador!$G$8,MOD(DW1-1,12)+1=Simulador!$G$55),-Simulador!$G$56,0)</f>
        <v>0</v>
      </c>
      <c r="DX43" s="68">
        <f>IF(AND(DX1&lt;=Simulador!$G$8,MOD(DX1-1,12)+1=Simulador!$G$55),-Simulador!$G$56,0)</f>
        <v>0</v>
      </c>
      <c r="DY43" s="68">
        <f>IF(AND(DY1&lt;=Simulador!$G$8,MOD(DY1-1,12)+1=Simulador!$G$55),-Simulador!$G$56,0)</f>
        <v>0</v>
      </c>
      <c r="DZ43" s="68">
        <f>IF(AND(DZ1&lt;=Simulador!$G$8,MOD(DZ1-1,12)+1=Simulador!$G$55),-Simulador!$G$56,0)</f>
        <v>0</v>
      </c>
      <c r="EA43" s="68">
        <f>IF(AND(EA1&lt;=Simulador!$G$8,MOD(EA1-1,12)+1=Simulador!$G$55),-Simulador!$G$56,0)</f>
        <v>0</v>
      </c>
      <c r="EB43" s="68">
        <f>IF(AND(EB1&lt;=Simulador!$G$8,MOD(EB1-1,12)+1=Simulador!$G$55),-Simulador!$G$56,0)</f>
        <v>0</v>
      </c>
      <c r="EC43" s="68">
        <f>IF(AND(EC1&lt;=Simulador!$G$8,MOD(EC1-1,12)+1=Simulador!$G$55),-Simulador!$G$56,0)</f>
        <v>0</v>
      </c>
      <c r="ED43" s="68">
        <f>IF(AND(ED1&lt;=Simulador!$G$8,MOD(ED1-1,12)+1=Simulador!$G$55),-Simulador!$G$56,0)</f>
        <v>0</v>
      </c>
      <c r="EE43" s="68"/>
    </row>
    <row r="44" spans="1:135" ht="12.5" x14ac:dyDescent="0.25">
      <c r="A44" s="26"/>
      <c r="B44" s="46" t="s">
        <v>210</v>
      </c>
      <c r="C44" s="26"/>
      <c r="D44" s="68">
        <f t="shared" ref="D44:H44" si="61">SUMIFS($O44:$BV44,$O$4:$BV$4,D$3)</f>
        <v>0</v>
      </c>
      <c r="E44" s="68">
        <f t="shared" si="61"/>
        <v>0</v>
      </c>
      <c r="F44" s="68">
        <f t="shared" si="61"/>
        <v>0</v>
      </c>
      <c r="G44" s="68">
        <f t="shared" si="61"/>
        <v>0</v>
      </c>
      <c r="H44" s="68">
        <f t="shared" si="61"/>
        <v>0</v>
      </c>
      <c r="I44" s="68">
        <f t="shared" ref="I44:M44" si="62">SUMIFS($O44:$ED44,$O$4:$ED$4,I$3)</f>
        <v>0</v>
      </c>
      <c r="J44" s="68">
        <f t="shared" si="62"/>
        <v>0</v>
      </c>
      <c r="K44" s="68">
        <f t="shared" si="62"/>
        <v>0</v>
      </c>
      <c r="L44" s="68">
        <f t="shared" si="62"/>
        <v>0</v>
      </c>
      <c r="M44" s="68">
        <f t="shared" si="62"/>
        <v>0</v>
      </c>
      <c r="N44" s="26"/>
      <c r="O44" s="68">
        <f>-Simulador!G62</f>
        <v>0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</row>
    <row r="45" spans="1:135" ht="13" x14ac:dyDescent="0.3">
      <c r="C45" s="53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53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46"/>
    </row>
    <row r="46" spans="1:135" ht="13" x14ac:dyDescent="0.3">
      <c r="B46" s="38" t="s">
        <v>211</v>
      </c>
      <c r="C46" s="53"/>
      <c r="D46" s="67" t="e">
        <f t="shared" ref="D46:H46" si="63">SUMIFS($O46:$BV46,$O$4:$BV$4,D$3)</f>
        <v>#DIV/0!</v>
      </c>
      <c r="E46" s="67" t="e">
        <f t="shared" si="63"/>
        <v>#DIV/0!</v>
      </c>
      <c r="F46" s="67" t="e">
        <f t="shared" si="63"/>
        <v>#DIV/0!</v>
      </c>
      <c r="G46" s="67" t="e">
        <f t="shared" si="63"/>
        <v>#DIV/0!</v>
      </c>
      <c r="H46" s="67" t="e">
        <f t="shared" si="63"/>
        <v>#DIV/0!</v>
      </c>
      <c r="I46" s="67" t="e">
        <f t="shared" ref="I46:M46" si="64">SUMIFS($O46:$ED46,$O$4:$ED$4,I$3)</f>
        <v>#DIV/0!</v>
      </c>
      <c r="J46" s="67" t="e">
        <f t="shared" si="64"/>
        <v>#DIV/0!</v>
      </c>
      <c r="K46" s="67" t="e">
        <f t="shared" si="64"/>
        <v>#DIV/0!</v>
      </c>
      <c r="L46" s="67" t="e">
        <f t="shared" si="64"/>
        <v>#DIV/0!</v>
      </c>
      <c r="M46" s="67" t="e">
        <f t="shared" si="64"/>
        <v>#DIV/0!</v>
      </c>
      <c r="N46" s="53"/>
      <c r="O46" s="67" t="e">
        <f t="shared" ref="O46:EE46" si="65">O29+O31+O38</f>
        <v>#DIV/0!</v>
      </c>
      <c r="P46" s="67" t="e">
        <f t="shared" si="65"/>
        <v>#DIV/0!</v>
      </c>
      <c r="Q46" s="67" t="e">
        <f t="shared" si="65"/>
        <v>#DIV/0!</v>
      </c>
      <c r="R46" s="67" t="e">
        <f t="shared" si="65"/>
        <v>#DIV/0!</v>
      </c>
      <c r="S46" s="67" t="e">
        <f t="shared" si="65"/>
        <v>#DIV/0!</v>
      </c>
      <c r="T46" s="67" t="e">
        <f t="shared" si="65"/>
        <v>#DIV/0!</v>
      </c>
      <c r="U46" s="67" t="e">
        <f t="shared" si="65"/>
        <v>#DIV/0!</v>
      </c>
      <c r="V46" s="67" t="e">
        <f t="shared" si="65"/>
        <v>#DIV/0!</v>
      </c>
      <c r="W46" s="67" t="e">
        <f t="shared" si="65"/>
        <v>#DIV/0!</v>
      </c>
      <c r="X46" s="67" t="e">
        <f t="shared" si="65"/>
        <v>#DIV/0!</v>
      </c>
      <c r="Y46" s="67" t="e">
        <f t="shared" si="65"/>
        <v>#DIV/0!</v>
      </c>
      <c r="Z46" s="67" t="e">
        <f t="shared" si="65"/>
        <v>#DIV/0!</v>
      </c>
      <c r="AA46" s="67" t="e">
        <f t="shared" si="65"/>
        <v>#DIV/0!</v>
      </c>
      <c r="AB46" s="67" t="e">
        <f t="shared" si="65"/>
        <v>#DIV/0!</v>
      </c>
      <c r="AC46" s="67" t="e">
        <f t="shared" si="65"/>
        <v>#DIV/0!</v>
      </c>
      <c r="AD46" s="67" t="e">
        <f t="shared" si="65"/>
        <v>#DIV/0!</v>
      </c>
      <c r="AE46" s="67" t="e">
        <f t="shared" si="65"/>
        <v>#DIV/0!</v>
      </c>
      <c r="AF46" s="67" t="e">
        <f t="shared" si="65"/>
        <v>#DIV/0!</v>
      </c>
      <c r="AG46" s="67" t="e">
        <f t="shared" si="65"/>
        <v>#DIV/0!</v>
      </c>
      <c r="AH46" s="67" t="e">
        <f t="shared" si="65"/>
        <v>#DIV/0!</v>
      </c>
      <c r="AI46" s="67" t="e">
        <f t="shared" si="65"/>
        <v>#DIV/0!</v>
      </c>
      <c r="AJ46" s="67" t="e">
        <f t="shared" si="65"/>
        <v>#DIV/0!</v>
      </c>
      <c r="AK46" s="67" t="e">
        <f t="shared" si="65"/>
        <v>#DIV/0!</v>
      </c>
      <c r="AL46" s="67" t="e">
        <f t="shared" si="65"/>
        <v>#DIV/0!</v>
      </c>
      <c r="AM46" s="67" t="e">
        <f t="shared" si="65"/>
        <v>#DIV/0!</v>
      </c>
      <c r="AN46" s="67" t="e">
        <f t="shared" si="65"/>
        <v>#DIV/0!</v>
      </c>
      <c r="AO46" s="67" t="e">
        <f t="shared" si="65"/>
        <v>#DIV/0!</v>
      </c>
      <c r="AP46" s="67" t="e">
        <f t="shared" si="65"/>
        <v>#DIV/0!</v>
      </c>
      <c r="AQ46" s="67" t="e">
        <f t="shared" si="65"/>
        <v>#DIV/0!</v>
      </c>
      <c r="AR46" s="67" t="e">
        <f t="shared" si="65"/>
        <v>#DIV/0!</v>
      </c>
      <c r="AS46" s="67" t="e">
        <f t="shared" si="65"/>
        <v>#DIV/0!</v>
      </c>
      <c r="AT46" s="67" t="e">
        <f t="shared" si="65"/>
        <v>#DIV/0!</v>
      </c>
      <c r="AU46" s="67" t="e">
        <f t="shared" si="65"/>
        <v>#DIV/0!</v>
      </c>
      <c r="AV46" s="67" t="e">
        <f t="shared" si="65"/>
        <v>#DIV/0!</v>
      </c>
      <c r="AW46" s="67" t="e">
        <f t="shared" si="65"/>
        <v>#DIV/0!</v>
      </c>
      <c r="AX46" s="67" t="e">
        <f t="shared" si="65"/>
        <v>#DIV/0!</v>
      </c>
      <c r="AY46" s="67" t="e">
        <f t="shared" si="65"/>
        <v>#DIV/0!</v>
      </c>
      <c r="AZ46" s="67" t="e">
        <f t="shared" si="65"/>
        <v>#DIV/0!</v>
      </c>
      <c r="BA46" s="67" t="e">
        <f t="shared" si="65"/>
        <v>#DIV/0!</v>
      </c>
      <c r="BB46" s="67" t="e">
        <f t="shared" si="65"/>
        <v>#DIV/0!</v>
      </c>
      <c r="BC46" s="67" t="e">
        <f t="shared" si="65"/>
        <v>#DIV/0!</v>
      </c>
      <c r="BD46" s="67" t="e">
        <f t="shared" si="65"/>
        <v>#DIV/0!</v>
      </c>
      <c r="BE46" s="67" t="e">
        <f t="shared" si="65"/>
        <v>#DIV/0!</v>
      </c>
      <c r="BF46" s="67" t="e">
        <f t="shared" si="65"/>
        <v>#DIV/0!</v>
      </c>
      <c r="BG46" s="67" t="e">
        <f t="shared" si="65"/>
        <v>#DIV/0!</v>
      </c>
      <c r="BH46" s="67" t="e">
        <f t="shared" si="65"/>
        <v>#DIV/0!</v>
      </c>
      <c r="BI46" s="67" t="e">
        <f t="shared" si="65"/>
        <v>#DIV/0!</v>
      </c>
      <c r="BJ46" s="67" t="e">
        <f t="shared" si="65"/>
        <v>#DIV/0!</v>
      </c>
      <c r="BK46" s="67" t="e">
        <f t="shared" si="65"/>
        <v>#DIV/0!</v>
      </c>
      <c r="BL46" s="67" t="e">
        <f t="shared" si="65"/>
        <v>#DIV/0!</v>
      </c>
      <c r="BM46" s="67" t="e">
        <f t="shared" si="65"/>
        <v>#DIV/0!</v>
      </c>
      <c r="BN46" s="67" t="e">
        <f t="shared" si="65"/>
        <v>#DIV/0!</v>
      </c>
      <c r="BO46" s="67" t="e">
        <f t="shared" si="65"/>
        <v>#DIV/0!</v>
      </c>
      <c r="BP46" s="67" t="e">
        <f t="shared" si="65"/>
        <v>#DIV/0!</v>
      </c>
      <c r="BQ46" s="67" t="e">
        <f t="shared" si="65"/>
        <v>#DIV/0!</v>
      </c>
      <c r="BR46" s="67" t="e">
        <f t="shared" si="65"/>
        <v>#DIV/0!</v>
      </c>
      <c r="BS46" s="67" t="e">
        <f t="shared" si="65"/>
        <v>#DIV/0!</v>
      </c>
      <c r="BT46" s="67" t="e">
        <f t="shared" si="65"/>
        <v>#DIV/0!</v>
      </c>
      <c r="BU46" s="67" t="e">
        <f t="shared" si="65"/>
        <v>#DIV/0!</v>
      </c>
      <c r="BV46" s="67" t="e">
        <f t="shared" si="65"/>
        <v>#DIV/0!</v>
      </c>
      <c r="BW46" s="67" t="e">
        <f t="shared" si="65"/>
        <v>#DIV/0!</v>
      </c>
      <c r="BX46" s="67" t="e">
        <f t="shared" si="65"/>
        <v>#DIV/0!</v>
      </c>
      <c r="BY46" s="67" t="e">
        <f t="shared" si="65"/>
        <v>#DIV/0!</v>
      </c>
      <c r="BZ46" s="67" t="e">
        <f t="shared" si="65"/>
        <v>#DIV/0!</v>
      </c>
      <c r="CA46" s="67" t="e">
        <f t="shared" si="65"/>
        <v>#DIV/0!</v>
      </c>
      <c r="CB46" s="67" t="e">
        <f t="shared" si="65"/>
        <v>#DIV/0!</v>
      </c>
      <c r="CC46" s="67" t="e">
        <f t="shared" si="65"/>
        <v>#DIV/0!</v>
      </c>
      <c r="CD46" s="67" t="e">
        <f t="shared" si="65"/>
        <v>#DIV/0!</v>
      </c>
      <c r="CE46" s="67" t="e">
        <f t="shared" si="65"/>
        <v>#DIV/0!</v>
      </c>
      <c r="CF46" s="67" t="e">
        <f t="shared" si="65"/>
        <v>#DIV/0!</v>
      </c>
      <c r="CG46" s="67" t="e">
        <f t="shared" si="65"/>
        <v>#DIV/0!</v>
      </c>
      <c r="CH46" s="67" t="e">
        <f t="shared" si="65"/>
        <v>#DIV/0!</v>
      </c>
      <c r="CI46" s="67" t="e">
        <f t="shared" si="65"/>
        <v>#DIV/0!</v>
      </c>
      <c r="CJ46" s="67" t="e">
        <f t="shared" si="65"/>
        <v>#DIV/0!</v>
      </c>
      <c r="CK46" s="67" t="e">
        <f t="shared" si="65"/>
        <v>#DIV/0!</v>
      </c>
      <c r="CL46" s="67" t="e">
        <f t="shared" si="65"/>
        <v>#DIV/0!</v>
      </c>
      <c r="CM46" s="67" t="e">
        <f t="shared" si="65"/>
        <v>#DIV/0!</v>
      </c>
      <c r="CN46" s="67" t="e">
        <f t="shared" si="65"/>
        <v>#DIV/0!</v>
      </c>
      <c r="CO46" s="67" t="e">
        <f t="shared" si="65"/>
        <v>#DIV/0!</v>
      </c>
      <c r="CP46" s="67" t="e">
        <f t="shared" si="65"/>
        <v>#DIV/0!</v>
      </c>
      <c r="CQ46" s="67" t="e">
        <f t="shared" si="65"/>
        <v>#DIV/0!</v>
      </c>
      <c r="CR46" s="67" t="e">
        <f t="shared" si="65"/>
        <v>#DIV/0!</v>
      </c>
      <c r="CS46" s="67" t="e">
        <f t="shared" si="65"/>
        <v>#DIV/0!</v>
      </c>
      <c r="CT46" s="67" t="e">
        <f t="shared" si="65"/>
        <v>#DIV/0!</v>
      </c>
      <c r="CU46" s="67" t="e">
        <f t="shared" si="65"/>
        <v>#DIV/0!</v>
      </c>
      <c r="CV46" s="67" t="e">
        <f t="shared" si="65"/>
        <v>#DIV/0!</v>
      </c>
      <c r="CW46" s="67" t="e">
        <f t="shared" si="65"/>
        <v>#DIV/0!</v>
      </c>
      <c r="CX46" s="67" t="e">
        <f t="shared" si="65"/>
        <v>#DIV/0!</v>
      </c>
      <c r="CY46" s="67" t="e">
        <f t="shared" si="65"/>
        <v>#DIV/0!</v>
      </c>
      <c r="CZ46" s="67" t="e">
        <f t="shared" si="65"/>
        <v>#DIV/0!</v>
      </c>
      <c r="DA46" s="67" t="e">
        <f t="shared" si="65"/>
        <v>#DIV/0!</v>
      </c>
      <c r="DB46" s="67" t="e">
        <f t="shared" si="65"/>
        <v>#DIV/0!</v>
      </c>
      <c r="DC46" s="67" t="e">
        <f t="shared" si="65"/>
        <v>#DIV/0!</v>
      </c>
      <c r="DD46" s="67" t="e">
        <f t="shared" si="65"/>
        <v>#DIV/0!</v>
      </c>
      <c r="DE46" s="67" t="e">
        <f t="shared" si="65"/>
        <v>#DIV/0!</v>
      </c>
      <c r="DF46" s="67" t="e">
        <f t="shared" si="65"/>
        <v>#DIV/0!</v>
      </c>
      <c r="DG46" s="67" t="e">
        <f t="shared" si="65"/>
        <v>#DIV/0!</v>
      </c>
      <c r="DH46" s="67" t="e">
        <f t="shared" si="65"/>
        <v>#DIV/0!</v>
      </c>
      <c r="DI46" s="67" t="e">
        <f t="shared" si="65"/>
        <v>#DIV/0!</v>
      </c>
      <c r="DJ46" s="67" t="e">
        <f t="shared" si="65"/>
        <v>#DIV/0!</v>
      </c>
      <c r="DK46" s="67" t="e">
        <f t="shared" si="65"/>
        <v>#DIV/0!</v>
      </c>
      <c r="DL46" s="67" t="e">
        <f t="shared" si="65"/>
        <v>#DIV/0!</v>
      </c>
      <c r="DM46" s="67" t="e">
        <f t="shared" si="65"/>
        <v>#DIV/0!</v>
      </c>
      <c r="DN46" s="67" t="e">
        <f t="shared" si="65"/>
        <v>#DIV/0!</v>
      </c>
      <c r="DO46" s="67" t="e">
        <f t="shared" si="65"/>
        <v>#DIV/0!</v>
      </c>
      <c r="DP46" s="67" t="e">
        <f t="shared" si="65"/>
        <v>#DIV/0!</v>
      </c>
      <c r="DQ46" s="67" t="e">
        <f t="shared" si="65"/>
        <v>#DIV/0!</v>
      </c>
      <c r="DR46" s="67" t="e">
        <f t="shared" si="65"/>
        <v>#DIV/0!</v>
      </c>
      <c r="DS46" s="67" t="e">
        <f t="shared" si="65"/>
        <v>#DIV/0!</v>
      </c>
      <c r="DT46" s="67" t="e">
        <f t="shared" si="65"/>
        <v>#DIV/0!</v>
      </c>
      <c r="DU46" s="67" t="e">
        <f t="shared" si="65"/>
        <v>#DIV/0!</v>
      </c>
      <c r="DV46" s="67" t="e">
        <f t="shared" si="65"/>
        <v>#DIV/0!</v>
      </c>
      <c r="DW46" s="67" t="e">
        <f t="shared" si="65"/>
        <v>#DIV/0!</v>
      </c>
      <c r="DX46" s="67" t="e">
        <f t="shared" si="65"/>
        <v>#DIV/0!</v>
      </c>
      <c r="DY46" s="67" t="e">
        <f t="shared" si="65"/>
        <v>#DIV/0!</v>
      </c>
      <c r="DZ46" s="67" t="e">
        <f t="shared" si="65"/>
        <v>#DIV/0!</v>
      </c>
      <c r="EA46" s="67" t="e">
        <f t="shared" si="65"/>
        <v>#DIV/0!</v>
      </c>
      <c r="EB46" s="67" t="e">
        <f t="shared" si="65"/>
        <v>#DIV/0!</v>
      </c>
      <c r="EC46" s="67" t="e">
        <f t="shared" si="65"/>
        <v>#DIV/0!</v>
      </c>
      <c r="ED46" s="67" t="e">
        <f t="shared" si="65"/>
        <v>#DIV/0!</v>
      </c>
      <c r="EE46" s="67">
        <f t="shared" si="65"/>
        <v>0</v>
      </c>
    </row>
    <row r="47" spans="1:135" ht="13" x14ac:dyDescent="0.3">
      <c r="B47" s="38" t="s">
        <v>212</v>
      </c>
      <c r="C47" s="53"/>
      <c r="D47" s="67" t="e">
        <f t="shared" ref="D47:H47" si="66">SUMIFS($O47:$BV47,$O$3:$BV$3,D$4)</f>
        <v>#DIV/0!</v>
      </c>
      <c r="E47" s="67" t="e">
        <f t="shared" si="66"/>
        <v>#DIV/0!</v>
      </c>
      <c r="F47" s="67" t="e">
        <f t="shared" si="66"/>
        <v>#DIV/0!</v>
      </c>
      <c r="G47" s="67" t="e">
        <f t="shared" si="66"/>
        <v>#DIV/0!</v>
      </c>
      <c r="H47" s="67" t="e">
        <f t="shared" si="66"/>
        <v>#DIV/0!</v>
      </c>
      <c r="I47" s="67" t="e">
        <f t="shared" ref="I47:M47" si="67">SUMIFS($O47:$ED47,$O$3:$ED$3,I$4)</f>
        <v>#DIV/0!</v>
      </c>
      <c r="J47" s="67" t="e">
        <f t="shared" si="67"/>
        <v>#DIV/0!</v>
      </c>
      <c r="K47" s="67" t="e">
        <f t="shared" si="67"/>
        <v>#DIV/0!</v>
      </c>
      <c r="L47" s="67" t="e">
        <f t="shared" si="67"/>
        <v>#DIV/0!</v>
      </c>
      <c r="M47" s="67" t="e">
        <f t="shared" si="67"/>
        <v>#DIV/0!</v>
      </c>
      <c r="N47" s="53"/>
      <c r="O47" s="46" t="e">
        <f t="shared" ref="O47:ED47" si="68">O46+N47</f>
        <v>#DIV/0!</v>
      </c>
      <c r="P47" s="46" t="e">
        <f t="shared" si="68"/>
        <v>#DIV/0!</v>
      </c>
      <c r="Q47" s="46" t="e">
        <f t="shared" si="68"/>
        <v>#DIV/0!</v>
      </c>
      <c r="R47" s="46" t="e">
        <f t="shared" si="68"/>
        <v>#DIV/0!</v>
      </c>
      <c r="S47" s="46" t="e">
        <f t="shared" si="68"/>
        <v>#DIV/0!</v>
      </c>
      <c r="T47" s="46" t="e">
        <f t="shared" si="68"/>
        <v>#DIV/0!</v>
      </c>
      <c r="U47" s="46" t="e">
        <f t="shared" si="68"/>
        <v>#DIV/0!</v>
      </c>
      <c r="V47" s="46" t="e">
        <f t="shared" si="68"/>
        <v>#DIV/0!</v>
      </c>
      <c r="W47" s="46" t="e">
        <f t="shared" si="68"/>
        <v>#DIV/0!</v>
      </c>
      <c r="X47" s="46" t="e">
        <f t="shared" si="68"/>
        <v>#DIV/0!</v>
      </c>
      <c r="Y47" s="46" t="e">
        <f t="shared" si="68"/>
        <v>#DIV/0!</v>
      </c>
      <c r="Z47" s="46" t="e">
        <f t="shared" si="68"/>
        <v>#DIV/0!</v>
      </c>
      <c r="AA47" s="46" t="e">
        <f t="shared" si="68"/>
        <v>#DIV/0!</v>
      </c>
      <c r="AB47" s="46" t="e">
        <f t="shared" si="68"/>
        <v>#DIV/0!</v>
      </c>
      <c r="AC47" s="46" t="e">
        <f t="shared" si="68"/>
        <v>#DIV/0!</v>
      </c>
      <c r="AD47" s="46" t="e">
        <f t="shared" si="68"/>
        <v>#DIV/0!</v>
      </c>
      <c r="AE47" s="46" t="e">
        <f t="shared" si="68"/>
        <v>#DIV/0!</v>
      </c>
      <c r="AF47" s="46" t="e">
        <f t="shared" si="68"/>
        <v>#DIV/0!</v>
      </c>
      <c r="AG47" s="46" t="e">
        <f t="shared" si="68"/>
        <v>#DIV/0!</v>
      </c>
      <c r="AH47" s="46" t="e">
        <f t="shared" si="68"/>
        <v>#DIV/0!</v>
      </c>
      <c r="AI47" s="46" t="e">
        <f t="shared" si="68"/>
        <v>#DIV/0!</v>
      </c>
      <c r="AJ47" s="46" t="e">
        <f t="shared" si="68"/>
        <v>#DIV/0!</v>
      </c>
      <c r="AK47" s="46" t="e">
        <f t="shared" si="68"/>
        <v>#DIV/0!</v>
      </c>
      <c r="AL47" s="46" t="e">
        <f t="shared" si="68"/>
        <v>#DIV/0!</v>
      </c>
      <c r="AM47" s="46" t="e">
        <f t="shared" si="68"/>
        <v>#DIV/0!</v>
      </c>
      <c r="AN47" s="46" t="e">
        <f t="shared" si="68"/>
        <v>#DIV/0!</v>
      </c>
      <c r="AO47" s="46" t="e">
        <f t="shared" si="68"/>
        <v>#DIV/0!</v>
      </c>
      <c r="AP47" s="46" t="e">
        <f t="shared" si="68"/>
        <v>#DIV/0!</v>
      </c>
      <c r="AQ47" s="46" t="e">
        <f t="shared" si="68"/>
        <v>#DIV/0!</v>
      </c>
      <c r="AR47" s="46" t="e">
        <f t="shared" si="68"/>
        <v>#DIV/0!</v>
      </c>
      <c r="AS47" s="46" t="e">
        <f t="shared" si="68"/>
        <v>#DIV/0!</v>
      </c>
      <c r="AT47" s="46" t="e">
        <f t="shared" si="68"/>
        <v>#DIV/0!</v>
      </c>
      <c r="AU47" s="46" t="e">
        <f t="shared" si="68"/>
        <v>#DIV/0!</v>
      </c>
      <c r="AV47" s="46" t="e">
        <f t="shared" si="68"/>
        <v>#DIV/0!</v>
      </c>
      <c r="AW47" s="46" t="e">
        <f t="shared" si="68"/>
        <v>#DIV/0!</v>
      </c>
      <c r="AX47" s="46" t="e">
        <f t="shared" si="68"/>
        <v>#DIV/0!</v>
      </c>
      <c r="AY47" s="46" t="e">
        <f t="shared" si="68"/>
        <v>#DIV/0!</v>
      </c>
      <c r="AZ47" s="46" t="e">
        <f t="shared" si="68"/>
        <v>#DIV/0!</v>
      </c>
      <c r="BA47" s="46" t="e">
        <f t="shared" si="68"/>
        <v>#DIV/0!</v>
      </c>
      <c r="BB47" s="46" t="e">
        <f t="shared" si="68"/>
        <v>#DIV/0!</v>
      </c>
      <c r="BC47" s="46" t="e">
        <f t="shared" si="68"/>
        <v>#DIV/0!</v>
      </c>
      <c r="BD47" s="46" t="e">
        <f t="shared" si="68"/>
        <v>#DIV/0!</v>
      </c>
      <c r="BE47" s="46" t="e">
        <f t="shared" si="68"/>
        <v>#DIV/0!</v>
      </c>
      <c r="BF47" s="46" t="e">
        <f t="shared" si="68"/>
        <v>#DIV/0!</v>
      </c>
      <c r="BG47" s="46" t="e">
        <f t="shared" si="68"/>
        <v>#DIV/0!</v>
      </c>
      <c r="BH47" s="46" t="e">
        <f t="shared" si="68"/>
        <v>#DIV/0!</v>
      </c>
      <c r="BI47" s="46" t="e">
        <f t="shared" si="68"/>
        <v>#DIV/0!</v>
      </c>
      <c r="BJ47" s="46" t="e">
        <f t="shared" si="68"/>
        <v>#DIV/0!</v>
      </c>
      <c r="BK47" s="46" t="e">
        <f t="shared" si="68"/>
        <v>#DIV/0!</v>
      </c>
      <c r="BL47" s="46" t="e">
        <f t="shared" si="68"/>
        <v>#DIV/0!</v>
      </c>
      <c r="BM47" s="46" t="e">
        <f t="shared" si="68"/>
        <v>#DIV/0!</v>
      </c>
      <c r="BN47" s="46" t="e">
        <f t="shared" si="68"/>
        <v>#DIV/0!</v>
      </c>
      <c r="BO47" s="46" t="e">
        <f t="shared" si="68"/>
        <v>#DIV/0!</v>
      </c>
      <c r="BP47" s="46" t="e">
        <f t="shared" si="68"/>
        <v>#DIV/0!</v>
      </c>
      <c r="BQ47" s="46" t="e">
        <f t="shared" si="68"/>
        <v>#DIV/0!</v>
      </c>
      <c r="BR47" s="46" t="e">
        <f t="shared" si="68"/>
        <v>#DIV/0!</v>
      </c>
      <c r="BS47" s="46" t="e">
        <f t="shared" si="68"/>
        <v>#DIV/0!</v>
      </c>
      <c r="BT47" s="46" t="e">
        <f t="shared" si="68"/>
        <v>#DIV/0!</v>
      </c>
      <c r="BU47" s="46" t="e">
        <f t="shared" si="68"/>
        <v>#DIV/0!</v>
      </c>
      <c r="BV47" s="46" t="e">
        <f t="shared" si="68"/>
        <v>#DIV/0!</v>
      </c>
      <c r="BW47" s="46" t="e">
        <f t="shared" si="68"/>
        <v>#DIV/0!</v>
      </c>
      <c r="BX47" s="46" t="e">
        <f t="shared" si="68"/>
        <v>#DIV/0!</v>
      </c>
      <c r="BY47" s="46" t="e">
        <f t="shared" si="68"/>
        <v>#DIV/0!</v>
      </c>
      <c r="BZ47" s="46" t="e">
        <f t="shared" si="68"/>
        <v>#DIV/0!</v>
      </c>
      <c r="CA47" s="46" t="e">
        <f t="shared" si="68"/>
        <v>#DIV/0!</v>
      </c>
      <c r="CB47" s="46" t="e">
        <f t="shared" si="68"/>
        <v>#DIV/0!</v>
      </c>
      <c r="CC47" s="46" t="e">
        <f t="shared" si="68"/>
        <v>#DIV/0!</v>
      </c>
      <c r="CD47" s="46" t="e">
        <f t="shared" si="68"/>
        <v>#DIV/0!</v>
      </c>
      <c r="CE47" s="46" t="e">
        <f t="shared" si="68"/>
        <v>#DIV/0!</v>
      </c>
      <c r="CF47" s="46" t="e">
        <f t="shared" si="68"/>
        <v>#DIV/0!</v>
      </c>
      <c r="CG47" s="46" t="e">
        <f t="shared" si="68"/>
        <v>#DIV/0!</v>
      </c>
      <c r="CH47" s="46" t="e">
        <f t="shared" si="68"/>
        <v>#DIV/0!</v>
      </c>
      <c r="CI47" s="46" t="e">
        <f t="shared" si="68"/>
        <v>#DIV/0!</v>
      </c>
      <c r="CJ47" s="46" t="e">
        <f t="shared" si="68"/>
        <v>#DIV/0!</v>
      </c>
      <c r="CK47" s="46" t="e">
        <f t="shared" si="68"/>
        <v>#DIV/0!</v>
      </c>
      <c r="CL47" s="46" t="e">
        <f t="shared" si="68"/>
        <v>#DIV/0!</v>
      </c>
      <c r="CM47" s="46" t="e">
        <f t="shared" si="68"/>
        <v>#DIV/0!</v>
      </c>
      <c r="CN47" s="46" t="e">
        <f t="shared" si="68"/>
        <v>#DIV/0!</v>
      </c>
      <c r="CO47" s="46" t="e">
        <f t="shared" si="68"/>
        <v>#DIV/0!</v>
      </c>
      <c r="CP47" s="46" t="e">
        <f t="shared" si="68"/>
        <v>#DIV/0!</v>
      </c>
      <c r="CQ47" s="46" t="e">
        <f t="shared" si="68"/>
        <v>#DIV/0!</v>
      </c>
      <c r="CR47" s="46" t="e">
        <f t="shared" si="68"/>
        <v>#DIV/0!</v>
      </c>
      <c r="CS47" s="46" t="e">
        <f t="shared" si="68"/>
        <v>#DIV/0!</v>
      </c>
      <c r="CT47" s="46" t="e">
        <f t="shared" si="68"/>
        <v>#DIV/0!</v>
      </c>
      <c r="CU47" s="46" t="e">
        <f t="shared" si="68"/>
        <v>#DIV/0!</v>
      </c>
      <c r="CV47" s="46" t="e">
        <f t="shared" si="68"/>
        <v>#DIV/0!</v>
      </c>
      <c r="CW47" s="46" t="e">
        <f t="shared" si="68"/>
        <v>#DIV/0!</v>
      </c>
      <c r="CX47" s="46" t="e">
        <f t="shared" si="68"/>
        <v>#DIV/0!</v>
      </c>
      <c r="CY47" s="46" t="e">
        <f t="shared" si="68"/>
        <v>#DIV/0!</v>
      </c>
      <c r="CZ47" s="46" t="e">
        <f t="shared" si="68"/>
        <v>#DIV/0!</v>
      </c>
      <c r="DA47" s="46" t="e">
        <f t="shared" si="68"/>
        <v>#DIV/0!</v>
      </c>
      <c r="DB47" s="46" t="e">
        <f t="shared" si="68"/>
        <v>#DIV/0!</v>
      </c>
      <c r="DC47" s="46" t="e">
        <f t="shared" si="68"/>
        <v>#DIV/0!</v>
      </c>
      <c r="DD47" s="46" t="e">
        <f t="shared" si="68"/>
        <v>#DIV/0!</v>
      </c>
      <c r="DE47" s="46" t="e">
        <f t="shared" si="68"/>
        <v>#DIV/0!</v>
      </c>
      <c r="DF47" s="46" t="e">
        <f t="shared" si="68"/>
        <v>#DIV/0!</v>
      </c>
      <c r="DG47" s="46" t="e">
        <f t="shared" si="68"/>
        <v>#DIV/0!</v>
      </c>
      <c r="DH47" s="46" t="e">
        <f t="shared" si="68"/>
        <v>#DIV/0!</v>
      </c>
      <c r="DI47" s="46" t="e">
        <f t="shared" si="68"/>
        <v>#DIV/0!</v>
      </c>
      <c r="DJ47" s="46" t="e">
        <f t="shared" si="68"/>
        <v>#DIV/0!</v>
      </c>
      <c r="DK47" s="46" t="e">
        <f t="shared" si="68"/>
        <v>#DIV/0!</v>
      </c>
      <c r="DL47" s="46" t="e">
        <f t="shared" si="68"/>
        <v>#DIV/0!</v>
      </c>
      <c r="DM47" s="46" t="e">
        <f t="shared" si="68"/>
        <v>#DIV/0!</v>
      </c>
      <c r="DN47" s="46" t="e">
        <f t="shared" si="68"/>
        <v>#DIV/0!</v>
      </c>
      <c r="DO47" s="46" t="e">
        <f t="shared" si="68"/>
        <v>#DIV/0!</v>
      </c>
      <c r="DP47" s="46" t="e">
        <f t="shared" si="68"/>
        <v>#DIV/0!</v>
      </c>
      <c r="DQ47" s="46" t="e">
        <f t="shared" si="68"/>
        <v>#DIV/0!</v>
      </c>
      <c r="DR47" s="46" t="e">
        <f t="shared" si="68"/>
        <v>#DIV/0!</v>
      </c>
      <c r="DS47" s="46" t="e">
        <f t="shared" si="68"/>
        <v>#DIV/0!</v>
      </c>
      <c r="DT47" s="46" t="e">
        <f t="shared" si="68"/>
        <v>#DIV/0!</v>
      </c>
      <c r="DU47" s="46" t="e">
        <f t="shared" si="68"/>
        <v>#DIV/0!</v>
      </c>
      <c r="DV47" s="46" t="e">
        <f t="shared" si="68"/>
        <v>#DIV/0!</v>
      </c>
      <c r="DW47" s="46" t="e">
        <f t="shared" si="68"/>
        <v>#DIV/0!</v>
      </c>
      <c r="DX47" s="46" t="e">
        <f t="shared" si="68"/>
        <v>#DIV/0!</v>
      </c>
      <c r="DY47" s="46" t="e">
        <f t="shared" si="68"/>
        <v>#DIV/0!</v>
      </c>
      <c r="DZ47" s="46" t="e">
        <f t="shared" si="68"/>
        <v>#DIV/0!</v>
      </c>
      <c r="EA47" s="46" t="e">
        <f t="shared" si="68"/>
        <v>#DIV/0!</v>
      </c>
      <c r="EB47" s="46" t="e">
        <f t="shared" si="68"/>
        <v>#DIV/0!</v>
      </c>
      <c r="EC47" s="46" t="e">
        <f t="shared" si="68"/>
        <v>#DIV/0!</v>
      </c>
      <c r="ED47" s="46" t="e">
        <f t="shared" si="68"/>
        <v>#DIV/0!</v>
      </c>
    </row>
    <row r="48" spans="1:135" ht="12.5" x14ac:dyDescent="0.25">
      <c r="C48" s="53"/>
      <c r="N48" s="53"/>
    </row>
    <row r="49" spans="2:134" ht="12.5" x14ac:dyDescent="0.25">
      <c r="B49" s="46" t="s">
        <v>68</v>
      </c>
      <c r="C49" s="53"/>
      <c r="D49" s="46" t="e">
        <f t="shared" ref="D49:D50" si="69">MAX(O49:BV49)</f>
        <v>#DIV/0!</v>
      </c>
      <c r="N49" s="53"/>
      <c r="O49" s="46" t="e">
        <f t="shared" ref="O49:BU49" si="70">IF(AND(O46&gt;0,P46&gt;0),IF(N49&lt;&gt;0,N49,O2),0)</f>
        <v>#DIV/0!</v>
      </c>
      <c r="P49" s="46" t="e">
        <f t="shared" si="70"/>
        <v>#DIV/0!</v>
      </c>
      <c r="Q49" s="46" t="e">
        <f t="shared" si="70"/>
        <v>#DIV/0!</v>
      </c>
      <c r="R49" s="46" t="e">
        <f t="shared" si="70"/>
        <v>#DIV/0!</v>
      </c>
      <c r="S49" s="46" t="e">
        <f t="shared" si="70"/>
        <v>#DIV/0!</v>
      </c>
      <c r="T49" s="46" t="e">
        <f t="shared" si="70"/>
        <v>#DIV/0!</v>
      </c>
      <c r="U49" s="46" t="e">
        <f t="shared" si="70"/>
        <v>#DIV/0!</v>
      </c>
      <c r="V49" s="46" t="e">
        <f t="shared" si="70"/>
        <v>#DIV/0!</v>
      </c>
      <c r="W49" s="46" t="e">
        <f t="shared" si="70"/>
        <v>#DIV/0!</v>
      </c>
      <c r="X49" s="46" t="e">
        <f t="shared" si="70"/>
        <v>#DIV/0!</v>
      </c>
      <c r="Y49" s="46" t="e">
        <f t="shared" si="70"/>
        <v>#DIV/0!</v>
      </c>
      <c r="Z49" s="46" t="e">
        <f t="shared" si="70"/>
        <v>#DIV/0!</v>
      </c>
      <c r="AA49" s="46" t="e">
        <f t="shared" si="70"/>
        <v>#DIV/0!</v>
      </c>
      <c r="AB49" s="46" t="e">
        <f t="shared" si="70"/>
        <v>#DIV/0!</v>
      </c>
      <c r="AC49" s="46" t="e">
        <f t="shared" si="70"/>
        <v>#DIV/0!</v>
      </c>
      <c r="AD49" s="46" t="e">
        <f t="shared" si="70"/>
        <v>#DIV/0!</v>
      </c>
      <c r="AE49" s="46" t="e">
        <f t="shared" si="70"/>
        <v>#DIV/0!</v>
      </c>
      <c r="AF49" s="46" t="e">
        <f t="shared" si="70"/>
        <v>#DIV/0!</v>
      </c>
      <c r="AG49" s="46" t="e">
        <f t="shared" si="70"/>
        <v>#DIV/0!</v>
      </c>
      <c r="AH49" s="46" t="e">
        <f t="shared" si="70"/>
        <v>#DIV/0!</v>
      </c>
      <c r="AI49" s="46" t="e">
        <f t="shared" si="70"/>
        <v>#DIV/0!</v>
      </c>
      <c r="AJ49" s="46" t="e">
        <f t="shared" si="70"/>
        <v>#DIV/0!</v>
      </c>
      <c r="AK49" s="46" t="e">
        <f t="shared" si="70"/>
        <v>#DIV/0!</v>
      </c>
      <c r="AL49" s="46" t="e">
        <f t="shared" si="70"/>
        <v>#DIV/0!</v>
      </c>
      <c r="AM49" s="46" t="e">
        <f t="shared" si="70"/>
        <v>#DIV/0!</v>
      </c>
      <c r="AN49" s="46" t="e">
        <f t="shared" si="70"/>
        <v>#DIV/0!</v>
      </c>
      <c r="AO49" s="46" t="e">
        <f t="shared" si="70"/>
        <v>#DIV/0!</v>
      </c>
      <c r="AP49" s="46" t="e">
        <f t="shared" si="70"/>
        <v>#DIV/0!</v>
      </c>
      <c r="AQ49" s="46" t="e">
        <f t="shared" si="70"/>
        <v>#DIV/0!</v>
      </c>
      <c r="AR49" s="46" t="e">
        <f t="shared" si="70"/>
        <v>#DIV/0!</v>
      </c>
      <c r="AS49" s="46" t="e">
        <f t="shared" si="70"/>
        <v>#DIV/0!</v>
      </c>
      <c r="AT49" s="46" t="e">
        <f t="shared" si="70"/>
        <v>#DIV/0!</v>
      </c>
      <c r="AU49" s="46" t="e">
        <f t="shared" si="70"/>
        <v>#DIV/0!</v>
      </c>
      <c r="AV49" s="46" t="e">
        <f t="shared" si="70"/>
        <v>#DIV/0!</v>
      </c>
      <c r="AW49" s="46" t="e">
        <f t="shared" si="70"/>
        <v>#DIV/0!</v>
      </c>
      <c r="AX49" s="46" t="e">
        <f t="shared" si="70"/>
        <v>#DIV/0!</v>
      </c>
      <c r="AY49" s="46" t="e">
        <f t="shared" si="70"/>
        <v>#DIV/0!</v>
      </c>
      <c r="AZ49" s="46" t="e">
        <f t="shared" si="70"/>
        <v>#DIV/0!</v>
      </c>
      <c r="BA49" s="46" t="e">
        <f t="shared" si="70"/>
        <v>#DIV/0!</v>
      </c>
      <c r="BB49" s="46" t="e">
        <f t="shared" si="70"/>
        <v>#DIV/0!</v>
      </c>
      <c r="BC49" s="46" t="e">
        <f t="shared" si="70"/>
        <v>#DIV/0!</v>
      </c>
      <c r="BD49" s="46" t="e">
        <f t="shared" si="70"/>
        <v>#DIV/0!</v>
      </c>
      <c r="BE49" s="46" t="e">
        <f t="shared" si="70"/>
        <v>#DIV/0!</v>
      </c>
      <c r="BF49" s="46" t="e">
        <f t="shared" si="70"/>
        <v>#DIV/0!</v>
      </c>
      <c r="BG49" s="46" t="e">
        <f t="shared" si="70"/>
        <v>#DIV/0!</v>
      </c>
      <c r="BH49" s="46" t="e">
        <f t="shared" si="70"/>
        <v>#DIV/0!</v>
      </c>
      <c r="BI49" s="46" t="e">
        <f t="shared" si="70"/>
        <v>#DIV/0!</v>
      </c>
      <c r="BJ49" s="46" t="e">
        <f t="shared" si="70"/>
        <v>#DIV/0!</v>
      </c>
      <c r="BK49" s="46" t="e">
        <f t="shared" si="70"/>
        <v>#DIV/0!</v>
      </c>
      <c r="BL49" s="46" t="e">
        <f t="shared" si="70"/>
        <v>#DIV/0!</v>
      </c>
      <c r="BM49" s="46" t="e">
        <f t="shared" si="70"/>
        <v>#DIV/0!</v>
      </c>
      <c r="BN49" s="46" t="e">
        <f t="shared" si="70"/>
        <v>#DIV/0!</v>
      </c>
      <c r="BO49" s="46" t="e">
        <f t="shared" si="70"/>
        <v>#DIV/0!</v>
      </c>
      <c r="BP49" s="46" t="e">
        <f t="shared" si="70"/>
        <v>#DIV/0!</v>
      </c>
      <c r="BQ49" s="46" t="e">
        <f t="shared" si="70"/>
        <v>#DIV/0!</v>
      </c>
      <c r="BR49" s="46" t="e">
        <f t="shared" si="70"/>
        <v>#DIV/0!</v>
      </c>
      <c r="BS49" s="46" t="e">
        <f t="shared" si="70"/>
        <v>#DIV/0!</v>
      </c>
      <c r="BT49" s="46" t="e">
        <f t="shared" si="70"/>
        <v>#DIV/0!</v>
      </c>
      <c r="BU49" s="46" t="e">
        <f t="shared" si="70"/>
        <v>#DIV/0!</v>
      </c>
      <c r="BV49" s="46" t="e">
        <f t="shared" ref="BV49:ED49" si="71">IF(AND(BV46&gt;0,EE46&gt;0),IF(BU49&lt;&gt;0,BU49,BV2),0)</f>
        <v>#DIV/0!</v>
      </c>
      <c r="BW49" s="46" t="e">
        <f t="shared" si="71"/>
        <v>#DIV/0!</v>
      </c>
      <c r="BX49" s="46" t="e">
        <f t="shared" si="71"/>
        <v>#DIV/0!</v>
      </c>
      <c r="BY49" s="46" t="e">
        <f t="shared" si="71"/>
        <v>#DIV/0!</v>
      </c>
      <c r="BZ49" s="46" t="e">
        <f t="shared" si="71"/>
        <v>#DIV/0!</v>
      </c>
      <c r="CA49" s="46" t="e">
        <f t="shared" si="71"/>
        <v>#DIV/0!</v>
      </c>
      <c r="CB49" s="46" t="e">
        <f t="shared" si="71"/>
        <v>#DIV/0!</v>
      </c>
      <c r="CC49" s="46" t="e">
        <f t="shared" si="71"/>
        <v>#DIV/0!</v>
      </c>
      <c r="CD49" s="46" t="e">
        <f t="shared" si="71"/>
        <v>#DIV/0!</v>
      </c>
      <c r="CE49" s="46" t="e">
        <f t="shared" si="71"/>
        <v>#DIV/0!</v>
      </c>
      <c r="CF49" s="46" t="e">
        <f t="shared" si="71"/>
        <v>#DIV/0!</v>
      </c>
      <c r="CG49" s="46" t="e">
        <f t="shared" si="71"/>
        <v>#DIV/0!</v>
      </c>
      <c r="CH49" s="46" t="e">
        <f t="shared" si="71"/>
        <v>#DIV/0!</v>
      </c>
      <c r="CI49" s="46" t="e">
        <f t="shared" si="71"/>
        <v>#DIV/0!</v>
      </c>
      <c r="CJ49" s="46" t="e">
        <f t="shared" si="71"/>
        <v>#DIV/0!</v>
      </c>
      <c r="CK49" s="46" t="e">
        <f t="shared" si="71"/>
        <v>#DIV/0!</v>
      </c>
      <c r="CL49" s="46" t="e">
        <f t="shared" si="71"/>
        <v>#DIV/0!</v>
      </c>
      <c r="CM49" s="46" t="e">
        <f t="shared" si="71"/>
        <v>#DIV/0!</v>
      </c>
      <c r="CN49" s="46" t="e">
        <f t="shared" si="71"/>
        <v>#DIV/0!</v>
      </c>
      <c r="CO49" s="46" t="e">
        <f t="shared" si="71"/>
        <v>#DIV/0!</v>
      </c>
      <c r="CP49" s="46" t="e">
        <f t="shared" si="71"/>
        <v>#DIV/0!</v>
      </c>
      <c r="CQ49" s="46" t="e">
        <f t="shared" si="71"/>
        <v>#DIV/0!</v>
      </c>
      <c r="CR49" s="46" t="e">
        <f t="shared" si="71"/>
        <v>#DIV/0!</v>
      </c>
      <c r="CS49" s="46" t="e">
        <f t="shared" si="71"/>
        <v>#DIV/0!</v>
      </c>
      <c r="CT49" s="46" t="e">
        <f t="shared" si="71"/>
        <v>#DIV/0!</v>
      </c>
      <c r="CU49" s="46" t="e">
        <f t="shared" si="71"/>
        <v>#DIV/0!</v>
      </c>
      <c r="CV49" s="46" t="e">
        <f t="shared" si="71"/>
        <v>#DIV/0!</v>
      </c>
      <c r="CW49" s="46" t="e">
        <f t="shared" si="71"/>
        <v>#DIV/0!</v>
      </c>
      <c r="CX49" s="46" t="e">
        <f t="shared" si="71"/>
        <v>#DIV/0!</v>
      </c>
      <c r="CY49" s="46" t="e">
        <f t="shared" si="71"/>
        <v>#DIV/0!</v>
      </c>
      <c r="CZ49" s="46" t="e">
        <f t="shared" si="71"/>
        <v>#DIV/0!</v>
      </c>
      <c r="DA49" s="46" t="e">
        <f t="shared" si="71"/>
        <v>#DIV/0!</v>
      </c>
      <c r="DB49" s="46" t="e">
        <f t="shared" si="71"/>
        <v>#DIV/0!</v>
      </c>
      <c r="DC49" s="46" t="e">
        <f t="shared" si="71"/>
        <v>#DIV/0!</v>
      </c>
      <c r="DD49" s="46" t="e">
        <f t="shared" si="71"/>
        <v>#DIV/0!</v>
      </c>
      <c r="DE49" s="46" t="e">
        <f t="shared" si="71"/>
        <v>#DIV/0!</v>
      </c>
      <c r="DF49" s="46" t="e">
        <f t="shared" si="71"/>
        <v>#DIV/0!</v>
      </c>
      <c r="DG49" s="46" t="e">
        <f t="shared" si="71"/>
        <v>#DIV/0!</v>
      </c>
      <c r="DH49" s="46" t="e">
        <f t="shared" si="71"/>
        <v>#DIV/0!</v>
      </c>
      <c r="DI49" s="46" t="e">
        <f t="shared" si="71"/>
        <v>#DIV/0!</v>
      </c>
      <c r="DJ49" s="46" t="e">
        <f t="shared" si="71"/>
        <v>#DIV/0!</v>
      </c>
      <c r="DK49" s="46" t="e">
        <f t="shared" si="71"/>
        <v>#DIV/0!</v>
      </c>
      <c r="DL49" s="46" t="e">
        <f t="shared" si="71"/>
        <v>#DIV/0!</v>
      </c>
      <c r="DM49" s="46" t="e">
        <f t="shared" si="71"/>
        <v>#DIV/0!</v>
      </c>
      <c r="DN49" s="46" t="e">
        <f t="shared" si="71"/>
        <v>#DIV/0!</v>
      </c>
      <c r="DO49" s="46" t="e">
        <f t="shared" si="71"/>
        <v>#DIV/0!</v>
      </c>
      <c r="DP49" s="46" t="e">
        <f t="shared" si="71"/>
        <v>#DIV/0!</v>
      </c>
      <c r="DQ49" s="46" t="e">
        <f t="shared" si="71"/>
        <v>#DIV/0!</v>
      </c>
      <c r="DR49" s="46" t="e">
        <f t="shared" si="71"/>
        <v>#DIV/0!</v>
      </c>
      <c r="DS49" s="46" t="e">
        <f t="shared" si="71"/>
        <v>#DIV/0!</v>
      </c>
      <c r="DT49" s="46" t="e">
        <f t="shared" si="71"/>
        <v>#DIV/0!</v>
      </c>
      <c r="DU49" s="46" t="e">
        <f t="shared" si="71"/>
        <v>#DIV/0!</v>
      </c>
      <c r="DV49" s="46" t="e">
        <f t="shared" si="71"/>
        <v>#DIV/0!</v>
      </c>
      <c r="DW49" s="46" t="e">
        <f t="shared" si="71"/>
        <v>#DIV/0!</v>
      </c>
      <c r="DX49" s="46" t="e">
        <f t="shared" si="71"/>
        <v>#DIV/0!</v>
      </c>
      <c r="DY49" s="46" t="e">
        <f t="shared" si="71"/>
        <v>#DIV/0!</v>
      </c>
      <c r="DZ49" s="46" t="e">
        <f t="shared" si="71"/>
        <v>#DIV/0!</v>
      </c>
      <c r="EA49" s="46" t="e">
        <f t="shared" si="71"/>
        <v>#DIV/0!</v>
      </c>
      <c r="EB49" s="46" t="e">
        <f t="shared" si="71"/>
        <v>#DIV/0!</v>
      </c>
      <c r="EC49" s="46" t="e">
        <f t="shared" si="71"/>
        <v>#DIV/0!</v>
      </c>
      <c r="ED49" s="46" t="e">
        <f t="shared" si="71"/>
        <v>#DIV/0!</v>
      </c>
    </row>
    <row r="50" spans="2:134" ht="12.5" x14ac:dyDescent="0.25">
      <c r="B50" s="46" t="s">
        <v>213</v>
      </c>
      <c r="C50" s="53"/>
      <c r="D50" s="46" t="e">
        <f t="shared" si="69"/>
        <v>#DIV/0!</v>
      </c>
      <c r="N50" s="53"/>
      <c r="O50" s="46" t="e">
        <f t="shared" ref="O50:BU50" si="72">IF(AND(O47&gt;0,P46&gt;0,O46&gt;0),IF(N50&lt;&gt;0,N50,O2),0)</f>
        <v>#DIV/0!</v>
      </c>
      <c r="P50" s="46" t="e">
        <f t="shared" si="72"/>
        <v>#DIV/0!</v>
      </c>
      <c r="Q50" s="46" t="e">
        <f t="shared" si="72"/>
        <v>#DIV/0!</v>
      </c>
      <c r="R50" s="46" t="e">
        <f t="shared" si="72"/>
        <v>#DIV/0!</v>
      </c>
      <c r="S50" s="46" t="e">
        <f t="shared" si="72"/>
        <v>#DIV/0!</v>
      </c>
      <c r="T50" s="46" t="e">
        <f t="shared" si="72"/>
        <v>#DIV/0!</v>
      </c>
      <c r="U50" s="46" t="e">
        <f t="shared" si="72"/>
        <v>#DIV/0!</v>
      </c>
      <c r="V50" s="46" t="e">
        <f t="shared" si="72"/>
        <v>#DIV/0!</v>
      </c>
      <c r="W50" s="46" t="e">
        <f t="shared" si="72"/>
        <v>#DIV/0!</v>
      </c>
      <c r="X50" s="46" t="e">
        <f t="shared" si="72"/>
        <v>#DIV/0!</v>
      </c>
      <c r="Y50" s="46" t="e">
        <f t="shared" si="72"/>
        <v>#DIV/0!</v>
      </c>
      <c r="Z50" s="46" t="e">
        <f t="shared" si="72"/>
        <v>#DIV/0!</v>
      </c>
      <c r="AA50" s="46" t="e">
        <f t="shared" si="72"/>
        <v>#DIV/0!</v>
      </c>
      <c r="AB50" s="46" t="e">
        <f t="shared" si="72"/>
        <v>#DIV/0!</v>
      </c>
      <c r="AC50" s="46" t="e">
        <f t="shared" si="72"/>
        <v>#DIV/0!</v>
      </c>
      <c r="AD50" s="46" t="e">
        <f t="shared" si="72"/>
        <v>#DIV/0!</v>
      </c>
      <c r="AE50" s="46" t="e">
        <f t="shared" si="72"/>
        <v>#DIV/0!</v>
      </c>
      <c r="AF50" s="46" t="e">
        <f t="shared" si="72"/>
        <v>#DIV/0!</v>
      </c>
      <c r="AG50" s="46" t="e">
        <f t="shared" si="72"/>
        <v>#DIV/0!</v>
      </c>
      <c r="AH50" s="46" t="e">
        <f t="shared" si="72"/>
        <v>#DIV/0!</v>
      </c>
      <c r="AI50" s="46" t="e">
        <f t="shared" si="72"/>
        <v>#DIV/0!</v>
      </c>
      <c r="AJ50" s="46" t="e">
        <f t="shared" si="72"/>
        <v>#DIV/0!</v>
      </c>
      <c r="AK50" s="46" t="e">
        <f t="shared" si="72"/>
        <v>#DIV/0!</v>
      </c>
      <c r="AL50" s="46" t="e">
        <f t="shared" si="72"/>
        <v>#DIV/0!</v>
      </c>
      <c r="AM50" s="46" t="e">
        <f t="shared" si="72"/>
        <v>#DIV/0!</v>
      </c>
      <c r="AN50" s="46" t="e">
        <f t="shared" si="72"/>
        <v>#DIV/0!</v>
      </c>
      <c r="AO50" s="46" t="e">
        <f t="shared" si="72"/>
        <v>#DIV/0!</v>
      </c>
      <c r="AP50" s="46" t="e">
        <f t="shared" si="72"/>
        <v>#DIV/0!</v>
      </c>
      <c r="AQ50" s="46" t="e">
        <f t="shared" si="72"/>
        <v>#DIV/0!</v>
      </c>
      <c r="AR50" s="46" t="e">
        <f t="shared" si="72"/>
        <v>#DIV/0!</v>
      </c>
      <c r="AS50" s="46" t="e">
        <f t="shared" si="72"/>
        <v>#DIV/0!</v>
      </c>
      <c r="AT50" s="46" t="e">
        <f t="shared" si="72"/>
        <v>#DIV/0!</v>
      </c>
      <c r="AU50" s="46" t="e">
        <f t="shared" si="72"/>
        <v>#DIV/0!</v>
      </c>
      <c r="AV50" s="46" t="e">
        <f t="shared" si="72"/>
        <v>#DIV/0!</v>
      </c>
      <c r="AW50" s="46" t="e">
        <f t="shared" si="72"/>
        <v>#DIV/0!</v>
      </c>
      <c r="AX50" s="46" t="e">
        <f t="shared" si="72"/>
        <v>#DIV/0!</v>
      </c>
      <c r="AY50" s="46" t="e">
        <f t="shared" si="72"/>
        <v>#DIV/0!</v>
      </c>
      <c r="AZ50" s="46" t="e">
        <f t="shared" si="72"/>
        <v>#DIV/0!</v>
      </c>
      <c r="BA50" s="46" t="e">
        <f t="shared" si="72"/>
        <v>#DIV/0!</v>
      </c>
      <c r="BB50" s="46" t="e">
        <f t="shared" si="72"/>
        <v>#DIV/0!</v>
      </c>
      <c r="BC50" s="46" t="e">
        <f t="shared" si="72"/>
        <v>#DIV/0!</v>
      </c>
      <c r="BD50" s="46" t="e">
        <f t="shared" si="72"/>
        <v>#DIV/0!</v>
      </c>
      <c r="BE50" s="46" t="e">
        <f t="shared" si="72"/>
        <v>#DIV/0!</v>
      </c>
      <c r="BF50" s="46" t="e">
        <f t="shared" si="72"/>
        <v>#DIV/0!</v>
      </c>
      <c r="BG50" s="46" t="e">
        <f t="shared" si="72"/>
        <v>#DIV/0!</v>
      </c>
      <c r="BH50" s="46" t="e">
        <f t="shared" si="72"/>
        <v>#DIV/0!</v>
      </c>
      <c r="BI50" s="46" t="e">
        <f t="shared" si="72"/>
        <v>#DIV/0!</v>
      </c>
      <c r="BJ50" s="46" t="e">
        <f t="shared" si="72"/>
        <v>#DIV/0!</v>
      </c>
      <c r="BK50" s="46" t="e">
        <f t="shared" si="72"/>
        <v>#DIV/0!</v>
      </c>
      <c r="BL50" s="46" t="e">
        <f t="shared" si="72"/>
        <v>#DIV/0!</v>
      </c>
      <c r="BM50" s="46" t="e">
        <f t="shared" si="72"/>
        <v>#DIV/0!</v>
      </c>
      <c r="BN50" s="46" t="e">
        <f t="shared" si="72"/>
        <v>#DIV/0!</v>
      </c>
      <c r="BO50" s="46" t="e">
        <f t="shared" si="72"/>
        <v>#DIV/0!</v>
      </c>
      <c r="BP50" s="46" t="e">
        <f t="shared" si="72"/>
        <v>#DIV/0!</v>
      </c>
      <c r="BQ50" s="46" t="e">
        <f t="shared" si="72"/>
        <v>#DIV/0!</v>
      </c>
      <c r="BR50" s="46" t="e">
        <f t="shared" si="72"/>
        <v>#DIV/0!</v>
      </c>
      <c r="BS50" s="46" t="e">
        <f t="shared" si="72"/>
        <v>#DIV/0!</v>
      </c>
      <c r="BT50" s="46" t="e">
        <f t="shared" si="72"/>
        <v>#DIV/0!</v>
      </c>
      <c r="BU50" s="46" t="e">
        <f t="shared" si="72"/>
        <v>#DIV/0!</v>
      </c>
      <c r="BV50" s="46" t="e">
        <f t="shared" ref="BV50:ED50" si="73">IF(AND(BV47&gt;0,EE46&gt;0,BV46&gt;0),IF(BU50&lt;&gt;0,BU50,BV2),0)</f>
        <v>#DIV/0!</v>
      </c>
      <c r="BW50" s="46" t="e">
        <f t="shared" si="73"/>
        <v>#DIV/0!</v>
      </c>
      <c r="BX50" s="46" t="e">
        <f t="shared" si="73"/>
        <v>#DIV/0!</v>
      </c>
      <c r="BY50" s="46" t="e">
        <f t="shared" si="73"/>
        <v>#DIV/0!</v>
      </c>
      <c r="BZ50" s="46" t="e">
        <f t="shared" si="73"/>
        <v>#DIV/0!</v>
      </c>
      <c r="CA50" s="46" t="e">
        <f t="shared" si="73"/>
        <v>#DIV/0!</v>
      </c>
      <c r="CB50" s="46" t="e">
        <f t="shared" si="73"/>
        <v>#DIV/0!</v>
      </c>
      <c r="CC50" s="46" t="e">
        <f t="shared" si="73"/>
        <v>#DIV/0!</v>
      </c>
      <c r="CD50" s="46" t="e">
        <f t="shared" si="73"/>
        <v>#DIV/0!</v>
      </c>
      <c r="CE50" s="46" t="e">
        <f t="shared" si="73"/>
        <v>#DIV/0!</v>
      </c>
      <c r="CF50" s="46" t="e">
        <f t="shared" si="73"/>
        <v>#DIV/0!</v>
      </c>
      <c r="CG50" s="46" t="e">
        <f t="shared" si="73"/>
        <v>#DIV/0!</v>
      </c>
      <c r="CH50" s="46" t="e">
        <f t="shared" si="73"/>
        <v>#DIV/0!</v>
      </c>
      <c r="CI50" s="46" t="e">
        <f t="shared" si="73"/>
        <v>#DIV/0!</v>
      </c>
      <c r="CJ50" s="46" t="e">
        <f t="shared" si="73"/>
        <v>#DIV/0!</v>
      </c>
      <c r="CK50" s="46" t="e">
        <f t="shared" si="73"/>
        <v>#DIV/0!</v>
      </c>
      <c r="CL50" s="46" t="e">
        <f t="shared" si="73"/>
        <v>#DIV/0!</v>
      </c>
      <c r="CM50" s="46" t="e">
        <f t="shared" si="73"/>
        <v>#DIV/0!</v>
      </c>
      <c r="CN50" s="46" t="e">
        <f t="shared" si="73"/>
        <v>#DIV/0!</v>
      </c>
      <c r="CO50" s="46" t="e">
        <f t="shared" si="73"/>
        <v>#DIV/0!</v>
      </c>
      <c r="CP50" s="46" t="e">
        <f t="shared" si="73"/>
        <v>#DIV/0!</v>
      </c>
      <c r="CQ50" s="46" t="e">
        <f t="shared" si="73"/>
        <v>#DIV/0!</v>
      </c>
      <c r="CR50" s="46" t="e">
        <f t="shared" si="73"/>
        <v>#DIV/0!</v>
      </c>
      <c r="CS50" s="46" t="e">
        <f t="shared" si="73"/>
        <v>#DIV/0!</v>
      </c>
      <c r="CT50" s="46" t="e">
        <f t="shared" si="73"/>
        <v>#DIV/0!</v>
      </c>
      <c r="CU50" s="46" t="e">
        <f t="shared" si="73"/>
        <v>#DIV/0!</v>
      </c>
      <c r="CV50" s="46" t="e">
        <f t="shared" si="73"/>
        <v>#DIV/0!</v>
      </c>
      <c r="CW50" s="46" t="e">
        <f t="shared" si="73"/>
        <v>#DIV/0!</v>
      </c>
      <c r="CX50" s="46" t="e">
        <f t="shared" si="73"/>
        <v>#DIV/0!</v>
      </c>
      <c r="CY50" s="46" t="e">
        <f t="shared" si="73"/>
        <v>#DIV/0!</v>
      </c>
      <c r="CZ50" s="46" t="e">
        <f t="shared" si="73"/>
        <v>#DIV/0!</v>
      </c>
      <c r="DA50" s="46" t="e">
        <f t="shared" si="73"/>
        <v>#DIV/0!</v>
      </c>
      <c r="DB50" s="46" t="e">
        <f t="shared" si="73"/>
        <v>#DIV/0!</v>
      </c>
      <c r="DC50" s="46" t="e">
        <f t="shared" si="73"/>
        <v>#DIV/0!</v>
      </c>
      <c r="DD50" s="46" t="e">
        <f t="shared" si="73"/>
        <v>#DIV/0!</v>
      </c>
      <c r="DE50" s="46" t="e">
        <f t="shared" si="73"/>
        <v>#DIV/0!</v>
      </c>
      <c r="DF50" s="46" t="e">
        <f t="shared" si="73"/>
        <v>#DIV/0!</v>
      </c>
      <c r="DG50" s="46" t="e">
        <f t="shared" si="73"/>
        <v>#DIV/0!</v>
      </c>
      <c r="DH50" s="46" t="e">
        <f t="shared" si="73"/>
        <v>#DIV/0!</v>
      </c>
      <c r="DI50" s="46" t="e">
        <f t="shared" si="73"/>
        <v>#DIV/0!</v>
      </c>
      <c r="DJ50" s="46" t="e">
        <f t="shared" si="73"/>
        <v>#DIV/0!</v>
      </c>
      <c r="DK50" s="46" t="e">
        <f t="shared" si="73"/>
        <v>#DIV/0!</v>
      </c>
      <c r="DL50" s="46" t="e">
        <f t="shared" si="73"/>
        <v>#DIV/0!</v>
      </c>
      <c r="DM50" s="46" t="e">
        <f t="shared" si="73"/>
        <v>#DIV/0!</v>
      </c>
      <c r="DN50" s="46" t="e">
        <f t="shared" si="73"/>
        <v>#DIV/0!</v>
      </c>
      <c r="DO50" s="46" t="e">
        <f t="shared" si="73"/>
        <v>#DIV/0!</v>
      </c>
      <c r="DP50" s="46" t="e">
        <f t="shared" si="73"/>
        <v>#DIV/0!</v>
      </c>
      <c r="DQ50" s="46" t="e">
        <f t="shared" si="73"/>
        <v>#DIV/0!</v>
      </c>
      <c r="DR50" s="46" t="e">
        <f t="shared" si="73"/>
        <v>#DIV/0!</v>
      </c>
      <c r="DS50" s="46" t="e">
        <f t="shared" si="73"/>
        <v>#DIV/0!</v>
      </c>
      <c r="DT50" s="46" t="e">
        <f t="shared" si="73"/>
        <v>#DIV/0!</v>
      </c>
      <c r="DU50" s="46" t="e">
        <f t="shared" si="73"/>
        <v>#DIV/0!</v>
      </c>
      <c r="DV50" s="46" t="e">
        <f t="shared" si="73"/>
        <v>#DIV/0!</v>
      </c>
      <c r="DW50" s="46" t="e">
        <f t="shared" si="73"/>
        <v>#DIV/0!</v>
      </c>
      <c r="DX50" s="46" t="e">
        <f t="shared" si="73"/>
        <v>#DIV/0!</v>
      </c>
      <c r="DY50" s="46" t="e">
        <f t="shared" si="73"/>
        <v>#DIV/0!</v>
      </c>
      <c r="DZ50" s="46" t="e">
        <f t="shared" si="73"/>
        <v>#DIV/0!</v>
      </c>
      <c r="EA50" s="46" t="e">
        <f t="shared" si="73"/>
        <v>#DIV/0!</v>
      </c>
      <c r="EB50" s="46" t="e">
        <f t="shared" si="73"/>
        <v>#DIV/0!</v>
      </c>
      <c r="EC50" s="46" t="e">
        <f t="shared" si="73"/>
        <v>#DIV/0!</v>
      </c>
      <c r="ED50" s="46" t="e">
        <f t="shared" si="73"/>
        <v>#DIV/0!</v>
      </c>
    </row>
    <row r="57" spans="2:134" ht="12.5" x14ac:dyDescent="0.25">
      <c r="C57" s="53"/>
      <c r="N57" s="53"/>
    </row>
    <row r="58" spans="2:134" ht="12.5" x14ac:dyDescent="0.25">
      <c r="C58" s="53"/>
      <c r="N58" s="53"/>
    </row>
    <row r="59" spans="2:134" ht="12.5" x14ac:dyDescent="0.25">
      <c r="C59" s="53"/>
      <c r="N59" s="53"/>
    </row>
    <row r="60" spans="2:134" ht="12.5" x14ac:dyDescent="0.25">
      <c r="C60" s="53"/>
      <c r="N60" s="53"/>
    </row>
    <row r="61" spans="2:134" ht="12.5" x14ac:dyDescent="0.25">
      <c r="C61" s="53"/>
      <c r="N61" s="53"/>
    </row>
    <row r="62" spans="2:134" ht="12.5" x14ac:dyDescent="0.25">
      <c r="C62" s="53"/>
      <c r="N62" s="53"/>
    </row>
    <row r="63" spans="2:134" ht="12.5" x14ac:dyDescent="0.25">
      <c r="C63" s="53"/>
      <c r="N63" s="53"/>
    </row>
    <row r="64" spans="2:134" ht="12.5" x14ac:dyDescent="0.25">
      <c r="C64" s="53"/>
      <c r="N64" s="53"/>
    </row>
    <row r="65" spans="3:14" ht="12.5" x14ac:dyDescent="0.25">
      <c r="C65" s="53"/>
      <c r="N65" s="53"/>
    </row>
    <row r="66" spans="3:14" ht="12.5" x14ac:dyDescent="0.25">
      <c r="C66" s="53"/>
      <c r="N66" s="53"/>
    </row>
    <row r="67" spans="3:14" ht="12.5" x14ac:dyDescent="0.25">
      <c r="C67" s="53"/>
      <c r="N67" s="53"/>
    </row>
    <row r="68" spans="3:14" ht="12.5" x14ac:dyDescent="0.25">
      <c r="C68" s="53"/>
      <c r="N68" s="53"/>
    </row>
    <row r="69" spans="3:14" ht="12.5" x14ac:dyDescent="0.25">
      <c r="C69" s="53"/>
      <c r="N69" s="53"/>
    </row>
    <row r="70" spans="3:14" ht="12.5" x14ac:dyDescent="0.25">
      <c r="C70" s="53"/>
      <c r="N70" s="53"/>
    </row>
    <row r="71" spans="3:14" ht="12.5" x14ac:dyDescent="0.25">
      <c r="C71" s="53"/>
      <c r="N71" s="53"/>
    </row>
    <row r="72" spans="3:14" ht="12.5" x14ac:dyDescent="0.25">
      <c r="C72" s="53"/>
      <c r="N72" s="53"/>
    </row>
    <row r="73" spans="3:14" ht="12.5" x14ac:dyDescent="0.25">
      <c r="C73" s="53"/>
      <c r="N73" s="53"/>
    </row>
    <row r="74" spans="3:14" ht="12.5" x14ac:dyDescent="0.25">
      <c r="C74" s="53"/>
      <c r="N74" s="53"/>
    </row>
    <row r="75" spans="3:14" ht="12.5" x14ac:dyDescent="0.25">
      <c r="C75" s="53"/>
      <c r="N75" s="53"/>
    </row>
    <row r="76" spans="3:14" ht="12.5" x14ac:dyDescent="0.25">
      <c r="C76" s="53"/>
      <c r="N76" s="53"/>
    </row>
    <row r="77" spans="3:14" ht="12.5" x14ac:dyDescent="0.25">
      <c r="C77" s="53"/>
      <c r="N77" s="53"/>
    </row>
    <row r="78" spans="3:14" ht="12.5" x14ac:dyDescent="0.25">
      <c r="C78" s="53"/>
      <c r="N78" s="53"/>
    </row>
    <row r="79" spans="3:14" ht="12.5" x14ac:dyDescent="0.25">
      <c r="C79" s="53"/>
      <c r="N79" s="53"/>
    </row>
    <row r="80" spans="3:14" ht="12.5" x14ac:dyDescent="0.25">
      <c r="C80" s="53"/>
      <c r="N80" s="53"/>
    </row>
    <row r="81" spans="3:14" ht="12.5" x14ac:dyDescent="0.25">
      <c r="C81" s="53"/>
      <c r="N81" s="53"/>
    </row>
    <row r="82" spans="3:14" ht="12.5" x14ac:dyDescent="0.25">
      <c r="C82" s="53"/>
      <c r="N82" s="53"/>
    </row>
    <row r="83" spans="3:14" ht="12.5" x14ac:dyDescent="0.25">
      <c r="C83" s="53"/>
      <c r="N83" s="53"/>
    </row>
    <row r="84" spans="3:14" ht="12.5" x14ac:dyDescent="0.25">
      <c r="C84" s="53"/>
      <c r="N84" s="53"/>
    </row>
    <row r="85" spans="3:14" ht="12.5" x14ac:dyDescent="0.25">
      <c r="C85" s="53"/>
      <c r="N85" s="53"/>
    </row>
    <row r="86" spans="3:14" ht="12.5" x14ac:dyDescent="0.25">
      <c r="C86" s="53"/>
      <c r="N86" s="53"/>
    </row>
    <row r="87" spans="3:14" ht="12.5" x14ac:dyDescent="0.25">
      <c r="C87" s="53"/>
      <c r="N87" s="53"/>
    </row>
    <row r="88" spans="3:14" ht="12.5" x14ac:dyDescent="0.25">
      <c r="C88" s="53"/>
      <c r="N88" s="53"/>
    </row>
    <row r="89" spans="3:14" ht="12.5" x14ac:dyDescent="0.25">
      <c r="C89" s="53"/>
      <c r="N89" s="53"/>
    </row>
    <row r="90" spans="3:14" ht="12.5" x14ac:dyDescent="0.25">
      <c r="C90" s="53"/>
      <c r="N90" s="53"/>
    </row>
    <row r="91" spans="3:14" ht="12.5" x14ac:dyDescent="0.25">
      <c r="C91" s="53"/>
      <c r="N91" s="53"/>
    </row>
    <row r="92" spans="3:14" ht="12.5" x14ac:dyDescent="0.25">
      <c r="C92" s="53"/>
      <c r="N92" s="53"/>
    </row>
    <row r="93" spans="3:14" ht="12.5" x14ac:dyDescent="0.25">
      <c r="C93" s="53"/>
      <c r="N93" s="53"/>
    </row>
    <row r="94" spans="3:14" ht="12.5" x14ac:dyDescent="0.25">
      <c r="C94" s="53"/>
      <c r="N94" s="53"/>
    </row>
    <row r="95" spans="3:14" ht="12.5" x14ac:dyDescent="0.25">
      <c r="C95" s="53"/>
      <c r="N95" s="53"/>
    </row>
    <row r="96" spans="3:14" ht="12.5" x14ac:dyDescent="0.25">
      <c r="C96" s="53"/>
      <c r="N96" s="53"/>
    </row>
    <row r="97" spans="3:14" ht="12.5" x14ac:dyDescent="0.25">
      <c r="C97" s="53"/>
      <c r="N97" s="53"/>
    </row>
    <row r="98" spans="3:14" ht="12.5" x14ac:dyDescent="0.25">
      <c r="C98" s="53"/>
      <c r="N98" s="53"/>
    </row>
    <row r="99" spans="3:14" ht="12.5" x14ac:dyDescent="0.25">
      <c r="C99" s="53"/>
      <c r="N99" s="53"/>
    </row>
    <row r="100" spans="3:14" ht="12.5" x14ac:dyDescent="0.25">
      <c r="C100" s="53"/>
      <c r="N100" s="53"/>
    </row>
    <row r="101" spans="3:14" ht="12.5" x14ac:dyDescent="0.25">
      <c r="C101" s="53"/>
      <c r="N101" s="53"/>
    </row>
    <row r="102" spans="3:14" ht="12.5" x14ac:dyDescent="0.25">
      <c r="C102" s="53"/>
      <c r="N102" s="53"/>
    </row>
    <row r="103" spans="3:14" ht="12.5" x14ac:dyDescent="0.25">
      <c r="C103" s="53"/>
      <c r="N103" s="53"/>
    </row>
    <row r="104" spans="3:14" ht="12.5" x14ac:dyDescent="0.25">
      <c r="C104" s="53"/>
      <c r="N104" s="53"/>
    </row>
    <row r="105" spans="3:14" ht="12.5" x14ac:dyDescent="0.25">
      <c r="C105" s="53"/>
      <c r="N105" s="53"/>
    </row>
    <row r="106" spans="3:14" ht="12.5" x14ac:dyDescent="0.25">
      <c r="C106" s="53"/>
      <c r="N106" s="53"/>
    </row>
    <row r="107" spans="3:14" ht="12.5" x14ac:dyDescent="0.25">
      <c r="C107" s="53"/>
      <c r="N107" s="53"/>
    </row>
    <row r="108" spans="3:14" ht="12.5" x14ac:dyDescent="0.25">
      <c r="C108" s="53"/>
      <c r="N108" s="53"/>
    </row>
    <row r="109" spans="3:14" ht="12.5" x14ac:dyDescent="0.25">
      <c r="C109" s="53"/>
      <c r="N109" s="53"/>
    </row>
    <row r="110" spans="3:14" ht="12.5" x14ac:dyDescent="0.25">
      <c r="C110" s="53"/>
      <c r="N110" s="53"/>
    </row>
    <row r="111" spans="3:14" ht="12.5" x14ac:dyDescent="0.25">
      <c r="C111" s="53"/>
      <c r="N111" s="53"/>
    </row>
    <row r="112" spans="3:14" ht="12.5" x14ac:dyDescent="0.25">
      <c r="C112" s="53"/>
      <c r="N112" s="53"/>
    </row>
    <row r="113" spans="3:14" ht="12.5" x14ac:dyDescent="0.25">
      <c r="C113" s="53"/>
      <c r="N113" s="53"/>
    </row>
    <row r="114" spans="3:14" ht="12.5" x14ac:dyDescent="0.25">
      <c r="C114" s="53"/>
      <c r="N114" s="53"/>
    </row>
    <row r="115" spans="3:14" ht="12.5" x14ac:dyDescent="0.25">
      <c r="C115" s="53"/>
      <c r="N115" s="53"/>
    </row>
    <row r="116" spans="3:14" ht="12.5" x14ac:dyDescent="0.25">
      <c r="C116" s="53"/>
      <c r="N116" s="53"/>
    </row>
    <row r="117" spans="3:14" ht="12.5" x14ac:dyDescent="0.25">
      <c r="C117" s="53"/>
      <c r="N117" s="53"/>
    </row>
    <row r="118" spans="3:14" ht="12.5" x14ac:dyDescent="0.25">
      <c r="C118" s="53"/>
      <c r="N118" s="53"/>
    </row>
    <row r="119" spans="3:14" ht="12.5" x14ac:dyDescent="0.25">
      <c r="C119" s="53"/>
      <c r="N119" s="53"/>
    </row>
    <row r="120" spans="3:14" ht="12.5" x14ac:dyDescent="0.25">
      <c r="C120" s="53"/>
      <c r="N120" s="53"/>
    </row>
    <row r="121" spans="3:14" ht="12.5" x14ac:dyDescent="0.25">
      <c r="C121" s="53"/>
      <c r="N121" s="53"/>
    </row>
    <row r="122" spans="3:14" ht="12.5" x14ac:dyDescent="0.25">
      <c r="C122" s="53"/>
      <c r="N122" s="53"/>
    </row>
    <row r="123" spans="3:14" ht="12.5" x14ac:dyDescent="0.25">
      <c r="C123" s="53"/>
      <c r="N123" s="53"/>
    </row>
    <row r="124" spans="3:14" ht="12.5" x14ac:dyDescent="0.25">
      <c r="C124" s="53"/>
      <c r="N124" s="53"/>
    </row>
    <row r="125" spans="3:14" ht="12.5" x14ac:dyDescent="0.25">
      <c r="C125" s="53"/>
      <c r="N125" s="53"/>
    </row>
    <row r="126" spans="3:14" ht="12.5" x14ac:dyDescent="0.25">
      <c r="C126" s="53"/>
      <c r="N126" s="53"/>
    </row>
    <row r="127" spans="3:14" ht="12.5" x14ac:dyDescent="0.25">
      <c r="C127" s="53"/>
      <c r="N127" s="53"/>
    </row>
    <row r="128" spans="3:14" ht="12.5" x14ac:dyDescent="0.25">
      <c r="C128" s="53"/>
      <c r="N128" s="53"/>
    </row>
    <row r="129" spans="3:14" ht="12.5" x14ac:dyDescent="0.25">
      <c r="C129" s="53"/>
      <c r="N129" s="53"/>
    </row>
    <row r="130" spans="3:14" ht="12.5" x14ac:dyDescent="0.25">
      <c r="C130" s="53"/>
      <c r="N130" s="53"/>
    </row>
    <row r="131" spans="3:14" ht="12.5" x14ac:dyDescent="0.25">
      <c r="C131" s="53"/>
      <c r="N131" s="53"/>
    </row>
    <row r="132" spans="3:14" ht="12.5" x14ac:dyDescent="0.25">
      <c r="C132" s="53"/>
      <c r="N132" s="53"/>
    </row>
    <row r="133" spans="3:14" ht="12.5" x14ac:dyDescent="0.25">
      <c r="C133" s="53"/>
      <c r="N133" s="53"/>
    </row>
    <row r="134" spans="3:14" ht="12.5" x14ac:dyDescent="0.25">
      <c r="C134" s="53"/>
      <c r="N134" s="53"/>
    </row>
    <row r="135" spans="3:14" ht="12.5" x14ac:dyDescent="0.25">
      <c r="C135" s="53"/>
      <c r="N135" s="53"/>
    </row>
    <row r="136" spans="3:14" ht="12.5" x14ac:dyDescent="0.25">
      <c r="C136" s="53"/>
      <c r="N136" s="53"/>
    </row>
    <row r="137" spans="3:14" ht="12.5" x14ac:dyDescent="0.25">
      <c r="C137" s="53"/>
      <c r="N137" s="53"/>
    </row>
    <row r="138" spans="3:14" ht="12.5" x14ac:dyDescent="0.25">
      <c r="C138" s="53"/>
      <c r="N138" s="53"/>
    </row>
    <row r="139" spans="3:14" ht="12.5" x14ac:dyDescent="0.25">
      <c r="C139" s="53"/>
      <c r="N139" s="53"/>
    </row>
    <row r="140" spans="3:14" ht="12.5" x14ac:dyDescent="0.25">
      <c r="C140" s="53"/>
      <c r="N140" s="53"/>
    </row>
    <row r="141" spans="3:14" ht="12.5" x14ac:dyDescent="0.25">
      <c r="C141" s="53"/>
      <c r="N141" s="53"/>
    </row>
    <row r="142" spans="3:14" ht="12.5" x14ac:dyDescent="0.25">
      <c r="C142" s="53"/>
      <c r="N142" s="53"/>
    </row>
    <row r="143" spans="3:14" ht="12.5" x14ac:dyDescent="0.25">
      <c r="C143" s="53"/>
      <c r="N143" s="53"/>
    </row>
    <row r="144" spans="3:14" ht="12.5" x14ac:dyDescent="0.25">
      <c r="C144" s="53"/>
      <c r="N144" s="53"/>
    </row>
    <row r="145" spans="3:14" ht="12.5" x14ac:dyDescent="0.25">
      <c r="C145" s="53"/>
      <c r="N145" s="53"/>
    </row>
    <row r="146" spans="3:14" ht="12.5" x14ac:dyDescent="0.25">
      <c r="C146" s="53"/>
      <c r="N146" s="53"/>
    </row>
    <row r="147" spans="3:14" ht="12.5" x14ac:dyDescent="0.25">
      <c r="C147" s="53"/>
      <c r="N147" s="53"/>
    </row>
    <row r="148" spans="3:14" ht="12.5" x14ac:dyDescent="0.25">
      <c r="C148" s="53"/>
      <c r="N148" s="53"/>
    </row>
    <row r="149" spans="3:14" ht="12.5" x14ac:dyDescent="0.25">
      <c r="C149" s="53"/>
      <c r="N149" s="53"/>
    </row>
    <row r="150" spans="3:14" ht="12.5" x14ac:dyDescent="0.25">
      <c r="C150" s="53"/>
      <c r="N150" s="53"/>
    </row>
    <row r="151" spans="3:14" ht="12.5" x14ac:dyDescent="0.25">
      <c r="C151" s="53"/>
      <c r="N151" s="53"/>
    </row>
    <row r="152" spans="3:14" ht="12.5" x14ac:dyDescent="0.25">
      <c r="C152" s="53"/>
      <c r="N152" s="53"/>
    </row>
    <row r="153" spans="3:14" ht="12.5" x14ac:dyDescent="0.25">
      <c r="C153" s="53"/>
      <c r="N153" s="53"/>
    </row>
    <row r="154" spans="3:14" ht="12.5" x14ac:dyDescent="0.25">
      <c r="C154" s="53"/>
      <c r="N154" s="53"/>
    </row>
    <row r="155" spans="3:14" ht="12.5" x14ac:dyDescent="0.25">
      <c r="C155" s="53"/>
      <c r="N155" s="53"/>
    </row>
    <row r="156" spans="3:14" ht="12.5" x14ac:dyDescent="0.25">
      <c r="C156" s="53"/>
      <c r="N156" s="53"/>
    </row>
    <row r="157" spans="3:14" ht="12.5" x14ac:dyDescent="0.25">
      <c r="C157" s="53"/>
      <c r="N157" s="53"/>
    </row>
    <row r="158" spans="3:14" ht="12.5" x14ac:dyDescent="0.25">
      <c r="C158" s="53"/>
      <c r="N158" s="53"/>
    </row>
    <row r="159" spans="3:14" ht="12.5" x14ac:dyDescent="0.25">
      <c r="C159" s="53"/>
      <c r="N159" s="53"/>
    </row>
    <row r="160" spans="3:14" ht="12.5" x14ac:dyDescent="0.25">
      <c r="C160" s="53"/>
      <c r="N160" s="53"/>
    </row>
    <row r="161" spans="3:14" ht="12.5" x14ac:dyDescent="0.25">
      <c r="C161" s="53"/>
      <c r="N161" s="53"/>
    </row>
    <row r="162" spans="3:14" ht="12.5" x14ac:dyDescent="0.25">
      <c r="C162" s="53"/>
      <c r="N162" s="53"/>
    </row>
    <row r="163" spans="3:14" ht="12.5" x14ac:dyDescent="0.25">
      <c r="C163" s="53"/>
      <c r="N163" s="53"/>
    </row>
    <row r="164" spans="3:14" ht="12.5" x14ac:dyDescent="0.25">
      <c r="C164" s="53"/>
      <c r="N164" s="53"/>
    </row>
    <row r="165" spans="3:14" ht="12.5" x14ac:dyDescent="0.25">
      <c r="C165" s="53"/>
      <c r="N165" s="53"/>
    </row>
    <row r="166" spans="3:14" ht="12.5" x14ac:dyDescent="0.25">
      <c r="C166" s="53"/>
      <c r="N166" s="53"/>
    </row>
    <row r="167" spans="3:14" ht="12.5" x14ac:dyDescent="0.25">
      <c r="C167" s="53"/>
      <c r="N167" s="53"/>
    </row>
    <row r="168" spans="3:14" ht="12.5" x14ac:dyDescent="0.25">
      <c r="C168" s="53"/>
      <c r="N168" s="53"/>
    </row>
    <row r="169" spans="3:14" ht="12.5" x14ac:dyDescent="0.25">
      <c r="C169" s="53"/>
      <c r="N169" s="53"/>
    </row>
    <row r="170" spans="3:14" ht="12.5" x14ac:dyDescent="0.25">
      <c r="C170" s="53"/>
      <c r="N170" s="53"/>
    </row>
    <row r="171" spans="3:14" ht="12.5" x14ac:dyDescent="0.25">
      <c r="C171" s="53"/>
      <c r="N171" s="53"/>
    </row>
    <row r="172" spans="3:14" ht="12.5" x14ac:dyDescent="0.25">
      <c r="C172" s="53"/>
      <c r="N172" s="53"/>
    </row>
    <row r="173" spans="3:14" ht="12.5" x14ac:dyDescent="0.25">
      <c r="C173" s="53"/>
      <c r="N173" s="53"/>
    </row>
    <row r="174" spans="3:14" ht="12.5" x14ac:dyDescent="0.25">
      <c r="C174" s="53"/>
      <c r="N174" s="53"/>
    </row>
    <row r="175" spans="3:14" ht="12.5" x14ac:dyDescent="0.25">
      <c r="C175" s="53"/>
      <c r="N175" s="53"/>
    </row>
    <row r="176" spans="3:14" ht="12.5" x14ac:dyDescent="0.25">
      <c r="C176" s="53"/>
      <c r="N176" s="53"/>
    </row>
    <row r="177" spans="3:14" ht="12.5" x14ac:dyDescent="0.25">
      <c r="C177" s="53"/>
      <c r="N177" s="53"/>
    </row>
    <row r="178" spans="3:14" ht="12.5" x14ac:dyDescent="0.25">
      <c r="C178" s="53"/>
      <c r="N178" s="53"/>
    </row>
    <row r="179" spans="3:14" ht="12.5" x14ac:dyDescent="0.25">
      <c r="C179" s="53"/>
      <c r="N179" s="53"/>
    </row>
    <row r="180" spans="3:14" ht="12.5" x14ac:dyDescent="0.25">
      <c r="C180" s="53"/>
      <c r="N180" s="53"/>
    </row>
    <row r="181" spans="3:14" ht="12.5" x14ac:dyDescent="0.25">
      <c r="C181" s="53"/>
      <c r="N181" s="53"/>
    </row>
    <row r="182" spans="3:14" ht="12.5" x14ac:dyDescent="0.25">
      <c r="C182" s="53"/>
      <c r="N182" s="53"/>
    </row>
    <row r="183" spans="3:14" ht="12.5" x14ac:dyDescent="0.25">
      <c r="C183" s="53"/>
      <c r="N183" s="53"/>
    </row>
    <row r="184" spans="3:14" ht="12.5" x14ac:dyDescent="0.25">
      <c r="C184" s="53"/>
      <c r="N184" s="53"/>
    </row>
    <row r="185" spans="3:14" ht="12.5" x14ac:dyDescent="0.25">
      <c r="C185" s="53"/>
      <c r="N185" s="53"/>
    </row>
    <row r="186" spans="3:14" ht="12.5" x14ac:dyDescent="0.25">
      <c r="C186" s="53"/>
      <c r="N186" s="53"/>
    </row>
    <row r="187" spans="3:14" ht="12.5" x14ac:dyDescent="0.25">
      <c r="C187" s="53"/>
      <c r="N187" s="53"/>
    </row>
    <row r="188" spans="3:14" ht="12.5" x14ac:dyDescent="0.25">
      <c r="C188" s="53"/>
      <c r="N188" s="53"/>
    </row>
    <row r="189" spans="3:14" ht="12.5" x14ac:dyDescent="0.25">
      <c r="C189" s="53"/>
      <c r="N189" s="53"/>
    </row>
    <row r="190" spans="3:14" ht="12.5" x14ac:dyDescent="0.25">
      <c r="C190" s="53"/>
      <c r="N190" s="53"/>
    </row>
    <row r="191" spans="3:14" ht="12.5" x14ac:dyDescent="0.25">
      <c r="C191" s="53"/>
      <c r="N191" s="53"/>
    </row>
    <row r="192" spans="3:14" ht="12.5" x14ac:dyDescent="0.25">
      <c r="C192" s="53"/>
      <c r="N192" s="53"/>
    </row>
    <row r="193" spans="3:14" ht="12.5" x14ac:dyDescent="0.25">
      <c r="C193" s="53"/>
      <c r="N193" s="53"/>
    </row>
    <row r="194" spans="3:14" ht="12.5" x14ac:dyDescent="0.25">
      <c r="C194" s="53"/>
      <c r="N194" s="53"/>
    </row>
    <row r="195" spans="3:14" ht="12.5" x14ac:dyDescent="0.25">
      <c r="C195" s="53"/>
      <c r="N195" s="53"/>
    </row>
    <row r="196" spans="3:14" ht="12.5" x14ac:dyDescent="0.25">
      <c r="C196" s="53"/>
      <c r="N196" s="53"/>
    </row>
    <row r="197" spans="3:14" ht="12.5" x14ac:dyDescent="0.25">
      <c r="C197" s="53"/>
      <c r="N197" s="53"/>
    </row>
    <row r="198" spans="3:14" ht="12.5" x14ac:dyDescent="0.25">
      <c r="C198" s="53"/>
      <c r="N198" s="53"/>
    </row>
    <row r="199" spans="3:14" ht="12.5" x14ac:dyDescent="0.25">
      <c r="C199" s="53"/>
      <c r="N199" s="53"/>
    </row>
    <row r="200" spans="3:14" ht="12.5" x14ac:dyDescent="0.25">
      <c r="C200" s="53"/>
      <c r="N200" s="53"/>
    </row>
    <row r="201" spans="3:14" ht="12.5" x14ac:dyDescent="0.25">
      <c r="C201" s="53"/>
      <c r="N201" s="53"/>
    </row>
    <row r="202" spans="3:14" ht="12.5" x14ac:dyDescent="0.25">
      <c r="C202" s="53"/>
      <c r="N202" s="53"/>
    </row>
    <row r="203" spans="3:14" ht="12.5" x14ac:dyDescent="0.25">
      <c r="C203" s="53"/>
      <c r="N203" s="53"/>
    </row>
    <row r="204" spans="3:14" ht="12.5" x14ac:dyDescent="0.25">
      <c r="C204" s="53"/>
      <c r="N204" s="53"/>
    </row>
    <row r="205" spans="3:14" ht="12.5" x14ac:dyDescent="0.25">
      <c r="C205" s="53"/>
      <c r="N205" s="53"/>
    </row>
    <row r="206" spans="3:14" ht="12.5" x14ac:dyDescent="0.25">
      <c r="C206" s="53"/>
      <c r="N206" s="53"/>
    </row>
    <row r="207" spans="3:14" ht="12.5" x14ac:dyDescent="0.25">
      <c r="C207" s="53"/>
      <c r="N207" s="53"/>
    </row>
    <row r="208" spans="3:14" ht="12.5" x14ac:dyDescent="0.25">
      <c r="C208" s="53"/>
      <c r="N208" s="53"/>
    </row>
    <row r="209" spans="3:14" ht="12.5" x14ac:dyDescent="0.25">
      <c r="C209" s="53"/>
      <c r="N209" s="53"/>
    </row>
    <row r="210" spans="3:14" ht="12.5" x14ac:dyDescent="0.25">
      <c r="C210" s="53"/>
      <c r="N210" s="53"/>
    </row>
    <row r="211" spans="3:14" ht="12.5" x14ac:dyDescent="0.25">
      <c r="C211" s="53"/>
      <c r="N211" s="53"/>
    </row>
    <row r="212" spans="3:14" ht="12.5" x14ac:dyDescent="0.25">
      <c r="C212" s="53"/>
      <c r="N212" s="53"/>
    </row>
    <row r="213" spans="3:14" ht="12.5" x14ac:dyDescent="0.25">
      <c r="C213" s="53"/>
      <c r="N213" s="53"/>
    </row>
    <row r="214" spans="3:14" ht="12.5" x14ac:dyDescent="0.25">
      <c r="C214" s="53"/>
      <c r="N214" s="53"/>
    </row>
    <row r="215" spans="3:14" ht="12.5" x14ac:dyDescent="0.25">
      <c r="C215" s="53"/>
      <c r="N215" s="53"/>
    </row>
    <row r="216" spans="3:14" ht="12.5" x14ac:dyDescent="0.25">
      <c r="C216" s="53"/>
      <c r="N216" s="53"/>
    </row>
    <row r="217" spans="3:14" ht="12.5" x14ac:dyDescent="0.25">
      <c r="C217" s="53"/>
      <c r="N217" s="53"/>
    </row>
    <row r="218" spans="3:14" ht="12.5" x14ac:dyDescent="0.25">
      <c r="C218" s="53"/>
      <c r="N218" s="53"/>
    </row>
    <row r="219" spans="3:14" ht="12.5" x14ac:dyDescent="0.25">
      <c r="C219" s="53"/>
      <c r="N219" s="53"/>
    </row>
    <row r="220" spans="3:14" ht="12.5" x14ac:dyDescent="0.25">
      <c r="C220" s="53"/>
      <c r="N220" s="53"/>
    </row>
    <row r="221" spans="3:14" ht="12.5" x14ac:dyDescent="0.25">
      <c r="C221" s="53"/>
      <c r="N221" s="53"/>
    </row>
    <row r="222" spans="3:14" ht="12.5" x14ac:dyDescent="0.25">
      <c r="C222" s="53"/>
      <c r="N222" s="53"/>
    </row>
    <row r="223" spans="3:14" ht="12.5" x14ac:dyDescent="0.25">
      <c r="C223" s="53"/>
      <c r="N223" s="53"/>
    </row>
    <row r="224" spans="3:14" ht="12.5" x14ac:dyDescent="0.25">
      <c r="C224" s="53"/>
      <c r="N224" s="53"/>
    </row>
    <row r="225" spans="3:14" ht="12.5" x14ac:dyDescent="0.25">
      <c r="C225" s="53"/>
      <c r="N225" s="53"/>
    </row>
    <row r="226" spans="3:14" ht="12.5" x14ac:dyDescent="0.25">
      <c r="C226" s="53"/>
      <c r="N226" s="53"/>
    </row>
    <row r="227" spans="3:14" ht="12.5" x14ac:dyDescent="0.25">
      <c r="C227" s="53"/>
      <c r="N227" s="53"/>
    </row>
    <row r="228" spans="3:14" ht="12.5" x14ac:dyDescent="0.25">
      <c r="C228" s="53"/>
      <c r="N228" s="53"/>
    </row>
    <row r="229" spans="3:14" ht="12.5" x14ac:dyDescent="0.25">
      <c r="C229" s="53"/>
      <c r="N229" s="53"/>
    </row>
    <row r="230" spans="3:14" ht="12.5" x14ac:dyDescent="0.25">
      <c r="C230" s="53"/>
      <c r="N230" s="53"/>
    </row>
    <row r="231" spans="3:14" ht="12.5" x14ac:dyDescent="0.25">
      <c r="C231" s="53"/>
      <c r="N231" s="53"/>
    </row>
    <row r="232" spans="3:14" ht="12.5" x14ac:dyDescent="0.25">
      <c r="C232" s="53"/>
      <c r="N232" s="53"/>
    </row>
    <row r="233" spans="3:14" ht="12.5" x14ac:dyDescent="0.25">
      <c r="C233" s="53"/>
      <c r="N233" s="53"/>
    </row>
    <row r="234" spans="3:14" ht="12.5" x14ac:dyDescent="0.25">
      <c r="C234" s="53"/>
      <c r="N234" s="53"/>
    </row>
    <row r="235" spans="3:14" ht="12.5" x14ac:dyDescent="0.25">
      <c r="C235" s="53"/>
      <c r="N235" s="53"/>
    </row>
    <row r="236" spans="3:14" ht="12.5" x14ac:dyDescent="0.25">
      <c r="C236" s="53"/>
      <c r="N236" s="53"/>
    </row>
    <row r="237" spans="3:14" ht="12.5" x14ac:dyDescent="0.25">
      <c r="C237" s="53"/>
      <c r="N237" s="53"/>
    </row>
    <row r="238" spans="3:14" ht="12.5" x14ac:dyDescent="0.25">
      <c r="C238" s="53"/>
      <c r="N238" s="53"/>
    </row>
    <row r="239" spans="3:14" ht="12.5" x14ac:dyDescent="0.25">
      <c r="C239" s="53"/>
      <c r="N239" s="53"/>
    </row>
    <row r="240" spans="3:14" ht="12.5" x14ac:dyDescent="0.25">
      <c r="C240" s="53"/>
      <c r="N240" s="53"/>
    </row>
    <row r="241" spans="3:14" ht="12.5" x14ac:dyDescent="0.25">
      <c r="C241" s="53"/>
      <c r="N241" s="53"/>
    </row>
    <row r="242" spans="3:14" ht="12.5" x14ac:dyDescent="0.25">
      <c r="C242" s="53"/>
      <c r="N242" s="53"/>
    </row>
    <row r="243" spans="3:14" ht="12.5" x14ac:dyDescent="0.25">
      <c r="C243" s="53"/>
      <c r="N243" s="53"/>
    </row>
    <row r="244" spans="3:14" ht="12.5" x14ac:dyDescent="0.25">
      <c r="C244" s="53"/>
      <c r="N244" s="53"/>
    </row>
    <row r="245" spans="3:14" ht="12.5" x14ac:dyDescent="0.25">
      <c r="C245" s="53"/>
      <c r="N245" s="53"/>
    </row>
    <row r="246" spans="3:14" ht="12.5" x14ac:dyDescent="0.25">
      <c r="C246" s="53"/>
      <c r="N246" s="53"/>
    </row>
    <row r="247" spans="3:14" ht="12.5" x14ac:dyDescent="0.25">
      <c r="C247" s="53"/>
      <c r="N247" s="53"/>
    </row>
    <row r="248" spans="3:14" ht="12.5" x14ac:dyDescent="0.25">
      <c r="C248" s="53"/>
      <c r="N248" s="53"/>
    </row>
    <row r="249" spans="3:14" ht="12.5" x14ac:dyDescent="0.25">
      <c r="C249" s="53"/>
      <c r="N249" s="53"/>
    </row>
    <row r="250" spans="3:14" ht="12.5" x14ac:dyDescent="0.25">
      <c r="C250" s="53"/>
      <c r="N250" s="53"/>
    </row>
    <row r="251" spans="3:14" ht="12.5" x14ac:dyDescent="0.25">
      <c r="C251" s="53"/>
      <c r="N251" s="53"/>
    </row>
    <row r="252" spans="3:14" ht="12.5" x14ac:dyDescent="0.25">
      <c r="C252" s="53"/>
      <c r="N252" s="53"/>
    </row>
    <row r="253" spans="3:14" ht="12.5" x14ac:dyDescent="0.25">
      <c r="C253" s="53"/>
      <c r="N253" s="53"/>
    </row>
    <row r="254" spans="3:14" ht="12.5" x14ac:dyDescent="0.25">
      <c r="C254" s="53"/>
      <c r="N254" s="53"/>
    </row>
    <row r="255" spans="3:14" ht="12.5" x14ac:dyDescent="0.25">
      <c r="C255" s="53"/>
      <c r="N255" s="53"/>
    </row>
    <row r="256" spans="3:14" ht="12.5" x14ac:dyDescent="0.25">
      <c r="C256" s="53"/>
      <c r="N256" s="53"/>
    </row>
    <row r="257" spans="3:14" ht="12.5" x14ac:dyDescent="0.25">
      <c r="C257" s="53"/>
      <c r="N257" s="53"/>
    </row>
    <row r="258" spans="3:14" ht="12.5" x14ac:dyDescent="0.25">
      <c r="C258" s="53"/>
      <c r="N258" s="53"/>
    </row>
    <row r="259" spans="3:14" ht="12.5" x14ac:dyDescent="0.25">
      <c r="C259" s="53"/>
      <c r="N259" s="53"/>
    </row>
    <row r="260" spans="3:14" ht="12.5" x14ac:dyDescent="0.25">
      <c r="C260" s="53"/>
      <c r="N260" s="53"/>
    </row>
    <row r="261" spans="3:14" ht="12.5" x14ac:dyDescent="0.25">
      <c r="C261" s="53"/>
      <c r="N261" s="53"/>
    </row>
    <row r="262" spans="3:14" ht="12.5" x14ac:dyDescent="0.25">
      <c r="C262" s="53"/>
      <c r="N262" s="53"/>
    </row>
    <row r="263" spans="3:14" ht="12.5" x14ac:dyDescent="0.25">
      <c r="C263" s="53"/>
      <c r="N263" s="53"/>
    </row>
    <row r="264" spans="3:14" ht="12.5" x14ac:dyDescent="0.25">
      <c r="C264" s="53"/>
      <c r="N264" s="53"/>
    </row>
    <row r="265" spans="3:14" ht="12.5" x14ac:dyDescent="0.25">
      <c r="C265" s="53"/>
      <c r="N265" s="53"/>
    </row>
    <row r="266" spans="3:14" ht="12.5" x14ac:dyDescent="0.25">
      <c r="C266" s="53"/>
      <c r="N266" s="53"/>
    </row>
    <row r="267" spans="3:14" ht="12.5" x14ac:dyDescent="0.25">
      <c r="C267" s="53"/>
      <c r="N267" s="53"/>
    </row>
    <row r="268" spans="3:14" ht="12.5" x14ac:dyDescent="0.25">
      <c r="C268" s="53"/>
      <c r="N268" s="53"/>
    </row>
    <row r="269" spans="3:14" ht="12.5" x14ac:dyDescent="0.25">
      <c r="C269" s="53"/>
      <c r="N269" s="53"/>
    </row>
    <row r="270" spans="3:14" ht="12.5" x14ac:dyDescent="0.25">
      <c r="C270" s="53"/>
      <c r="N270" s="53"/>
    </row>
    <row r="271" spans="3:14" ht="12.5" x14ac:dyDescent="0.25">
      <c r="C271" s="53"/>
      <c r="N271" s="53"/>
    </row>
    <row r="272" spans="3:14" ht="12.5" x14ac:dyDescent="0.25">
      <c r="C272" s="53"/>
      <c r="N272" s="53"/>
    </row>
    <row r="273" spans="3:14" ht="12.5" x14ac:dyDescent="0.25">
      <c r="C273" s="53"/>
      <c r="N273" s="53"/>
    </row>
    <row r="274" spans="3:14" ht="12.5" x14ac:dyDescent="0.25">
      <c r="C274" s="53"/>
      <c r="N274" s="53"/>
    </row>
    <row r="275" spans="3:14" ht="12.5" x14ac:dyDescent="0.25">
      <c r="C275" s="53"/>
      <c r="N275" s="53"/>
    </row>
    <row r="276" spans="3:14" ht="12.5" x14ac:dyDescent="0.25">
      <c r="C276" s="53"/>
      <c r="N276" s="53"/>
    </row>
    <row r="277" spans="3:14" ht="12.5" x14ac:dyDescent="0.25">
      <c r="C277" s="53"/>
      <c r="N277" s="53"/>
    </row>
    <row r="278" spans="3:14" ht="12.5" x14ac:dyDescent="0.25">
      <c r="C278" s="53"/>
      <c r="N278" s="53"/>
    </row>
    <row r="279" spans="3:14" ht="12.5" x14ac:dyDescent="0.25">
      <c r="C279" s="53"/>
      <c r="N279" s="53"/>
    </row>
    <row r="280" spans="3:14" ht="12.5" x14ac:dyDescent="0.25">
      <c r="C280" s="53"/>
      <c r="N280" s="53"/>
    </row>
    <row r="281" spans="3:14" ht="12.5" x14ac:dyDescent="0.25">
      <c r="C281" s="53"/>
      <c r="N281" s="53"/>
    </row>
    <row r="282" spans="3:14" ht="12.5" x14ac:dyDescent="0.25">
      <c r="C282" s="53"/>
      <c r="N282" s="53"/>
    </row>
    <row r="283" spans="3:14" ht="12.5" x14ac:dyDescent="0.25">
      <c r="C283" s="53"/>
      <c r="N283" s="53"/>
    </row>
    <row r="284" spans="3:14" ht="12.5" x14ac:dyDescent="0.25">
      <c r="C284" s="53"/>
      <c r="N284" s="53"/>
    </row>
    <row r="285" spans="3:14" ht="12.5" x14ac:dyDescent="0.25">
      <c r="C285" s="53"/>
      <c r="N285" s="53"/>
    </row>
    <row r="286" spans="3:14" ht="12.5" x14ac:dyDescent="0.25">
      <c r="C286" s="53"/>
      <c r="N286" s="53"/>
    </row>
    <row r="287" spans="3:14" ht="12.5" x14ac:dyDescent="0.25">
      <c r="C287" s="53"/>
      <c r="N287" s="53"/>
    </row>
    <row r="288" spans="3:14" ht="12.5" x14ac:dyDescent="0.25">
      <c r="C288" s="53"/>
      <c r="N288" s="53"/>
    </row>
    <row r="289" spans="3:14" ht="12.5" x14ac:dyDescent="0.25">
      <c r="C289" s="53"/>
      <c r="N289" s="53"/>
    </row>
    <row r="290" spans="3:14" ht="12.5" x14ac:dyDescent="0.25">
      <c r="C290" s="53"/>
      <c r="N290" s="53"/>
    </row>
    <row r="291" spans="3:14" ht="12.5" x14ac:dyDescent="0.25">
      <c r="C291" s="53"/>
      <c r="N291" s="53"/>
    </row>
    <row r="292" spans="3:14" ht="12.5" x14ac:dyDescent="0.25">
      <c r="C292" s="53"/>
      <c r="N292" s="53"/>
    </row>
    <row r="293" spans="3:14" ht="12.5" x14ac:dyDescent="0.25">
      <c r="C293" s="53"/>
      <c r="N293" s="53"/>
    </row>
    <row r="294" spans="3:14" ht="12.5" x14ac:dyDescent="0.25">
      <c r="C294" s="53"/>
      <c r="N294" s="53"/>
    </row>
    <row r="295" spans="3:14" ht="12.5" x14ac:dyDescent="0.25">
      <c r="C295" s="53"/>
      <c r="N295" s="53"/>
    </row>
    <row r="296" spans="3:14" ht="12.5" x14ac:dyDescent="0.25">
      <c r="C296" s="53"/>
      <c r="N296" s="53"/>
    </row>
    <row r="297" spans="3:14" ht="12.5" x14ac:dyDescent="0.25">
      <c r="C297" s="53"/>
      <c r="N297" s="53"/>
    </row>
    <row r="298" spans="3:14" ht="12.5" x14ac:dyDescent="0.25">
      <c r="C298" s="53"/>
      <c r="N298" s="53"/>
    </row>
    <row r="299" spans="3:14" ht="12.5" x14ac:dyDescent="0.25">
      <c r="C299" s="53"/>
      <c r="N299" s="53"/>
    </row>
    <row r="300" spans="3:14" ht="12.5" x14ac:dyDescent="0.25">
      <c r="C300" s="53"/>
      <c r="N300" s="53"/>
    </row>
    <row r="301" spans="3:14" ht="12.5" x14ac:dyDescent="0.25">
      <c r="C301" s="53"/>
      <c r="N301" s="53"/>
    </row>
    <row r="302" spans="3:14" ht="12.5" x14ac:dyDescent="0.25">
      <c r="C302" s="53"/>
      <c r="N302" s="53"/>
    </row>
    <row r="303" spans="3:14" ht="12.5" x14ac:dyDescent="0.25">
      <c r="C303" s="53"/>
      <c r="N303" s="53"/>
    </row>
    <row r="304" spans="3:14" ht="12.5" x14ac:dyDescent="0.25">
      <c r="C304" s="53"/>
      <c r="N304" s="53"/>
    </row>
    <row r="305" spans="3:14" ht="12.5" x14ac:dyDescent="0.25">
      <c r="C305" s="53"/>
      <c r="N305" s="53"/>
    </row>
    <row r="306" spans="3:14" ht="12.5" x14ac:dyDescent="0.25">
      <c r="C306" s="53"/>
      <c r="N306" s="53"/>
    </row>
    <row r="307" spans="3:14" ht="12.5" x14ac:dyDescent="0.25">
      <c r="C307" s="53"/>
      <c r="N307" s="53"/>
    </row>
    <row r="308" spans="3:14" ht="12.5" x14ac:dyDescent="0.25">
      <c r="C308" s="53"/>
      <c r="N308" s="53"/>
    </row>
    <row r="309" spans="3:14" ht="12.5" x14ac:dyDescent="0.25">
      <c r="C309" s="53"/>
      <c r="N309" s="53"/>
    </row>
    <row r="310" spans="3:14" ht="12.5" x14ac:dyDescent="0.25">
      <c r="C310" s="53"/>
      <c r="N310" s="53"/>
    </row>
    <row r="311" spans="3:14" ht="12.5" x14ac:dyDescent="0.25">
      <c r="C311" s="53"/>
      <c r="N311" s="53"/>
    </row>
    <row r="312" spans="3:14" ht="12.5" x14ac:dyDescent="0.25">
      <c r="C312" s="53"/>
      <c r="N312" s="53"/>
    </row>
    <row r="313" spans="3:14" ht="12.5" x14ac:dyDescent="0.25">
      <c r="C313" s="53"/>
      <c r="N313" s="53"/>
    </row>
    <row r="314" spans="3:14" ht="12.5" x14ac:dyDescent="0.25">
      <c r="C314" s="53"/>
      <c r="N314" s="53"/>
    </row>
    <row r="315" spans="3:14" ht="12.5" x14ac:dyDescent="0.25">
      <c r="C315" s="53"/>
      <c r="N315" s="53"/>
    </row>
    <row r="316" spans="3:14" ht="12.5" x14ac:dyDescent="0.25">
      <c r="C316" s="53"/>
      <c r="N316" s="53"/>
    </row>
    <row r="317" spans="3:14" ht="12.5" x14ac:dyDescent="0.25">
      <c r="C317" s="53"/>
      <c r="N317" s="53"/>
    </row>
    <row r="318" spans="3:14" ht="12.5" x14ac:dyDescent="0.25">
      <c r="C318" s="53"/>
      <c r="N318" s="53"/>
    </row>
    <row r="319" spans="3:14" ht="12.5" x14ac:dyDescent="0.25">
      <c r="C319" s="53"/>
      <c r="N319" s="53"/>
    </row>
    <row r="320" spans="3:14" ht="12.5" x14ac:dyDescent="0.25">
      <c r="C320" s="53"/>
      <c r="N320" s="53"/>
    </row>
    <row r="321" spans="3:14" ht="12.5" x14ac:dyDescent="0.25">
      <c r="C321" s="53"/>
      <c r="N321" s="53"/>
    </row>
    <row r="322" spans="3:14" ht="12.5" x14ac:dyDescent="0.25">
      <c r="C322" s="53"/>
      <c r="N322" s="53"/>
    </row>
    <row r="323" spans="3:14" ht="12.5" x14ac:dyDescent="0.25">
      <c r="C323" s="53"/>
      <c r="N323" s="53"/>
    </row>
    <row r="324" spans="3:14" ht="12.5" x14ac:dyDescent="0.25">
      <c r="C324" s="53"/>
      <c r="N324" s="53"/>
    </row>
    <row r="325" spans="3:14" ht="12.5" x14ac:dyDescent="0.25">
      <c r="C325" s="53"/>
      <c r="N325" s="53"/>
    </row>
    <row r="326" spans="3:14" ht="12.5" x14ac:dyDescent="0.25">
      <c r="C326" s="53"/>
      <c r="N326" s="53"/>
    </row>
    <row r="327" spans="3:14" ht="12.5" x14ac:dyDescent="0.25">
      <c r="C327" s="53"/>
      <c r="N327" s="53"/>
    </row>
    <row r="328" spans="3:14" ht="12.5" x14ac:dyDescent="0.25">
      <c r="C328" s="53"/>
      <c r="N328" s="53"/>
    </row>
    <row r="329" spans="3:14" ht="12.5" x14ac:dyDescent="0.25">
      <c r="C329" s="53"/>
      <c r="N329" s="53"/>
    </row>
    <row r="330" spans="3:14" ht="12.5" x14ac:dyDescent="0.25">
      <c r="C330" s="53"/>
      <c r="N330" s="53"/>
    </row>
    <row r="331" spans="3:14" ht="12.5" x14ac:dyDescent="0.25">
      <c r="C331" s="53"/>
      <c r="N331" s="53"/>
    </row>
    <row r="332" spans="3:14" ht="12.5" x14ac:dyDescent="0.25">
      <c r="C332" s="53"/>
      <c r="N332" s="53"/>
    </row>
    <row r="333" spans="3:14" ht="12.5" x14ac:dyDescent="0.25">
      <c r="C333" s="53"/>
      <c r="N333" s="53"/>
    </row>
    <row r="334" spans="3:14" ht="12.5" x14ac:dyDescent="0.25">
      <c r="C334" s="53"/>
      <c r="N334" s="53"/>
    </row>
    <row r="335" spans="3:14" ht="12.5" x14ac:dyDescent="0.25">
      <c r="C335" s="53"/>
      <c r="N335" s="53"/>
    </row>
    <row r="336" spans="3:14" ht="12.5" x14ac:dyDescent="0.25">
      <c r="C336" s="53"/>
      <c r="N336" s="53"/>
    </row>
    <row r="337" spans="3:14" ht="12.5" x14ac:dyDescent="0.25">
      <c r="C337" s="53"/>
      <c r="N337" s="53"/>
    </row>
    <row r="338" spans="3:14" ht="12.5" x14ac:dyDescent="0.25">
      <c r="C338" s="53"/>
      <c r="N338" s="53"/>
    </row>
    <row r="339" spans="3:14" ht="12.5" x14ac:dyDescent="0.25">
      <c r="C339" s="53"/>
      <c r="N339" s="53"/>
    </row>
    <row r="340" spans="3:14" ht="12.5" x14ac:dyDescent="0.25">
      <c r="C340" s="53"/>
      <c r="N340" s="53"/>
    </row>
    <row r="341" spans="3:14" ht="12.5" x14ac:dyDescent="0.25">
      <c r="C341" s="53"/>
      <c r="N341" s="53"/>
    </row>
    <row r="342" spans="3:14" ht="12.5" x14ac:dyDescent="0.25">
      <c r="C342" s="53"/>
      <c r="N342" s="53"/>
    </row>
    <row r="343" spans="3:14" ht="12.5" x14ac:dyDescent="0.25">
      <c r="C343" s="53"/>
      <c r="N343" s="53"/>
    </row>
    <row r="344" spans="3:14" ht="12.5" x14ac:dyDescent="0.25">
      <c r="C344" s="53"/>
      <c r="N344" s="53"/>
    </row>
    <row r="345" spans="3:14" ht="12.5" x14ac:dyDescent="0.25">
      <c r="C345" s="53"/>
      <c r="N345" s="53"/>
    </row>
    <row r="346" spans="3:14" ht="12.5" x14ac:dyDescent="0.25">
      <c r="C346" s="53"/>
      <c r="N346" s="53"/>
    </row>
    <row r="347" spans="3:14" ht="12.5" x14ac:dyDescent="0.25">
      <c r="C347" s="53"/>
      <c r="N347" s="53"/>
    </row>
    <row r="348" spans="3:14" ht="12.5" x14ac:dyDescent="0.25">
      <c r="C348" s="53"/>
      <c r="N348" s="53"/>
    </row>
    <row r="349" spans="3:14" ht="12.5" x14ac:dyDescent="0.25">
      <c r="C349" s="53"/>
      <c r="N349" s="53"/>
    </row>
    <row r="350" spans="3:14" ht="12.5" x14ac:dyDescent="0.25">
      <c r="C350" s="53"/>
      <c r="N350" s="53"/>
    </row>
    <row r="351" spans="3:14" ht="12.5" x14ac:dyDescent="0.25">
      <c r="C351" s="53"/>
      <c r="N351" s="53"/>
    </row>
    <row r="352" spans="3:14" ht="12.5" x14ac:dyDescent="0.25">
      <c r="C352" s="53"/>
      <c r="N352" s="53"/>
    </row>
    <row r="353" spans="3:14" ht="12.5" x14ac:dyDescent="0.25">
      <c r="C353" s="53"/>
      <c r="N353" s="53"/>
    </row>
    <row r="354" spans="3:14" ht="12.5" x14ac:dyDescent="0.25">
      <c r="C354" s="53"/>
      <c r="N354" s="53"/>
    </row>
    <row r="355" spans="3:14" ht="12.5" x14ac:dyDescent="0.25">
      <c r="C355" s="53"/>
      <c r="N355" s="53"/>
    </row>
    <row r="356" spans="3:14" ht="12.5" x14ac:dyDescent="0.25">
      <c r="C356" s="53"/>
      <c r="N356" s="53"/>
    </row>
    <row r="357" spans="3:14" ht="12.5" x14ac:dyDescent="0.25">
      <c r="C357" s="53"/>
      <c r="N357" s="53"/>
    </row>
    <row r="358" spans="3:14" ht="12.5" x14ac:dyDescent="0.25">
      <c r="C358" s="53"/>
      <c r="N358" s="53"/>
    </row>
    <row r="359" spans="3:14" ht="12.5" x14ac:dyDescent="0.25">
      <c r="C359" s="53"/>
      <c r="N359" s="53"/>
    </row>
    <row r="360" spans="3:14" ht="12.5" x14ac:dyDescent="0.25">
      <c r="C360" s="53"/>
      <c r="N360" s="53"/>
    </row>
    <row r="361" spans="3:14" ht="12.5" x14ac:dyDescent="0.25">
      <c r="C361" s="53"/>
      <c r="N361" s="53"/>
    </row>
    <row r="362" spans="3:14" ht="12.5" x14ac:dyDescent="0.25">
      <c r="C362" s="53"/>
      <c r="N362" s="53"/>
    </row>
    <row r="363" spans="3:14" ht="12.5" x14ac:dyDescent="0.25">
      <c r="C363" s="53"/>
      <c r="N363" s="53"/>
    </row>
    <row r="364" spans="3:14" ht="12.5" x14ac:dyDescent="0.25">
      <c r="C364" s="53"/>
      <c r="N364" s="53"/>
    </row>
    <row r="365" spans="3:14" ht="12.5" x14ac:dyDescent="0.25">
      <c r="C365" s="53"/>
      <c r="N365" s="53"/>
    </row>
    <row r="366" spans="3:14" ht="12.5" x14ac:dyDescent="0.25">
      <c r="C366" s="53"/>
      <c r="N366" s="53"/>
    </row>
    <row r="367" spans="3:14" ht="12.5" x14ac:dyDescent="0.25">
      <c r="C367" s="53"/>
      <c r="N367" s="53"/>
    </row>
    <row r="368" spans="3:14" ht="12.5" x14ac:dyDescent="0.25">
      <c r="C368" s="53"/>
      <c r="N368" s="53"/>
    </row>
    <row r="369" spans="3:14" ht="12.5" x14ac:dyDescent="0.25">
      <c r="C369" s="53"/>
      <c r="N369" s="53"/>
    </row>
    <row r="370" spans="3:14" ht="12.5" x14ac:dyDescent="0.25">
      <c r="C370" s="53"/>
      <c r="N370" s="53"/>
    </row>
    <row r="371" spans="3:14" ht="12.5" x14ac:dyDescent="0.25">
      <c r="C371" s="53"/>
      <c r="N371" s="53"/>
    </row>
    <row r="372" spans="3:14" ht="12.5" x14ac:dyDescent="0.25">
      <c r="C372" s="53"/>
      <c r="N372" s="53"/>
    </row>
    <row r="373" spans="3:14" ht="12.5" x14ac:dyDescent="0.25">
      <c r="C373" s="53"/>
      <c r="N373" s="53"/>
    </row>
    <row r="374" spans="3:14" ht="12.5" x14ac:dyDescent="0.25">
      <c r="C374" s="53"/>
      <c r="N374" s="53"/>
    </row>
    <row r="375" spans="3:14" ht="12.5" x14ac:dyDescent="0.25">
      <c r="C375" s="53"/>
      <c r="N375" s="53"/>
    </row>
    <row r="376" spans="3:14" ht="12.5" x14ac:dyDescent="0.25">
      <c r="C376" s="53"/>
      <c r="N376" s="53"/>
    </row>
    <row r="377" spans="3:14" ht="12.5" x14ac:dyDescent="0.25">
      <c r="C377" s="53"/>
      <c r="N377" s="53"/>
    </row>
    <row r="378" spans="3:14" ht="12.5" x14ac:dyDescent="0.25">
      <c r="C378" s="53"/>
      <c r="N378" s="53"/>
    </row>
    <row r="379" spans="3:14" ht="12.5" x14ac:dyDescent="0.25">
      <c r="C379" s="53"/>
      <c r="N379" s="53"/>
    </row>
    <row r="380" spans="3:14" ht="12.5" x14ac:dyDescent="0.25">
      <c r="C380" s="53"/>
      <c r="N380" s="53"/>
    </row>
    <row r="381" spans="3:14" ht="12.5" x14ac:dyDescent="0.25">
      <c r="C381" s="53"/>
      <c r="N381" s="53"/>
    </row>
    <row r="382" spans="3:14" ht="12.5" x14ac:dyDescent="0.25">
      <c r="C382" s="53"/>
      <c r="N382" s="53"/>
    </row>
    <row r="383" spans="3:14" ht="12.5" x14ac:dyDescent="0.25">
      <c r="C383" s="53"/>
      <c r="N383" s="53"/>
    </row>
    <row r="384" spans="3:14" ht="12.5" x14ac:dyDescent="0.25">
      <c r="C384" s="53"/>
      <c r="N384" s="53"/>
    </row>
    <row r="385" spans="3:14" ht="12.5" x14ac:dyDescent="0.25">
      <c r="C385" s="53"/>
      <c r="N385" s="53"/>
    </row>
    <row r="386" spans="3:14" ht="12.5" x14ac:dyDescent="0.25">
      <c r="C386" s="53"/>
      <c r="N386" s="53"/>
    </row>
    <row r="387" spans="3:14" ht="12.5" x14ac:dyDescent="0.25">
      <c r="C387" s="53"/>
      <c r="N387" s="53"/>
    </row>
    <row r="388" spans="3:14" ht="12.5" x14ac:dyDescent="0.25">
      <c r="C388" s="53"/>
      <c r="N388" s="53"/>
    </row>
    <row r="389" spans="3:14" ht="12.5" x14ac:dyDescent="0.25">
      <c r="C389" s="53"/>
      <c r="N389" s="53"/>
    </row>
    <row r="390" spans="3:14" ht="12.5" x14ac:dyDescent="0.25">
      <c r="C390" s="53"/>
      <c r="N390" s="53"/>
    </row>
    <row r="391" spans="3:14" ht="12.5" x14ac:dyDescent="0.25">
      <c r="C391" s="53"/>
      <c r="N391" s="53"/>
    </row>
    <row r="392" spans="3:14" ht="12.5" x14ac:dyDescent="0.25">
      <c r="C392" s="53"/>
      <c r="N392" s="53"/>
    </row>
    <row r="393" spans="3:14" ht="12.5" x14ac:dyDescent="0.25">
      <c r="C393" s="53"/>
      <c r="N393" s="53"/>
    </row>
    <row r="394" spans="3:14" ht="12.5" x14ac:dyDescent="0.25">
      <c r="C394" s="53"/>
      <c r="N394" s="53"/>
    </row>
    <row r="395" spans="3:14" ht="12.5" x14ac:dyDescent="0.25">
      <c r="C395" s="53"/>
      <c r="N395" s="53"/>
    </row>
    <row r="396" spans="3:14" ht="12.5" x14ac:dyDescent="0.25">
      <c r="C396" s="53"/>
      <c r="N396" s="53"/>
    </row>
    <row r="397" spans="3:14" ht="12.5" x14ac:dyDescent="0.25">
      <c r="C397" s="53"/>
      <c r="N397" s="53"/>
    </row>
    <row r="398" spans="3:14" ht="12.5" x14ac:dyDescent="0.25">
      <c r="C398" s="53"/>
      <c r="N398" s="53"/>
    </row>
    <row r="399" spans="3:14" ht="12.5" x14ac:dyDescent="0.25">
      <c r="C399" s="53"/>
      <c r="N399" s="53"/>
    </row>
    <row r="400" spans="3:14" ht="12.5" x14ac:dyDescent="0.25">
      <c r="C400" s="53"/>
      <c r="N400" s="53"/>
    </row>
    <row r="401" spans="3:14" ht="12.5" x14ac:dyDescent="0.25">
      <c r="C401" s="53"/>
      <c r="N401" s="53"/>
    </row>
    <row r="402" spans="3:14" ht="12.5" x14ac:dyDescent="0.25">
      <c r="C402" s="53"/>
      <c r="N402" s="53"/>
    </row>
    <row r="403" spans="3:14" ht="12.5" x14ac:dyDescent="0.25">
      <c r="C403" s="53"/>
      <c r="N403" s="53"/>
    </row>
    <row r="404" spans="3:14" ht="12.5" x14ac:dyDescent="0.25">
      <c r="C404" s="53"/>
      <c r="N404" s="53"/>
    </row>
    <row r="405" spans="3:14" ht="12.5" x14ac:dyDescent="0.25">
      <c r="C405" s="53"/>
      <c r="N405" s="53"/>
    </row>
    <row r="406" spans="3:14" ht="12.5" x14ac:dyDescent="0.25">
      <c r="C406" s="53"/>
      <c r="N406" s="53"/>
    </row>
    <row r="407" spans="3:14" ht="12.5" x14ac:dyDescent="0.25">
      <c r="C407" s="53"/>
      <c r="N407" s="53"/>
    </row>
    <row r="408" spans="3:14" ht="12.5" x14ac:dyDescent="0.25">
      <c r="C408" s="53"/>
      <c r="N408" s="53"/>
    </row>
    <row r="409" spans="3:14" ht="12.5" x14ac:dyDescent="0.25">
      <c r="C409" s="53"/>
      <c r="N409" s="53"/>
    </row>
    <row r="410" spans="3:14" ht="12.5" x14ac:dyDescent="0.25">
      <c r="C410" s="53"/>
      <c r="N410" s="53"/>
    </row>
    <row r="411" spans="3:14" ht="12.5" x14ac:dyDescent="0.25">
      <c r="C411" s="53"/>
      <c r="N411" s="53"/>
    </row>
    <row r="412" spans="3:14" ht="12.5" x14ac:dyDescent="0.25">
      <c r="C412" s="53"/>
      <c r="N412" s="53"/>
    </row>
    <row r="413" spans="3:14" ht="12.5" x14ac:dyDescent="0.25">
      <c r="C413" s="53"/>
      <c r="N413" s="53"/>
    </row>
    <row r="414" spans="3:14" ht="12.5" x14ac:dyDescent="0.25">
      <c r="C414" s="53"/>
      <c r="N414" s="53"/>
    </row>
    <row r="415" spans="3:14" ht="12.5" x14ac:dyDescent="0.25">
      <c r="C415" s="53"/>
      <c r="N415" s="53"/>
    </row>
    <row r="416" spans="3:14" ht="12.5" x14ac:dyDescent="0.25">
      <c r="C416" s="53"/>
      <c r="N416" s="53"/>
    </row>
    <row r="417" spans="3:14" ht="12.5" x14ac:dyDescent="0.25">
      <c r="C417" s="53"/>
      <c r="N417" s="53"/>
    </row>
    <row r="418" spans="3:14" ht="12.5" x14ac:dyDescent="0.25">
      <c r="C418" s="53"/>
      <c r="N418" s="53"/>
    </row>
    <row r="419" spans="3:14" ht="12.5" x14ac:dyDescent="0.25">
      <c r="C419" s="53"/>
      <c r="N419" s="53"/>
    </row>
    <row r="420" spans="3:14" ht="12.5" x14ac:dyDescent="0.25">
      <c r="C420" s="53"/>
      <c r="N420" s="53"/>
    </row>
    <row r="421" spans="3:14" ht="12.5" x14ac:dyDescent="0.25">
      <c r="C421" s="53"/>
      <c r="N421" s="53"/>
    </row>
    <row r="422" spans="3:14" ht="12.5" x14ac:dyDescent="0.25">
      <c r="C422" s="53"/>
      <c r="N422" s="53"/>
    </row>
    <row r="423" spans="3:14" ht="12.5" x14ac:dyDescent="0.25">
      <c r="C423" s="53"/>
      <c r="N423" s="53"/>
    </row>
    <row r="424" spans="3:14" ht="12.5" x14ac:dyDescent="0.25">
      <c r="C424" s="53"/>
      <c r="N424" s="53"/>
    </row>
    <row r="425" spans="3:14" ht="12.5" x14ac:dyDescent="0.25">
      <c r="C425" s="53"/>
      <c r="N425" s="53"/>
    </row>
    <row r="426" spans="3:14" ht="12.5" x14ac:dyDescent="0.25">
      <c r="C426" s="53"/>
      <c r="N426" s="53"/>
    </row>
    <row r="427" spans="3:14" ht="12.5" x14ac:dyDescent="0.25">
      <c r="C427" s="53"/>
      <c r="N427" s="53"/>
    </row>
    <row r="428" spans="3:14" ht="12.5" x14ac:dyDescent="0.25">
      <c r="C428" s="53"/>
      <c r="N428" s="53"/>
    </row>
    <row r="429" spans="3:14" ht="12.5" x14ac:dyDescent="0.25">
      <c r="C429" s="53"/>
      <c r="N429" s="53"/>
    </row>
    <row r="430" spans="3:14" ht="12.5" x14ac:dyDescent="0.25">
      <c r="C430" s="53"/>
      <c r="N430" s="53"/>
    </row>
    <row r="431" spans="3:14" ht="12.5" x14ac:dyDescent="0.25">
      <c r="C431" s="53"/>
      <c r="N431" s="53"/>
    </row>
    <row r="432" spans="3:14" ht="12.5" x14ac:dyDescent="0.25">
      <c r="C432" s="53"/>
      <c r="N432" s="53"/>
    </row>
    <row r="433" spans="3:14" ht="12.5" x14ac:dyDescent="0.25">
      <c r="C433" s="53"/>
      <c r="N433" s="53"/>
    </row>
    <row r="434" spans="3:14" ht="12.5" x14ac:dyDescent="0.25">
      <c r="C434" s="53"/>
      <c r="N434" s="53"/>
    </row>
    <row r="435" spans="3:14" ht="12.5" x14ac:dyDescent="0.25">
      <c r="C435" s="53"/>
      <c r="N435" s="53"/>
    </row>
    <row r="436" spans="3:14" ht="12.5" x14ac:dyDescent="0.25">
      <c r="C436" s="53"/>
      <c r="N436" s="53"/>
    </row>
    <row r="437" spans="3:14" ht="12.5" x14ac:dyDescent="0.25">
      <c r="C437" s="53"/>
      <c r="N437" s="53"/>
    </row>
    <row r="438" spans="3:14" ht="12.5" x14ac:dyDescent="0.25">
      <c r="C438" s="53"/>
      <c r="N438" s="53"/>
    </row>
    <row r="439" spans="3:14" ht="12.5" x14ac:dyDescent="0.25">
      <c r="C439" s="53"/>
      <c r="N439" s="53"/>
    </row>
    <row r="440" spans="3:14" ht="12.5" x14ac:dyDescent="0.25">
      <c r="C440" s="53"/>
      <c r="N440" s="53"/>
    </row>
    <row r="441" spans="3:14" ht="12.5" x14ac:dyDescent="0.25">
      <c r="C441" s="53"/>
      <c r="N441" s="53"/>
    </row>
    <row r="442" spans="3:14" ht="12.5" x14ac:dyDescent="0.25">
      <c r="C442" s="53"/>
      <c r="N442" s="53"/>
    </row>
    <row r="443" spans="3:14" ht="12.5" x14ac:dyDescent="0.25">
      <c r="C443" s="53"/>
      <c r="N443" s="53"/>
    </row>
    <row r="444" spans="3:14" ht="12.5" x14ac:dyDescent="0.25">
      <c r="C444" s="53"/>
      <c r="N444" s="53"/>
    </row>
    <row r="445" spans="3:14" ht="12.5" x14ac:dyDescent="0.25">
      <c r="C445" s="53"/>
      <c r="N445" s="53"/>
    </row>
    <row r="446" spans="3:14" ht="12.5" x14ac:dyDescent="0.25">
      <c r="C446" s="53"/>
      <c r="N446" s="53"/>
    </row>
    <row r="447" spans="3:14" ht="12.5" x14ac:dyDescent="0.25">
      <c r="C447" s="53"/>
      <c r="N447" s="53"/>
    </row>
    <row r="448" spans="3:14" ht="12.5" x14ac:dyDescent="0.25">
      <c r="C448" s="53"/>
      <c r="N448" s="53"/>
    </row>
    <row r="449" spans="3:14" ht="12.5" x14ac:dyDescent="0.25">
      <c r="C449" s="53"/>
      <c r="N449" s="53"/>
    </row>
    <row r="450" spans="3:14" ht="12.5" x14ac:dyDescent="0.25">
      <c r="C450" s="53"/>
      <c r="N450" s="53"/>
    </row>
    <row r="451" spans="3:14" ht="12.5" x14ac:dyDescent="0.25">
      <c r="C451" s="53"/>
      <c r="N451" s="53"/>
    </row>
    <row r="452" spans="3:14" ht="12.5" x14ac:dyDescent="0.25">
      <c r="C452" s="53"/>
      <c r="N452" s="53"/>
    </row>
    <row r="453" spans="3:14" ht="12.5" x14ac:dyDescent="0.25">
      <c r="C453" s="53"/>
      <c r="N453" s="53"/>
    </row>
    <row r="454" spans="3:14" ht="12.5" x14ac:dyDescent="0.25">
      <c r="C454" s="53"/>
      <c r="N454" s="53"/>
    </row>
    <row r="455" spans="3:14" ht="12.5" x14ac:dyDescent="0.25">
      <c r="C455" s="53"/>
      <c r="N455" s="53"/>
    </row>
    <row r="456" spans="3:14" ht="12.5" x14ac:dyDescent="0.25">
      <c r="C456" s="53"/>
      <c r="N456" s="53"/>
    </row>
    <row r="457" spans="3:14" ht="12.5" x14ac:dyDescent="0.25">
      <c r="C457" s="53"/>
      <c r="N457" s="53"/>
    </row>
    <row r="458" spans="3:14" ht="12.5" x14ac:dyDescent="0.25">
      <c r="C458" s="53"/>
      <c r="N458" s="53"/>
    </row>
    <row r="459" spans="3:14" ht="12.5" x14ac:dyDescent="0.25">
      <c r="C459" s="53"/>
      <c r="N459" s="53"/>
    </row>
    <row r="460" spans="3:14" ht="12.5" x14ac:dyDescent="0.25">
      <c r="C460" s="53"/>
      <c r="N460" s="53"/>
    </row>
    <row r="461" spans="3:14" ht="12.5" x14ac:dyDescent="0.25">
      <c r="C461" s="53"/>
      <c r="N461" s="53"/>
    </row>
    <row r="462" spans="3:14" ht="12.5" x14ac:dyDescent="0.25">
      <c r="C462" s="53"/>
      <c r="N462" s="53"/>
    </row>
    <row r="463" spans="3:14" ht="12.5" x14ac:dyDescent="0.25">
      <c r="C463" s="53"/>
      <c r="N463" s="53"/>
    </row>
    <row r="464" spans="3:14" ht="12.5" x14ac:dyDescent="0.25">
      <c r="C464" s="53"/>
      <c r="N464" s="53"/>
    </row>
    <row r="465" spans="3:14" ht="12.5" x14ac:dyDescent="0.25">
      <c r="C465" s="53"/>
      <c r="N465" s="53"/>
    </row>
    <row r="466" spans="3:14" ht="12.5" x14ac:dyDescent="0.25">
      <c r="C466" s="53"/>
      <c r="N466" s="53"/>
    </row>
    <row r="467" spans="3:14" ht="12.5" x14ac:dyDescent="0.25">
      <c r="C467" s="53"/>
      <c r="N467" s="53"/>
    </row>
    <row r="468" spans="3:14" ht="12.5" x14ac:dyDescent="0.25">
      <c r="C468" s="53"/>
      <c r="N468" s="53"/>
    </row>
    <row r="469" spans="3:14" ht="12.5" x14ac:dyDescent="0.25">
      <c r="C469" s="53"/>
      <c r="N469" s="53"/>
    </row>
    <row r="470" spans="3:14" ht="12.5" x14ac:dyDescent="0.25">
      <c r="C470" s="53"/>
      <c r="N470" s="53"/>
    </row>
    <row r="471" spans="3:14" ht="12.5" x14ac:dyDescent="0.25">
      <c r="C471" s="53"/>
      <c r="N471" s="53"/>
    </row>
    <row r="472" spans="3:14" ht="12.5" x14ac:dyDescent="0.25">
      <c r="C472" s="53"/>
      <c r="N472" s="53"/>
    </row>
    <row r="473" spans="3:14" ht="12.5" x14ac:dyDescent="0.25">
      <c r="C473" s="53"/>
      <c r="N473" s="53"/>
    </row>
    <row r="474" spans="3:14" ht="12.5" x14ac:dyDescent="0.25">
      <c r="C474" s="53"/>
      <c r="N474" s="53"/>
    </row>
    <row r="475" spans="3:14" ht="12.5" x14ac:dyDescent="0.25">
      <c r="C475" s="53"/>
      <c r="N475" s="53"/>
    </row>
    <row r="476" spans="3:14" ht="12.5" x14ac:dyDescent="0.25">
      <c r="C476" s="53"/>
      <c r="N476" s="53"/>
    </row>
    <row r="477" spans="3:14" ht="12.5" x14ac:dyDescent="0.25">
      <c r="C477" s="53"/>
      <c r="N477" s="53"/>
    </row>
    <row r="478" spans="3:14" ht="12.5" x14ac:dyDescent="0.25">
      <c r="C478" s="53"/>
      <c r="N478" s="53"/>
    </row>
    <row r="479" spans="3:14" ht="12.5" x14ac:dyDescent="0.25">
      <c r="C479" s="53"/>
      <c r="N479" s="53"/>
    </row>
    <row r="480" spans="3:14" ht="12.5" x14ac:dyDescent="0.25">
      <c r="C480" s="53"/>
      <c r="N480" s="53"/>
    </row>
    <row r="481" spans="3:14" ht="12.5" x14ac:dyDescent="0.25">
      <c r="C481" s="53"/>
      <c r="N481" s="53"/>
    </row>
    <row r="482" spans="3:14" ht="12.5" x14ac:dyDescent="0.25">
      <c r="C482" s="53"/>
      <c r="N482" s="53"/>
    </row>
    <row r="483" spans="3:14" ht="12.5" x14ac:dyDescent="0.25">
      <c r="C483" s="53"/>
      <c r="N483" s="53"/>
    </row>
    <row r="484" spans="3:14" ht="12.5" x14ac:dyDescent="0.25">
      <c r="C484" s="53"/>
      <c r="N484" s="53"/>
    </row>
    <row r="485" spans="3:14" ht="12.5" x14ac:dyDescent="0.25">
      <c r="C485" s="53"/>
      <c r="N485" s="53"/>
    </row>
    <row r="486" spans="3:14" ht="12.5" x14ac:dyDescent="0.25">
      <c r="C486" s="53"/>
      <c r="N486" s="53"/>
    </row>
    <row r="487" spans="3:14" ht="12.5" x14ac:dyDescent="0.25">
      <c r="C487" s="53"/>
      <c r="N487" s="53"/>
    </row>
    <row r="488" spans="3:14" ht="12.5" x14ac:dyDescent="0.25">
      <c r="C488" s="53"/>
      <c r="N488" s="53"/>
    </row>
    <row r="489" spans="3:14" ht="12.5" x14ac:dyDescent="0.25">
      <c r="C489" s="53"/>
      <c r="N489" s="53"/>
    </row>
    <row r="490" spans="3:14" ht="12.5" x14ac:dyDescent="0.25">
      <c r="C490" s="53"/>
      <c r="N490" s="53"/>
    </row>
    <row r="491" spans="3:14" ht="12.5" x14ac:dyDescent="0.25">
      <c r="C491" s="53"/>
      <c r="N491" s="53"/>
    </row>
    <row r="492" spans="3:14" ht="12.5" x14ac:dyDescent="0.25">
      <c r="C492" s="53"/>
      <c r="N492" s="53"/>
    </row>
    <row r="493" spans="3:14" ht="12.5" x14ac:dyDescent="0.25">
      <c r="C493" s="53"/>
      <c r="N493" s="53"/>
    </row>
    <row r="494" spans="3:14" ht="12.5" x14ac:dyDescent="0.25">
      <c r="C494" s="53"/>
      <c r="N494" s="53"/>
    </row>
    <row r="495" spans="3:14" ht="12.5" x14ac:dyDescent="0.25">
      <c r="C495" s="53"/>
      <c r="N495" s="53"/>
    </row>
    <row r="496" spans="3:14" ht="12.5" x14ac:dyDescent="0.25">
      <c r="C496" s="53"/>
      <c r="N496" s="53"/>
    </row>
    <row r="497" spans="3:14" ht="12.5" x14ac:dyDescent="0.25">
      <c r="C497" s="53"/>
      <c r="N497" s="53"/>
    </row>
    <row r="498" spans="3:14" ht="12.5" x14ac:dyDescent="0.25">
      <c r="C498" s="53"/>
      <c r="N498" s="53"/>
    </row>
    <row r="499" spans="3:14" ht="12.5" x14ac:dyDescent="0.25">
      <c r="C499" s="53"/>
      <c r="N499" s="53"/>
    </row>
    <row r="500" spans="3:14" ht="12.5" x14ac:dyDescent="0.25">
      <c r="C500" s="53"/>
      <c r="N500" s="53"/>
    </row>
    <row r="501" spans="3:14" ht="12.5" x14ac:dyDescent="0.25">
      <c r="C501" s="53"/>
      <c r="N501" s="53"/>
    </row>
    <row r="502" spans="3:14" ht="12.5" x14ac:dyDescent="0.25">
      <c r="C502" s="53"/>
      <c r="N502" s="53"/>
    </row>
    <row r="503" spans="3:14" ht="12.5" x14ac:dyDescent="0.25">
      <c r="C503" s="53"/>
      <c r="N503" s="53"/>
    </row>
    <row r="504" spans="3:14" ht="12.5" x14ac:dyDescent="0.25">
      <c r="C504" s="53"/>
      <c r="N504" s="53"/>
    </row>
    <row r="505" spans="3:14" ht="12.5" x14ac:dyDescent="0.25">
      <c r="C505" s="53"/>
      <c r="N505" s="53"/>
    </row>
    <row r="506" spans="3:14" ht="12.5" x14ac:dyDescent="0.25">
      <c r="C506" s="53"/>
      <c r="N506" s="53"/>
    </row>
    <row r="507" spans="3:14" ht="12.5" x14ac:dyDescent="0.25">
      <c r="C507" s="53"/>
      <c r="N507" s="53"/>
    </row>
    <row r="508" spans="3:14" ht="12.5" x14ac:dyDescent="0.25">
      <c r="C508" s="53"/>
      <c r="N508" s="53"/>
    </row>
    <row r="509" spans="3:14" ht="12.5" x14ac:dyDescent="0.25">
      <c r="C509" s="53"/>
      <c r="N509" s="53"/>
    </row>
    <row r="510" spans="3:14" ht="12.5" x14ac:dyDescent="0.25">
      <c r="C510" s="53"/>
      <c r="N510" s="53"/>
    </row>
    <row r="511" spans="3:14" ht="12.5" x14ac:dyDescent="0.25">
      <c r="C511" s="53"/>
      <c r="N511" s="53"/>
    </row>
    <row r="512" spans="3:14" ht="12.5" x14ac:dyDescent="0.25">
      <c r="C512" s="53"/>
      <c r="N512" s="53"/>
    </row>
    <row r="513" spans="3:14" ht="12.5" x14ac:dyDescent="0.25">
      <c r="C513" s="53"/>
      <c r="N513" s="53"/>
    </row>
    <row r="514" spans="3:14" ht="12.5" x14ac:dyDescent="0.25">
      <c r="C514" s="53"/>
      <c r="N514" s="53"/>
    </row>
    <row r="515" spans="3:14" ht="12.5" x14ac:dyDescent="0.25">
      <c r="C515" s="53"/>
      <c r="N515" s="53"/>
    </row>
    <row r="516" spans="3:14" ht="12.5" x14ac:dyDescent="0.25">
      <c r="C516" s="53"/>
      <c r="N516" s="53"/>
    </row>
    <row r="517" spans="3:14" ht="12.5" x14ac:dyDescent="0.25">
      <c r="C517" s="53"/>
      <c r="N517" s="53"/>
    </row>
    <row r="518" spans="3:14" ht="12.5" x14ac:dyDescent="0.25">
      <c r="C518" s="53"/>
      <c r="N518" s="53"/>
    </row>
    <row r="519" spans="3:14" ht="12.5" x14ac:dyDescent="0.25">
      <c r="C519" s="53"/>
      <c r="N519" s="53"/>
    </row>
    <row r="520" spans="3:14" ht="12.5" x14ac:dyDescent="0.25">
      <c r="C520" s="53"/>
      <c r="N520" s="53"/>
    </row>
    <row r="521" spans="3:14" ht="12.5" x14ac:dyDescent="0.25">
      <c r="C521" s="53"/>
      <c r="N521" s="53"/>
    </row>
    <row r="522" spans="3:14" ht="12.5" x14ac:dyDescent="0.25">
      <c r="C522" s="53"/>
      <c r="N522" s="53"/>
    </row>
    <row r="523" spans="3:14" ht="12.5" x14ac:dyDescent="0.25">
      <c r="C523" s="53"/>
      <c r="N523" s="53"/>
    </row>
    <row r="524" spans="3:14" ht="12.5" x14ac:dyDescent="0.25">
      <c r="C524" s="53"/>
      <c r="N524" s="53"/>
    </row>
    <row r="525" spans="3:14" ht="12.5" x14ac:dyDescent="0.25">
      <c r="C525" s="53"/>
      <c r="N525" s="53"/>
    </row>
    <row r="526" spans="3:14" ht="12.5" x14ac:dyDescent="0.25">
      <c r="C526" s="53"/>
      <c r="N526" s="53"/>
    </row>
    <row r="527" spans="3:14" ht="12.5" x14ac:dyDescent="0.25">
      <c r="C527" s="53"/>
      <c r="N527" s="53"/>
    </row>
    <row r="528" spans="3:14" ht="12.5" x14ac:dyDescent="0.25">
      <c r="C528" s="53"/>
      <c r="N528" s="53"/>
    </row>
    <row r="529" spans="3:14" ht="12.5" x14ac:dyDescent="0.25">
      <c r="C529" s="53"/>
      <c r="N529" s="53"/>
    </row>
    <row r="530" spans="3:14" ht="12.5" x14ac:dyDescent="0.25">
      <c r="C530" s="53"/>
      <c r="N530" s="53"/>
    </row>
    <row r="531" spans="3:14" ht="12.5" x14ac:dyDescent="0.25">
      <c r="C531" s="53"/>
      <c r="N531" s="53"/>
    </row>
    <row r="532" spans="3:14" ht="12.5" x14ac:dyDescent="0.25">
      <c r="C532" s="53"/>
      <c r="N532" s="53"/>
    </row>
    <row r="533" spans="3:14" ht="12.5" x14ac:dyDescent="0.25">
      <c r="C533" s="53"/>
      <c r="N533" s="53"/>
    </row>
    <row r="534" spans="3:14" ht="12.5" x14ac:dyDescent="0.25">
      <c r="C534" s="53"/>
      <c r="N534" s="53"/>
    </row>
    <row r="535" spans="3:14" ht="12.5" x14ac:dyDescent="0.25">
      <c r="C535" s="53"/>
      <c r="N535" s="53"/>
    </row>
    <row r="536" spans="3:14" ht="12.5" x14ac:dyDescent="0.25">
      <c r="C536" s="53"/>
      <c r="N536" s="53"/>
    </row>
    <row r="537" spans="3:14" ht="12.5" x14ac:dyDescent="0.25">
      <c r="C537" s="53"/>
      <c r="N537" s="53"/>
    </row>
    <row r="538" spans="3:14" ht="12.5" x14ac:dyDescent="0.25">
      <c r="C538" s="53"/>
      <c r="N538" s="53"/>
    </row>
    <row r="539" spans="3:14" ht="12.5" x14ac:dyDescent="0.25">
      <c r="C539" s="53"/>
      <c r="N539" s="53"/>
    </row>
    <row r="540" spans="3:14" ht="12.5" x14ac:dyDescent="0.25">
      <c r="C540" s="53"/>
      <c r="N540" s="53"/>
    </row>
    <row r="541" spans="3:14" ht="12.5" x14ac:dyDescent="0.25">
      <c r="C541" s="53"/>
      <c r="N541" s="53"/>
    </row>
    <row r="542" spans="3:14" ht="12.5" x14ac:dyDescent="0.25">
      <c r="C542" s="53"/>
      <c r="N542" s="53"/>
    </row>
    <row r="543" spans="3:14" ht="12.5" x14ac:dyDescent="0.25">
      <c r="C543" s="53"/>
      <c r="N543" s="53"/>
    </row>
    <row r="544" spans="3:14" ht="12.5" x14ac:dyDescent="0.25">
      <c r="C544" s="53"/>
      <c r="N544" s="53"/>
    </row>
    <row r="545" spans="3:14" ht="12.5" x14ac:dyDescent="0.25">
      <c r="C545" s="53"/>
      <c r="N545" s="53"/>
    </row>
    <row r="546" spans="3:14" ht="12.5" x14ac:dyDescent="0.25">
      <c r="C546" s="53"/>
      <c r="N546" s="53"/>
    </row>
    <row r="547" spans="3:14" ht="12.5" x14ac:dyDescent="0.25">
      <c r="C547" s="53"/>
      <c r="N547" s="53"/>
    </row>
    <row r="548" spans="3:14" ht="12.5" x14ac:dyDescent="0.25">
      <c r="C548" s="53"/>
      <c r="N548" s="53"/>
    </row>
    <row r="549" spans="3:14" ht="12.5" x14ac:dyDescent="0.25">
      <c r="C549" s="53"/>
      <c r="N549" s="53"/>
    </row>
    <row r="550" spans="3:14" ht="12.5" x14ac:dyDescent="0.25">
      <c r="C550" s="53"/>
      <c r="N550" s="53"/>
    </row>
    <row r="551" spans="3:14" ht="12.5" x14ac:dyDescent="0.25">
      <c r="C551" s="53"/>
      <c r="N551" s="53"/>
    </row>
    <row r="552" spans="3:14" ht="12.5" x14ac:dyDescent="0.25">
      <c r="C552" s="53"/>
      <c r="N552" s="53"/>
    </row>
    <row r="553" spans="3:14" ht="12.5" x14ac:dyDescent="0.25">
      <c r="C553" s="53"/>
      <c r="N553" s="53"/>
    </row>
    <row r="554" spans="3:14" ht="12.5" x14ac:dyDescent="0.25">
      <c r="C554" s="53"/>
      <c r="N554" s="53"/>
    </row>
    <row r="555" spans="3:14" ht="12.5" x14ac:dyDescent="0.25">
      <c r="C555" s="53"/>
      <c r="N555" s="53"/>
    </row>
    <row r="556" spans="3:14" ht="12.5" x14ac:dyDescent="0.25">
      <c r="C556" s="53"/>
      <c r="N556" s="53"/>
    </row>
    <row r="557" spans="3:14" ht="12.5" x14ac:dyDescent="0.25">
      <c r="C557" s="53"/>
      <c r="N557" s="53"/>
    </row>
    <row r="558" spans="3:14" ht="12.5" x14ac:dyDescent="0.25">
      <c r="C558" s="53"/>
      <c r="N558" s="53"/>
    </row>
    <row r="559" spans="3:14" ht="12.5" x14ac:dyDescent="0.25">
      <c r="C559" s="53"/>
      <c r="N559" s="53"/>
    </row>
    <row r="560" spans="3:14" ht="12.5" x14ac:dyDescent="0.25">
      <c r="C560" s="53"/>
      <c r="N560" s="53"/>
    </row>
    <row r="561" spans="3:14" ht="12.5" x14ac:dyDescent="0.25">
      <c r="C561" s="53"/>
      <c r="N561" s="53"/>
    </row>
    <row r="562" spans="3:14" ht="12.5" x14ac:dyDescent="0.25">
      <c r="C562" s="53"/>
      <c r="N562" s="53"/>
    </row>
    <row r="563" spans="3:14" ht="12.5" x14ac:dyDescent="0.25">
      <c r="C563" s="53"/>
      <c r="N563" s="53"/>
    </row>
    <row r="564" spans="3:14" ht="12.5" x14ac:dyDescent="0.25">
      <c r="C564" s="53"/>
      <c r="N564" s="53"/>
    </row>
    <row r="565" spans="3:14" ht="12.5" x14ac:dyDescent="0.25">
      <c r="C565" s="53"/>
      <c r="N565" s="53"/>
    </row>
    <row r="566" spans="3:14" ht="12.5" x14ac:dyDescent="0.25">
      <c r="C566" s="53"/>
      <c r="N566" s="53"/>
    </row>
    <row r="567" spans="3:14" ht="12.5" x14ac:dyDescent="0.25">
      <c r="C567" s="53"/>
      <c r="N567" s="53"/>
    </row>
    <row r="568" spans="3:14" ht="12.5" x14ac:dyDescent="0.25">
      <c r="C568" s="53"/>
      <c r="N568" s="53"/>
    </row>
    <row r="569" spans="3:14" ht="12.5" x14ac:dyDescent="0.25">
      <c r="C569" s="53"/>
      <c r="N569" s="53"/>
    </row>
    <row r="570" spans="3:14" ht="12.5" x14ac:dyDescent="0.25">
      <c r="C570" s="53"/>
      <c r="N570" s="53"/>
    </row>
    <row r="571" spans="3:14" ht="12.5" x14ac:dyDescent="0.25">
      <c r="C571" s="53"/>
      <c r="N571" s="53"/>
    </row>
    <row r="572" spans="3:14" ht="12.5" x14ac:dyDescent="0.25">
      <c r="C572" s="53"/>
      <c r="N572" s="53"/>
    </row>
    <row r="573" spans="3:14" ht="12.5" x14ac:dyDescent="0.25">
      <c r="C573" s="53"/>
      <c r="N573" s="53"/>
    </row>
    <row r="574" spans="3:14" ht="12.5" x14ac:dyDescent="0.25">
      <c r="C574" s="53"/>
      <c r="N574" s="53"/>
    </row>
    <row r="575" spans="3:14" ht="12.5" x14ac:dyDescent="0.25">
      <c r="C575" s="53"/>
      <c r="N575" s="53"/>
    </row>
    <row r="576" spans="3:14" ht="12.5" x14ac:dyDescent="0.25">
      <c r="C576" s="53"/>
      <c r="N576" s="53"/>
    </row>
    <row r="577" spans="3:14" ht="12.5" x14ac:dyDescent="0.25">
      <c r="C577" s="53"/>
      <c r="N577" s="53"/>
    </row>
    <row r="578" spans="3:14" ht="12.5" x14ac:dyDescent="0.25">
      <c r="C578" s="53"/>
      <c r="N578" s="53"/>
    </row>
    <row r="579" spans="3:14" ht="12.5" x14ac:dyDescent="0.25">
      <c r="C579" s="53"/>
      <c r="N579" s="53"/>
    </row>
    <row r="580" spans="3:14" ht="12.5" x14ac:dyDescent="0.25">
      <c r="C580" s="53"/>
      <c r="N580" s="53"/>
    </row>
    <row r="581" spans="3:14" ht="12.5" x14ac:dyDescent="0.25">
      <c r="C581" s="53"/>
      <c r="N581" s="53"/>
    </row>
    <row r="582" spans="3:14" ht="12.5" x14ac:dyDescent="0.25">
      <c r="C582" s="53"/>
      <c r="N582" s="53"/>
    </row>
    <row r="583" spans="3:14" ht="12.5" x14ac:dyDescent="0.25">
      <c r="C583" s="53"/>
      <c r="N583" s="53"/>
    </row>
    <row r="584" spans="3:14" ht="12.5" x14ac:dyDescent="0.25">
      <c r="C584" s="53"/>
      <c r="N584" s="53"/>
    </row>
    <row r="585" spans="3:14" ht="12.5" x14ac:dyDescent="0.25">
      <c r="C585" s="53"/>
      <c r="N585" s="53"/>
    </row>
    <row r="586" spans="3:14" ht="12.5" x14ac:dyDescent="0.25">
      <c r="C586" s="53"/>
      <c r="N586" s="53"/>
    </row>
    <row r="587" spans="3:14" ht="12.5" x14ac:dyDescent="0.25">
      <c r="C587" s="53"/>
      <c r="N587" s="53"/>
    </row>
    <row r="588" spans="3:14" ht="12.5" x14ac:dyDescent="0.25">
      <c r="C588" s="53"/>
      <c r="N588" s="53"/>
    </row>
    <row r="589" spans="3:14" ht="12.5" x14ac:dyDescent="0.25">
      <c r="C589" s="53"/>
      <c r="N589" s="53"/>
    </row>
    <row r="590" spans="3:14" ht="12.5" x14ac:dyDescent="0.25">
      <c r="C590" s="53"/>
      <c r="N590" s="53"/>
    </row>
    <row r="591" spans="3:14" ht="12.5" x14ac:dyDescent="0.25">
      <c r="C591" s="53"/>
      <c r="N591" s="53"/>
    </row>
    <row r="592" spans="3:14" ht="12.5" x14ac:dyDescent="0.25">
      <c r="C592" s="53"/>
      <c r="N592" s="53"/>
    </row>
    <row r="593" spans="3:14" ht="12.5" x14ac:dyDescent="0.25">
      <c r="C593" s="53"/>
      <c r="N593" s="53"/>
    </row>
    <row r="594" spans="3:14" ht="12.5" x14ac:dyDescent="0.25">
      <c r="C594" s="53"/>
      <c r="N594" s="53"/>
    </row>
    <row r="595" spans="3:14" ht="12.5" x14ac:dyDescent="0.25">
      <c r="C595" s="53"/>
      <c r="N595" s="53"/>
    </row>
    <row r="596" spans="3:14" ht="12.5" x14ac:dyDescent="0.25">
      <c r="C596" s="53"/>
      <c r="N596" s="53"/>
    </row>
    <row r="597" spans="3:14" ht="12.5" x14ac:dyDescent="0.25">
      <c r="C597" s="53"/>
      <c r="N597" s="53"/>
    </row>
    <row r="598" spans="3:14" ht="12.5" x14ac:dyDescent="0.25">
      <c r="C598" s="53"/>
      <c r="N598" s="53"/>
    </row>
    <row r="599" spans="3:14" ht="12.5" x14ac:dyDescent="0.25">
      <c r="C599" s="53"/>
      <c r="N599" s="53"/>
    </row>
    <row r="600" spans="3:14" ht="12.5" x14ac:dyDescent="0.25">
      <c r="C600" s="53"/>
      <c r="N600" s="53"/>
    </row>
    <row r="601" spans="3:14" ht="12.5" x14ac:dyDescent="0.25">
      <c r="C601" s="53"/>
      <c r="N601" s="53"/>
    </row>
    <row r="602" spans="3:14" ht="12.5" x14ac:dyDescent="0.25">
      <c r="C602" s="53"/>
      <c r="N602" s="53"/>
    </row>
    <row r="603" spans="3:14" ht="12.5" x14ac:dyDescent="0.25">
      <c r="C603" s="53"/>
      <c r="N603" s="53"/>
    </row>
    <row r="604" spans="3:14" ht="12.5" x14ac:dyDescent="0.25">
      <c r="C604" s="53"/>
      <c r="N604" s="53"/>
    </row>
    <row r="605" spans="3:14" ht="12.5" x14ac:dyDescent="0.25">
      <c r="C605" s="53"/>
      <c r="N605" s="53"/>
    </row>
    <row r="606" spans="3:14" ht="12.5" x14ac:dyDescent="0.25">
      <c r="C606" s="53"/>
      <c r="N606" s="53"/>
    </row>
    <row r="607" spans="3:14" ht="12.5" x14ac:dyDescent="0.25">
      <c r="C607" s="53"/>
      <c r="N607" s="53"/>
    </row>
    <row r="608" spans="3:14" ht="12.5" x14ac:dyDescent="0.25">
      <c r="C608" s="53"/>
      <c r="N608" s="53"/>
    </row>
    <row r="609" spans="3:14" ht="12.5" x14ac:dyDescent="0.25">
      <c r="C609" s="53"/>
      <c r="N609" s="53"/>
    </row>
    <row r="610" spans="3:14" ht="12.5" x14ac:dyDescent="0.25">
      <c r="C610" s="53"/>
      <c r="N610" s="53"/>
    </row>
    <row r="611" spans="3:14" ht="12.5" x14ac:dyDescent="0.25">
      <c r="C611" s="53"/>
      <c r="N611" s="53"/>
    </row>
    <row r="612" spans="3:14" ht="12.5" x14ac:dyDescent="0.25">
      <c r="C612" s="53"/>
      <c r="N612" s="53"/>
    </row>
    <row r="613" spans="3:14" ht="12.5" x14ac:dyDescent="0.25">
      <c r="C613" s="53"/>
      <c r="N613" s="53"/>
    </row>
    <row r="614" spans="3:14" ht="12.5" x14ac:dyDescent="0.25">
      <c r="C614" s="53"/>
      <c r="N614" s="53"/>
    </row>
    <row r="615" spans="3:14" ht="12.5" x14ac:dyDescent="0.25">
      <c r="C615" s="53"/>
      <c r="N615" s="53"/>
    </row>
    <row r="616" spans="3:14" ht="12.5" x14ac:dyDescent="0.25">
      <c r="C616" s="53"/>
      <c r="N616" s="53"/>
    </row>
    <row r="617" spans="3:14" ht="12.5" x14ac:dyDescent="0.25">
      <c r="C617" s="53"/>
      <c r="N617" s="53"/>
    </row>
    <row r="618" spans="3:14" ht="12.5" x14ac:dyDescent="0.25">
      <c r="C618" s="53"/>
      <c r="N618" s="53"/>
    </row>
    <row r="619" spans="3:14" ht="12.5" x14ac:dyDescent="0.25">
      <c r="C619" s="53"/>
      <c r="N619" s="53"/>
    </row>
    <row r="620" spans="3:14" ht="12.5" x14ac:dyDescent="0.25">
      <c r="C620" s="53"/>
      <c r="N620" s="53"/>
    </row>
    <row r="621" spans="3:14" ht="12.5" x14ac:dyDescent="0.25">
      <c r="C621" s="53"/>
      <c r="N621" s="53"/>
    </row>
    <row r="622" spans="3:14" ht="12.5" x14ac:dyDescent="0.25">
      <c r="C622" s="53"/>
      <c r="N622" s="53"/>
    </row>
    <row r="623" spans="3:14" ht="12.5" x14ac:dyDescent="0.25">
      <c r="C623" s="53"/>
      <c r="N623" s="53"/>
    </row>
    <row r="624" spans="3:14" ht="12.5" x14ac:dyDescent="0.25">
      <c r="C624" s="53"/>
      <c r="N624" s="53"/>
    </row>
    <row r="625" spans="3:14" ht="12.5" x14ac:dyDescent="0.25">
      <c r="C625" s="53"/>
      <c r="N625" s="53"/>
    </row>
    <row r="626" spans="3:14" ht="12.5" x14ac:dyDescent="0.25">
      <c r="C626" s="53"/>
      <c r="N626" s="53"/>
    </row>
    <row r="627" spans="3:14" ht="12.5" x14ac:dyDescent="0.25">
      <c r="C627" s="53"/>
      <c r="N627" s="53"/>
    </row>
    <row r="628" spans="3:14" ht="12.5" x14ac:dyDescent="0.25">
      <c r="C628" s="53"/>
      <c r="N628" s="53"/>
    </row>
    <row r="629" spans="3:14" ht="12.5" x14ac:dyDescent="0.25">
      <c r="C629" s="53"/>
      <c r="N629" s="53"/>
    </row>
    <row r="630" spans="3:14" ht="12.5" x14ac:dyDescent="0.25">
      <c r="C630" s="53"/>
      <c r="N630" s="53"/>
    </row>
    <row r="631" spans="3:14" ht="12.5" x14ac:dyDescent="0.25">
      <c r="C631" s="53"/>
      <c r="N631" s="53"/>
    </row>
    <row r="632" spans="3:14" ht="12.5" x14ac:dyDescent="0.25">
      <c r="C632" s="53"/>
      <c r="N632" s="53"/>
    </row>
    <row r="633" spans="3:14" ht="12.5" x14ac:dyDescent="0.25">
      <c r="C633" s="53"/>
      <c r="N633" s="53"/>
    </row>
    <row r="634" spans="3:14" ht="12.5" x14ac:dyDescent="0.25">
      <c r="C634" s="53"/>
      <c r="N634" s="53"/>
    </row>
    <row r="635" spans="3:14" ht="12.5" x14ac:dyDescent="0.25">
      <c r="C635" s="53"/>
      <c r="N635" s="53"/>
    </row>
    <row r="636" spans="3:14" ht="12.5" x14ac:dyDescent="0.25">
      <c r="C636" s="53"/>
      <c r="N636" s="53"/>
    </row>
    <row r="637" spans="3:14" ht="12.5" x14ac:dyDescent="0.25">
      <c r="C637" s="53"/>
      <c r="N637" s="53"/>
    </row>
    <row r="638" spans="3:14" ht="12.5" x14ac:dyDescent="0.25">
      <c r="C638" s="53"/>
      <c r="N638" s="53"/>
    </row>
    <row r="639" spans="3:14" ht="12.5" x14ac:dyDescent="0.25">
      <c r="C639" s="53"/>
      <c r="N639" s="53"/>
    </row>
    <row r="640" spans="3:14" ht="12.5" x14ac:dyDescent="0.25">
      <c r="C640" s="53"/>
      <c r="N640" s="53"/>
    </row>
    <row r="641" spans="3:14" ht="12.5" x14ac:dyDescent="0.25">
      <c r="C641" s="53"/>
      <c r="N641" s="53"/>
    </row>
    <row r="642" spans="3:14" ht="12.5" x14ac:dyDescent="0.25">
      <c r="C642" s="53"/>
      <c r="N642" s="53"/>
    </row>
    <row r="643" spans="3:14" ht="12.5" x14ac:dyDescent="0.25">
      <c r="C643" s="53"/>
      <c r="N643" s="53"/>
    </row>
    <row r="644" spans="3:14" ht="12.5" x14ac:dyDescent="0.25">
      <c r="C644" s="53"/>
      <c r="N644" s="53"/>
    </row>
    <row r="645" spans="3:14" ht="12.5" x14ac:dyDescent="0.25">
      <c r="C645" s="53"/>
      <c r="N645" s="53"/>
    </row>
    <row r="646" spans="3:14" ht="12.5" x14ac:dyDescent="0.25">
      <c r="C646" s="53"/>
      <c r="N646" s="53"/>
    </row>
    <row r="647" spans="3:14" ht="12.5" x14ac:dyDescent="0.25">
      <c r="C647" s="53"/>
      <c r="N647" s="53"/>
    </row>
    <row r="648" spans="3:14" ht="12.5" x14ac:dyDescent="0.25">
      <c r="C648" s="53"/>
      <c r="N648" s="53"/>
    </row>
    <row r="649" spans="3:14" ht="12.5" x14ac:dyDescent="0.25">
      <c r="C649" s="53"/>
      <c r="N649" s="53"/>
    </row>
    <row r="650" spans="3:14" ht="12.5" x14ac:dyDescent="0.25">
      <c r="C650" s="53"/>
      <c r="N650" s="53"/>
    </row>
    <row r="651" spans="3:14" ht="12.5" x14ac:dyDescent="0.25">
      <c r="C651" s="53"/>
      <c r="N651" s="53"/>
    </row>
    <row r="652" spans="3:14" ht="12.5" x14ac:dyDescent="0.25">
      <c r="C652" s="53"/>
      <c r="N652" s="53"/>
    </row>
    <row r="653" spans="3:14" ht="12.5" x14ac:dyDescent="0.25">
      <c r="C653" s="53"/>
      <c r="N653" s="53"/>
    </row>
    <row r="654" spans="3:14" ht="12.5" x14ac:dyDescent="0.25">
      <c r="C654" s="53"/>
      <c r="N654" s="53"/>
    </row>
    <row r="655" spans="3:14" ht="12.5" x14ac:dyDescent="0.25">
      <c r="C655" s="53"/>
      <c r="N655" s="53"/>
    </row>
    <row r="656" spans="3:14" ht="12.5" x14ac:dyDescent="0.25">
      <c r="C656" s="53"/>
      <c r="N656" s="53"/>
    </row>
    <row r="657" spans="3:14" ht="12.5" x14ac:dyDescent="0.25">
      <c r="C657" s="53"/>
      <c r="N657" s="53"/>
    </row>
    <row r="658" spans="3:14" ht="12.5" x14ac:dyDescent="0.25">
      <c r="C658" s="53"/>
      <c r="N658" s="53"/>
    </row>
    <row r="659" spans="3:14" ht="12.5" x14ac:dyDescent="0.25">
      <c r="C659" s="53"/>
      <c r="N659" s="53"/>
    </row>
    <row r="660" spans="3:14" ht="12.5" x14ac:dyDescent="0.25">
      <c r="C660" s="53"/>
      <c r="N660" s="53"/>
    </row>
    <row r="661" spans="3:14" ht="12.5" x14ac:dyDescent="0.25">
      <c r="C661" s="53"/>
      <c r="N661" s="53"/>
    </row>
    <row r="662" spans="3:14" ht="12.5" x14ac:dyDescent="0.25">
      <c r="C662" s="53"/>
      <c r="N662" s="53"/>
    </row>
    <row r="663" spans="3:14" ht="12.5" x14ac:dyDescent="0.25">
      <c r="C663" s="53"/>
      <c r="N663" s="53"/>
    </row>
    <row r="664" spans="3:14" ht="12.5" x14ac:dyDescent="0.25">
      <c r="C664" s="53"/>
      <c r="N664" s="53"/>
    </row>
    <row r="665" spans="3:14" ht="12.5" x14ac:dyDescent="0.25">
      <c r="C665" s="53"/>
      <c r="N665" s="53"/>
    </row>
    <row r="666" spans="3:14" ht="12.5" x14ac:dyDescent="0.25">
      <c r="C666" s="53"/>
      <c r="N666" s="53"/>
    </row>
    <row r="667" spans="3:14" ht="12.5" x14ac:dyDescent="0.25">
      <c r="C667" s="53"/>
      <c r="N667" s="53"/>
    </row>
    <row r="668" spans="3:14" ht="12.5" x14ac:dyDescent="0.25">
      <c r="C668" s="53"/>
      <c r="N668" s="53"/>
    </row>
    <row r="669" spans="3:14" ht="12.5" x14ac:dyDescent="0.25">
      <c r="C669" s="53"/>
      <c r="N669" s="53"/>
    </row>
    <row r="670" spans="3:14" ht="12.5" x14ac:dyDescent="0.25">
      <c r="C670" s="53"/>
      <c r="N670" s="53"/>
    </row>
    <row r="671" spans="3:14" ht="12.5" x14ac:dyDescent="0.25">
      <c r="C671" s="53"/>
      <c r="N671" s="53"/>
    </row>
    <row r="672" spans="3:14" ht="12.5" x14ac:dyDescent="0.25">
      <c r="C672" s="53"/>
      <c r="N672" s="53"/>
    </row>
    <row r="673" spans="3:14" ht="12.5" x14ac:dyDescent="0.25">
      <c r="C673" s="53"/>
      <c r="N673" s="53"/>
    </row>
    <row r="674" spans="3:14" ht="12.5" x14ac:dyDescent="0.25">
      <c r="C674" s="53"/>
      <c r="N674" s="53"/>
    </row>
    <row r="675" spans="3:14" ht="12.5" x14ac:dyDescent="0.25">
      <c r="C675" s="53"/>
      <c r="N675" s="53"/>
    </row>
    <row r="676" spans="3:14" ht="12.5" x14ac:dyDescent="0.25">
      <c r="C676" s="53"/>
      <c r="N676" s="53"/>
    </row>
    <row r="677" spans="3:14" ht="12.5" x14ac:dyDescent="0.25">
      <c r="C677" s="53"/>
      <c r="N677" s="53"/>
    </row>
    <row r="678" spans="3:14" ht="12.5" x14ac:dyDescent="0.25">
      <c r="C678" s="53"/>
      <c r="N678" s="53"/>
    </row>
    <row r="679" spans="3:14" ht="12.5" x14ac:dyDescent="0.25">
      <c r="C679" s="53"/>
      <c r="N679" s="53"/>
    </row>
    <row r="680" spans="3:14" ht="12.5" x14ac:dyDescent="0.25">
      <c r="C680" s="53"/>
      <c r="N680" s="53"/>
    </row>
    <row r="681" spans="3:14" ht="12.5" x14ac:dyDescent="0.25">
      <c r="C681" s="53"/>
      <c r="N681" s="53"/>
    </row>
    <row r="682" spans="3:14" ht="12.5" x14ac:dyDescent="0.25">
      <c r="C682" s="53"/>
      <c r="N682" s="53"/>
    </row>
    <row r="683" spans="3:14" ht="12.5" x14ac:dyDescent="0.25">
      <c r="C683" s="53"/>
      <c r="N683" s="53"/>
    </row>
    <row r="684" spans="3:14" ht="12.5" x14ac:dyDescent="0.25">
      <c r="C684" s="53"/>
      <c r="N684" s="53"/>
    </row>
    <row r="685" spans="3:14" ht="12.5" x14ac:dyDescent="0.25">
      <c r="C685" s="53"/>
      <c r="N685" s="53"/>
    </row>
    <row r="686" spans="3:14" ht="12.5" x14ac:dyDescent="0.25">
      <c r="C686" s="53"/>
      <c r="N686" s="53"/>
    </row>
    <row r="687" spans="3:14" ht="12.5" x14ac:dyDescent="0.25">
      <c r="C687" s="53"/>
      <c r="N687" s="53"/>
    </row>
    <row r="688" spans="3:14" ht="12.5" x14ac:dyDescent="0.25">
      <c r="C688" s="53"/>
      <c r="N688" s="53"/>
    </row>
    <row r="689" spans="3:14" ht="12.5" x14ac:dyDescent="0.25">
      <c r="C689" s="53"/>
      <c r="N689" s="53"/>
    </row>
    <row r="690" spans="3:14" ht="12.5" x14ac:dyDescent="0.25">
      <c r="C690" s="53"/>
      <c r="N690" s="53"/>
    </row>
    <row r="691" spans="3:14" ht="12.5" x14ac:dyDescent="0.25">
      <c r="C691" s="53"/>
      <c r="N691" s="53"/>
    </row>
    <row r="692" spans="3:14" ht="12.5" x14ac:dyDescent="0.25">
      <c r="C692" s="53"/>
      <c r="N692" s="53"/>
    </row>
    <row r="693" spans="3:14" ht="12.5" x14ac:dyDescent="0.25">
      <c r="C693" s="53"/>
      <c r="N693" s="53"/>
    </row>
    <row r="694" spans="3:14" ht="12.5" x14ac:dyDescent="0.25">
      <c r="C694" s="53"/>
      <c r="N694" s="53"/>
    </row>
    <row r="695" spans="3:14" ht="12.5" x14ac:dyDescent="0.25">
      <c r="C695" s="53"/>
      <c r="N695" s="53"/>
    </row>
    <row r="696" spans="3:14" ht="12.5" x14ac:dyDescent="0.25">
      <c r="C696" s="53"/>
      <c r="N696" s="53"/>
    </row>
    <row r="697" spans="3:14" ht="12.5" x14ac:dyDescent="0.25">
      <c r="C697" s="53"/>
      <c r="N697" s="53"/>
    </row>
    <row r="698" spans="3:14" ht="12.5" x14ac:dyDescent="0.25">
      <c r="C698" s="53"/>
      <c r="N698" s="53"/>
    </row>
    <row r="699" spans="3:14" ht="12.5" x14ac:dyDescent="0.25">
      <c r="C699" s="53"/>
      <c r="N699" s="53"/>
    </row>
    <row r="700" spans="3:14" ht="12.5" x14ac:dyDescent="0.25">
      <c r="C700" s="53"/>
      <c r="N700" s="53"/>
    </row>
    <row r="701" spans="3:14" ht="12.5" x14ac:dyDescent="0.25">
      <c r="C701" s="53"/>
      <c r="N701" s="53"/>
    </row>
    <row r="702" spans="3:14" ht="12.5" x14ac:dyDescent="0.25">
      <c r="C702" s="53"/>
      <c r="N702" s="53"/>
    </row>
    <row r="703" spans="3:14" ht="12.5" x14ac:dyDescent="0.25">
      <c r="C703" s="53"/>
      <c r="N703" s="53"/>
    </row>
    <row r="704" spans="3:14" ht="12.5" x14ac:dyDescent="0.25">
      <c r="C704" s="53"/>
      <c r="N704" s="53"/>
    </row>
    <row r="705" spans="3:14" ht="12.5" x14ac:dyDescent="0.25">
      <c r="C705" s="53"/>
      <c r="N705" s="53"/>
    </row>
    <row r="706" spans="3:14" ht="12.5" x14ac:dyDescent="0.25">
      <c r="C706" s="53"/>
      <c r="N706" s="53"/>
    </row>
    <row r="707" spans="3:14" ht="12.5" x14ac:dyDescent="0.25">
      <c r="C707" s="53"/>
      <c r="N707" s="53"/>
    </row>
    <row r="708" spans="3:14" ht="12.5" x14ac:dyDescent="0.25">
      <c r="C708" s="53"/>
      <c r="N708" s="53"/>
    </row>
    <row r="709" spans="3:14" ht="12.5" x14ac:dyDescent="0.25">
      <c r="C709" s="53"/>
      <c r="N709" s="53"/>
    </row>
    <row r="710" spans="3:14" ht="12.5" x14ac:dyDescent="0.25">
      <c r="C710" s="53"/>
      <c r="N710" s="53"/>
    </row>
    <row r="711" spans="3:14" ht="12.5" x14ac:dyDescent="0.25">
      <c r="C711" s="53"/>
      <c r="N711" s="53"/>
    </row>
    <row r="712" spans="3:14" ht="12.5" x14ac:dyDescent="0.25">
      <c r="C712" s="53"/>
      <c r="N712" s="53"/>
    </row>
    <row r="713" spans="3:14" ht="12.5" x14ac:dyDescent="0.25">
      <c r="C713" s="53"/>
      <c r="N713" s="53"/>
    </row>
    <row r="714" spans="3:14" ht="12.5" x14ac:dyDescent="0.25">
      <c r="C714" s="53"/>
      <c r="N714" s="53"/>
    </row>
    <row r="715" spans="3:14" ht="12.5" x14ac:dyDescent="0.25">
      <c r="C715" s="53"/>
      <c r="N715" s="53"/>
    </row>
    <row r="716" spans="3:14" ht="12.5" x14ac:dyDescent="0.25">
      <c r="C716" s="53"/>
      <c r="N716" s="53"/>
    </row>
    <row r="717" spans="3:14" ht="12.5" x14ac:dyDescent="0.25">
      <c r="C717" s="53"/>
      <c r="N717" s="53"/>
    </row>
    <row r="718" spans="3:14" ht="12.5" x14ac:dyDescent="0.25">
      <c r="C718" s="53"/>
      <c r="N718" s="53"/>
    </row>
    <row r="719" spans="3:14" ht="12.5" x14ac:dyDescent="0.25">
      <c r="C719" s="53"/>
      <c r="N719" s="53"/>
    </row>
    <row r="720" spans="3:14" ht="12.5" x14ac:dyDescent="0.25">
      <c r="C720" s="53"/>
      <c r="N720" s="53"/>
    </row>
    <row r="721" spans="3:14" ht="12.5" x14ac:dyDescent="0.25">
      <c r="C721" s="53"/>
      <c r="N721" s="53"/>
    </row>
    <row r="722" spans="3:14" ht="12.5" x14ac:dyDescent="0.25">
      <c r="C722" s="53"/>
      <c r="N722" s="53"/>
    </row>
    <row r="723" spans="3:14" ht="12.5" x14ac:dyDescent="0.25">
      <c r="C723" s="53"/>
      <c r="N723" s="53"/>
    </row>
    <row r="724" spans="3:14" ht="12.5" x14ac:dyDescent="0.25">
      <c r="C724" s="53"/>
      <c r="N724" s="53"/>
    </row>
    <row r="725" spans="3:14" ht="12.5" x14ac:dyDescent="0.25">
      <c r="C725" s="53"/>
      <c r="N725" s="53"/>
    </row>
    <row r="726" spans="3:14" ht="12.5" x14ac:dyDescent="0.25">
      <c r="C726" s="53"/>
      <c r="N726" s="53"/>
    </row>
    <row r="727" spans="3:14" ht="12.5" x14ac:dyDescent="0.25">
      <c r="C727" s="53"/>
      <c r="N727" s="53"/>
    </row>
    <row r="728" spans="3:14" ht="12.5" x14ac:dyDescent="0.25">
      <c r="C728" s="53"/>
      <c r="N728" s="53"/>
    </row>
    <row r="729" spans="3:14" ht="12.5" x14ac:dyDescent="0.25">
      <c r="C729" s="53"/>
      <c r="N729" s="53"/>
    </row>
    <row r="730" spans="3:14" ht="12.5" x14ac:dyDescent="0.25">
      <c r="C730" s="53"/>
      <c r="N730" s="53"/>
    </row>
    <row r="731" spans="3:14" ht="12.5" x14ac:dyDescent="0.25">
      <c r="C731" s="53"/>
      <c r="N731" s="53"/>
    </row>
    <row r="732" spans="3:14" ht="12.5" x14ac:dyDescent="0.25">
      <c r="C732" s="53"/>
      <c r="N732" s="53"/>
    </row>
    <row r="733" spans="3:14" ht="12.5" x14ac:dyDescent="0.25">
      <c r="C733" s="53"/>
      <c r="N733" s="53"/>
    </row>
    <row r="734" spans="3:14" ht="12.5" x14ac:dyDescent="0.25">
      <c r="C734" s="53"/>
      <c r="N734" s="53"/>
    </row>
    <row r="735" spans="3:14" ht="12.5" x14ac:dyDescent="0.25">
      <c r="C735" s="53"/>
      <c r="N735" s="53"/>
    </row>
    <row r="736" spans="3:14" ht="12.5" x14ac:dyDescent="0.25">
      <c r="C736" s="53"/>
      <c r="N736" s="53"/>
    </row>
    <row r="737" spans="3:14" ht="12.5" x14ac:dyDescent="0.25">
      <c r="C737" s="53"/>
      <c r="N737" s="53"/>
    </row>
    <row r="738" spans="3:14" ht="12.5" x14ac:dyDescent="0.25">
      <c r="C738" s="53"/>
      <c r="N738" s="53"/>
    </row>
    <row r="739" spans="3:14" ht="12.5" x14ac:dyDescent="0.25">
      <c r="C739" s="53"/>
      <c r="N739" s="53"/>
    </row>
    <row r="740" spans="3:14" ht="12.5" x14ac:dyDescent="0.25">
      <c r="C740" s="53"/>
      <c r="N740" s="53"/>
    </row>
    <row r="741" spans="3:14" ht="12.5" x14ac:dyDescent="0.25">
      <c r="C741" s="53"/>
      <c r="N741" s="53"/>
    </row>
    <row r="742" spans="3:14" ht="12.5" x14ac:dyDescent="0.25">
      <c r="C742" s="53"/>
      <c r="N742" s="53"/>
    </row>
    <row r="743" spans="3:14" ht="12.5" x14ac:dyDescent="0.25">
      <c r="C743" s="53"/>
      <c r="N743" s="53"/>
    </row>
    <row r="744" spans="3:14" ht="12.5" x14ac:dyDescent="0.25">
      <c r="C744" s="53"/>
      <c r="N744" s="53"/>
    </row>
    <row r="745" spans="3:14" ht="12.5" x14ac:dyDescent="0.25">
      <c r="C745" s="53"/>
      <c r="N745" s="53"/>
    </row>
    <row r="746" spans="3:14" ht="12.5" x14ac:dyDescent="0.25">
      <c r="C746" s="53"/>
      <c r="N746" s="53"/>
    </row>
    <row r="747" spans="3:14" ht="12.5" x14ac:dyDescent="0.25">
      <c r="C747" s="53"/>
      <c r="N747" s="53"/>
    </row>
    <row r="748" spans="3:14" ht="12.5" x14ac:dyDescent="0.25">
      <c r="C748" s="53"/>
      <c r="N748" s="53"/>
    </row>
    <row r="749" spans="3:14" ht="12.5" x14ac:dyDescent="0.25">
      <c r="C749" s="53"/>
      <c r="N749" s="53"/>
    </row>
    <row r="750" spans="3:14" ht="12.5" x14ac:dyDescent="0.25">
      <c r="C750" s="53"/>
      <c r="N750" s="53"/>
    </row>
    <row r="751" spans="3:14" ht="12.5" x14ac:dyDescent="0.25">
      <c r="C751" s="53"/>
      <c r="N751" s="53"/>
    </row>
    <row r="752" spans="3:14" ht="12.5" x14ac:dyDescent="0.25">
      <c r="C752" s="53"/>
      <c r="N752" s="53"/>
    </row>
    <row r="753" spans="3:14" ht="12.5" x14ac:dyDescent="0.25">
      <c r="C753" s="53"/>
      <c r="N753" s="53"/>
    </row>
    <row r="754" spans="3:14" ht="12.5" x14ac:dyDescent="0.25">
      <c r="C754" s="53"/>
      <c r="N754" s="53"/>
    </row>
    <row r="755" spans="3:14" ht="12.5" x14ac:dyDescent="0.25">
      <c r="C755" s="53"/>
      <c r="N755" s="53"/>
    </row>
    <row r="756" spans="3:14" ht="12.5" x14ac:dyDescent="0.25">
      <c r="C756" s="53"/>
      <c r="N756" s="53"/>
    </row>
    <row r="757" spans="3:14" ht="12.5" x14ac:dyDescent="0.25">
      <c r="C757" s="53"/>
      <c r="N757" s="53"/>
    </row>
    <row r="758" spans="3:14" ht="12.5" x14ac:dyDescent="0.25">
      <c r="C758" s="53"/>
      <c r="N758" s="53"/>
    </row>
    <row r="759" spans="3:14" ht="12.5" x14ac:dyDescent="0.25">
      <c r="C759" s="53"/>
      <c r="N759" s="53"/>
    </row>
    <row r="760" spans="3:14" ht="12.5" x14ac:dyDescent="0.25">
      <c r="C760" s="53"/>
      <c r="N760" s="53"/>
    </row>
    <row r="761" spans="3:14" ht="12.5" x14ac:dyDescent="0.25">
      <c r="C761" s="53"/>
      <c r="N761" s="53"/>
    </row>
    <row r="762" spans="3:14" ht="12.5" x14ac:dyDescent="0.25">
      <c r="C762" s="53"/>
      <c r="N762" s="53"/>
    </row>
    <row r="763" spans="3:14" ht="12.5" x14ac:dyDescent="0.25">
      <c r="C763" s="53"/>
      <c r="N763" s="53"/>
    </row>
    <row r="764" spans="3:14" ht="12.5" x14ac:dyDescent="0.25">
      <c r="C764" s="53"/>
      <c r="N764" s="53"/>
    </row>
    <row r="765" spans="3:14" ht="12.5" x14ac:dyDescent="0.25">
      <c r="C765" s="53"/>
      <c r="N765" s="53"/>
    </row>
    <row r="766" spans="3:14" ht="12.5" x14ac:dyDescent="0.25">
      <c r="C766" s="53"/>
      <c r="N766" s="53"/>
    </row>
    <row r="767" spans="3:14" ht="12.5" x14ac:dyDescent="0.25">
      <c r="C767" s="53"/>
      <c r="N767" s="53"/>
    </row>
    <row r="768" spans="3:14" ht="12.5" x14ac:dyDescent="0.25">
      <c r="C768" s="53"/>
      <c r="N768" s="53"/>
    </row>
    <row r="769" spans="3:14" ht="12.5" x14ac:dyDescent="0.25">
      <c r="C769" s="53"/>
      <c r="N769" s="53"/>
    </row>
    <row r="770" spans="3:14" ht="12.5" x14ac:dyDescent="0.25">
      <c r="C770" s="53"/>
      <c r="N770" s="53"/>
    </row>
    <row r="771" spans="3:14" ht="12.5" x14ac:dyDescent="0.25">
      <c r="C771" s="53"/>
      <c r="N771" s="53"/>
    </row>
    <row r="772" spans="3:14" ht="12.5" x14ac:dyDescent="0.25">
      <c r="C772" s="53"/>
      <c r="N772" s="53"/>
    </row>
    <row r="773" spans="3:14" ht="12.5" x14ac:dyDescent="0.25">
      <c r="C773" s="53"/>
      <c r="N773" s="53"/>
    </row>
    <row r="774" spans="3:14" ht="12.5" x14ac:dyDescent="0.25">
      <c r="C774" s="53"/>
      <c r="N774" s="53"/>
    </row>
    <row r="775" spans="3:14" ht="12.5" x14ac:dyDescent="0.25">
      <c r="C775" s="53"/>
      <c r="N775" s="53"/>
    </row>
    <row r="776" spans="3:14" ht="12.5" x14ac:dyDescent="0.25">
      <c r="C776" s="53"/>
      <c r="N776" s="53"/>
    </row>
    <row r="777" spans="3:14" ht="12.5" x14ac:dyDescent="0.25">
      <c r="C777" s="53"/>
      <c r="N777" s="53"/>
    </row>
    <row r="778" spans="3:14" ht="12.5" x14ac:dyDescent="0.25">
      <c r="C778" s="53"/>
      <c r="N778" s="53"/>
    </row>
    <row r="779" spans="3:14" ht="12.5" x14ac:dyDescent="0.25">
      <c r="C779" s="53"/>
      <c r="N779" s="53"/>
    </row>
    <row r="780" spans="3:14" ht="12.5" x14ac:dyDescent="0.25">
      <c r="C780" s="53"/>
      <c r="N780" s="53"/>
    </row>
    <row r="781" spans="3:14" ht="12.5" x14ac:dyDescent="0.25">
      <c r="C781" s="53"/>
      <c r="N781" s="53"/>
    </row>
    <row r="782" spans="3:14" ht="12.5" x14ac:dyDescent="0.25">
      <c r="C782" s="53"/>
      <c r="N782" s="53"/>
    </row>
    <row r="783" spans="3:14" ht="12.5" x14ac:dyDescent="0.25">
      <c r="C783" s="53"/>
      <c r="N783" s="53"/>
    </row>
    <row r="784" spans="3:14" ht="12.5" x14ac:dyDescent="0.25">
      <c r="C784" s="53"/>
      <c r="N784" s="53"/>
    </row>
    <row r="785" spans="3:14" ht="12.5" x14ac:dyDescent="0.25">
      <c r="C785" s="53"/>
      <c r="N785" s="53"/>
    </row>
    <row r="786" spans="3:14" ht="12.5" x14ac:dyDescent="0.25">
      <c r="C786" s="53"/>
      <c r="N786" s="53"/>
    </row>
    <row r="787" spans="3:14" ht="12.5" x14ac:dyDescent="0.25">
      <c r="C787" s="53"/>
      <c r="N787" s="53"/>
    </row>
    <row r="788" spans="3:14" ht="12.5" x14ac:dyDescent="0.25">
      <c r="C788" s="53"/>
      <c r="N788" s="53"/>
    </row>
    <row r="789" spans="3:14" ht="12.5" x14ac:dyDescent="0.25">
      <c r="C789" s="53"/>
      <c r="N789" s="53"/>
    </row>
    <row r="790" spans="3:14" ht="12.5" x14ac:dyDescent="0.25">
      <c r="C790" s="53"/>
      <c r="N790" s="53"/>
    </row>
    <row r="791" spans="3:14" ht="12.5" x14ac:dyDescent="0.25">
      <c r="C791" s="53"/>
      <c r="N791" s="53"/>
    </row>
    <row r="792" spans="3:14" ht="12.5" x14ac:dyDescent="0.25">
      <c r="C792" s="53"/>
      <c r="N792" s="53"/>
    </row>
    <row r="793" spans="3:14" ht="12.5" x14ac:dyDescent="0.25">
      <c r="C793" s="53"/>
      <c r="N793" s="53"/>
    </row>
    <row r="794" spans="3:14" ht="12.5" x14ac:dyDescent="0.25">
      <c r="C794" s="53"/>
      <c r="N794" s="53"/>
    </row>
    <row r="795" spans="3:14" ht="12.5" x14ac:dyDescent="0.25">
      <c r="C795" s="53"/>
      <c r="N795" s="53"/>
    </row>
    <row r="796" spans="3:14" ht="12.5" x14ac:dyDescent="0.25">
      <c r="C796" s="53"/>
      <c r="N796" s="53"/>
    </row>
    <row r="797" spans="3:14" ht="12.5" x14ac:dyDescent="0.25">
      <c r="C797" s="53"/>
      <c r="N797" s="53"/>
    </row>
    <row r="798" spans="3:14" ht="12.5" x14ac:dyDescent="0.25">
      <c r="C798" s="53"/>
      <c r="N798" s="53"/>
    </row>
    <row r="799" spans="3:14" ht="12.5" x14ac:dyDescent="0.25">
      <c r="C799" s="53"/>
      <c r="N799" s="53"/>
    </row>
    <row r="800" spans="3:14" ht="12.5" x14ac:dyDescent="0.25">
      <c r="C800" s="53"/>
      <c r="N800" s="53"/>
    </row>
    <row r="801" spans="3:14" ht="12.5" x14ac:dyDescent="0.25">
      <c r="C801" s="53"/>
      <c r="N801" s="53"/>
    </row>
    <row r="802" spans="3:14" ht="12.5" x14ac:dyDescent="0.25">
      <c r="C802" s="53"/>
      <c r="N802" s="53"/>
    </row>
    <row r="803" spans="3:14" ht="12.5" x14ac:dyDescent="0.25">
      <c r="C803" s="53"/>
      <c r="N803" s="53"/>
    </row>
    <row r="804" spans="3:14" ht="12.5" x14ac:dyDescent="0.25">
      <c r="C804" s="53"/>
      <c r="N804" s="53"/>
    </row>
    <row r="805" spans="3:14" ht="12.5" x14ac:dyDescent="0.25">
      <c r="C805" s="53"/>
      <c r="N805" s="53"/>
    </row>
    <row r="806" spans="3:14" ht="12.5" x14ac:dyDescent="0.25">
      <c r="C806" s="53"/>
      <c r="N806" s="53"/>
    </row>
    <row r="807" spans="3:14" ht="12.5" x14ac:dyDescent="0.25">
      <c r="C807" s="53"/>
      <c r="N807" s="53"/>
    </row>
    <row r="808" spans="3:14" ht="12.5" x14ac:dyDescent="0.25">
      <c r="C808" s="53"/>
      <c r="N808" s="53"/>
    </row>
    <row r="809" spans="3:14" ht="12.5" x14ac:dyDescent="0.25">
      <c r="C809" s="53"/>
      <c r="N809" s="53"/>
    </row>
    <row r="810" spans="3:14" ht="12.5" x14ac:dyDescent="0.25">
      <c r="C810" s="53"/>
      <c r="N810" s="53"/>
    </row>
    <row r="811" spans="3:14" ht="12.5" x14ac:dyDescent="0.25">
      <c r="C811" s="53"/>
      <c r="N811" s="53"/>
    </row>
    <row r="812" spans="3:14" ht="12.5" x14ac:dyDescent="0.25">
      <c r="C812" s="53"/>
      <c r="N812" s="53"/>
    </row>
    <row r="813" spans="3:14" ht="12.5" x14ac:dyDescent="0.25">
      <c r="C813" s="53"/>
      <c r="N813" s="53"/>
    </row>
    <row r="814" spans="3:14" ht="12.5" x14ac:dyDescent="0.25">
      <c r="C814" s="53"/>
      <c r="N814" s="53"/>
    </row>
    <row r="815" spans="3:14" ht="12.5" x14ac:dyDescent="0.25">
      <c r="C815" s="53"/>
      <c r="N815" s="53"/>
    </row>
    <row r="816" spans="3:14" ht="12.5" x14ac:dyDescent="0.25">
      <c r="C816" s="53"/>
      <c r="N816" s="53"/>
    </row>
    <row r="817" spans="3:14" ht="12.5" x14ac:dyDescent="0.25">
      <c r="C817" s="53"/>
      <c r="N817" s="53"/>
    </row>
    <row r="818" spans="3:14" ht="12.5" x14ac:dyDescent="0.25">
      <c r="C818" s="53"/>
      <c r="N818" s="53"/>
    </row>
    <row r="819" spans="3:14" ht="12.5" x14ac:dyDescent="0.25">
      <c r="C819" s="53"/>
      <c r="N819" s="53"/>
    </row>
    <row r="820" spans="3:14" ht="12.5" x14ac:dyDescent="0.25">
      <c r="C820" s="53"/>
      <c r="N820" s="53"/>
    </row>
    <row r="821" spans="3:14" ht="12.5" x14ac:dyDescent="0.25">
      <c r="C821" s="53"/>
      <c r="N821" s="53"/>
    </row>
    <row r="822" spans="3:14" ht="12.5" x14ac:dyDescent="0.25">
      <c r="C822" s="53"/>
      <c r="N822" s="53"/>
    </row>
    <row r="823" spans="3:14" ht="12.5" x14ac:dyDescent="0.25">
      <c r="C823" s="53"/>
      <c r="N823" s="53"/>
    </row>
    <row r="824" spans="3:14" ht="12.5" x14ac:dyDescent="0.25">
      <c r="C824" s="53"/>
      <c r="N824" s="53"/>
    </row>
    <row r="825" spans="3:14" ht="12.5" x14ac:dyDescent="0.25">
      <c r="C825" s="53"/>
      <c r="N825" s="53"/>
    </row>
    <row r="826" spans="3:14" ht="12.5" x14ac:dyDescent="0.25">
      <c r="C826" s="53"/>
      <c r="N826" s="53"/>
    </row>
    <row r="827" spans="3:14" ht="12.5" x14ac:dyDescent="0.25">
      <c r="C827" s="53"/>
      <c r="N827" s="53"/>
    </row>
    <row r="828" spans="3:14" ht="12.5" x14ac:dyDescent="0.25">
      <c r="C828" s="53"/>
      <c r="N828" s="53"/>
    </row>
    <row r="829" spans="3:14" ht="12.5" x14ac:dyDescent="0.25">
      <c r="C829" s="53"/>
      <c r="N829" s="53"/>
    </row>
    <row r="830" spans="3:14" ht="12.5" x14ac:dyDescent="0.25">
      <c r="C830" s="53"/>
      <c r="N830" s="53"/>
    </row>
    <row r="831" spans="3:14" ht="12.5" x14ac:dyDescent="0.25">
      <c r="C831" s="53"/>
      <c r="N831" s="53"/>
    </row>
    <row r="832" spans="3:14" ht="12.5" x14ac:dyDescent="0.25">
      <c r="C832" s="53"/>
      <c r="N832" s="53"/>
    </row>
    <row r="833" spans="3:14" ht="12.5" x14ac:dyDescent="0.25">
      <c r="C833" s="53"/>
      <c r="N833" s="53"/>
    </row>
    <row r="834" spans="3:14" ht="12.5" x14ac:dyDescent="0.25">
      <c r="C834" s="53"/>
      <c r="N834" s="53"/>
    </row>
    <row r="835" spans="3:14" ht="12.5" x14ac:dyDescent="0.25">
      <c r="C835" s="53"/>
      <c r="N835" s="53"/>
    </row>
    <row r="836" spans="3:14" ht="12.5" x14ac:dyDescent="0.25">
      <c r="C836" s="53"/>
      <c r="N836" s="53"/>
    </row>
    <row r="837" spans="3:14" ht="12.5" x14ac:dyDescent="0.25">
      <c r="C837" s="53"/>
      <c r="N837" s="53"/>
    </row>
    <row r="838" spans="3:14" ht="12.5" x14ac:dyDescent="0.25">
      <c r="C838" s="53"/>
      <c r="N838" s="53"/>
    </row>
    <row r="839" spans="3:14" ht="12.5" x14ac:dyDescent="0.25">
      <c r="C839" s="53"/>
      <c r="N839" s="53"/>
    </row>
    <row r="840" spans="3:14" ht="12.5" x14ac:dyDescent="0.25">
      <c r="C840" s="53"/>
      <c r="N840" s="53"/>
    </row>
    <row r="841" spans="3:14" ht="12.5" x14ac:dyDescent="0.25">
      <c r="C841" s="53"/>
      <c r="N841" s="53"/>
    </row>
    <row r="842" spans="3:14" ht="12.5" x14ac:dyDescent="0.25">
      <c r="C842" s="53"/>
      <c r="N842" s="53"/>
    </row>
    <row r="843" spans="3:14" ht="12.5" x14ac:dyDescent="0.25">
      <c r="C843" s="53"/>
      <c r="N843" s="53"/>
    </row>
    <row r="844" spans="3:14" ht="12.5" x14ac:dyDescent="0.25">
      <c r="C844" s="53"/>
      <c r="N844" s="53"/>
    </row>
    <row r="845" spans="3:14" ht="12.5" x14ac:dyDescent="0.25">
      <c r="C845" s="53"/>
      <c r="N845" s="53"/>
    </row>
    <row r="846" spans="3:14" ht="12.5" x14ac:dyDescent="0.25">
      <c r="C846" s="53"/>
      <c r="N846" s="53"/>
    </row>
    <row r="847" spans="3:14" ht="12.5" x14ac:dyDescent="0.25">
      <c r="C847" s="53"/>
      <c r="N847" s="53"/>
    </row>
    <row r="848" spans="3:14" ht="12.5" x14ac:dyDescent="0.25">
      <c r="C848" s="53"/>
      <c r="N848" s="53"/>
    </row>
    <row r="849" spans="3:14" ht="12.5" x14ac:dyDescent="0.25">
      <c r="C849" s="53"/>
      <c r="N849" s="53"/>
    </row>
    <row r="850" spans="3:14" ht="12.5" x14ac:dyDescent="0.25">
      <c r="C850" s="53"/>
      <c r="N850" s="53"/>
    </row>
    <row r="851" spans="3:14" ht="12.5" x14ac:dyDescent="0.25">
      <c r="C851" s="53"/>
      <c r="N851" s="53"/>
    </row>
    <row r="852" spans="3:14" ht="12.5" x14ac:dyDescent="0.25">
      <c r="C852" s="53"/>
      <c r="N852" s="53"/>
    </row>
    <row r="853" spans="3:14" ht="12.5" x14ac:dyDescent="0.25">
      <c r="C853" s="53"/>
      <c r="N853" s="53"/>
    </row>
    <row r="854" spans="3:14" ht="12.5" x14ac:dyDescent="0.25">
      <c r="C854" s="53"/>
      <c r="N854" s="53"/>
    </row>
    <row r="855" spans="3:14" ht="12.5" x14ac:dyDescent="0.25">
      <c r="C855" s="53"/>
      <c r="N855" s="53"/>
    </row>
    <row r="856" spans="3:14" ht="12.5" x14ac:dyDescent="0.25">
      <c r="C856" s="53"/>
      <c r="N856" s="53"/>
    </row>
    <row r="857" spans="3:14" ht="12.5" x14ac:dyDescent="0.25">
      <c r="C857" s="53"/>
      <c r="N857" s="53"/>
    </row>
    <row r="858" spans="3:14" ht="12.5" x14ac:dyDescent="0.25">
      <c r="C858" s="53"/>
      <c r="N858" s="53"/>
    </row>
    <row r="859" spans="3:14" ht="12.5" x14ac:dyDescent="0.25">
      <c r="C859" s="53"/>
      <c r="N859" s="53"/>
    </row>
    <row r="860" spans="3:14" ht="12.5" x14ac:dyDescent="0.25">
      <c r="C860" s="53"/>
      <c r="N860" s="53"/>
    </row>
    <row r="861" spans="3:14" ht="12.5" x14ac:dyDescent="0.25">
      <c r="C861" s="53"/>
      <c r="N861" s="53"/>
    </row>
    <row r="862" spans="3:14" ht="12.5" x14ac:dyDescent="0.25">
      <c r="C862" s="53"/>
      <c r="N862" s="53"/>
    </row>
    <row r="863" spans="3:14" ht="12.5" x14ac:dyDescent="0.25">
      <c r="C863" s="53"/>
      <c r="N863" s="53"/>
    </row>
    <row r="864" spans="3:14" ht="12.5" x14ac:dyDescent="0.25">
      <c r="C864" s="53"/>
      <c r="N864" s="53"/>
    </row>
    <row r="865" spans="3:14" ht="12.5" x14ac:dyDescent="0.25">
      <c r="C865" s="53"/>
      <c r="N865" s="53"/>
    </row>
    <row r="866" spans="3:14" ht="12.5" x14ac:dyDescent="0.25">
      <c r="C866" s="53"/>
      <c r="N866" s="53"/>
    </row>
    <row r="867" spans="3:14" ht="12.5" x14ac:dyDescent="0.25">
      <c r="C867" s="53"/>
      <c r="N867" s="53"/>
    </row>
    <row r="868" spans="3:14" ht="12.5" x14ac:dyDescent="0.25">
      <c r="C868" s="53"/>
      <c r="N868" s="53"/>
    </row>
    <row r="869" spans="3:14" ht="12.5" x14ac:dyDescent="0.25">
      <c r="C869" s="53"/>
      <c r="N869" s="53"/>
    </row>
    <row r="870" spans="3:14" ht="12.5" x14ac:dyDescent="0.25">
      <c r="C870" s="53"/>
      <c r="N870" s="53"/>
    </row>
    <row r="871" spans="3:14" ht="12.5" x14ac:dyDescent="0.25">
      <c r="C871" s="53"/>
      <c r="N871" s="53"/>
    </row>
    <row r="872" spans="3:14" ht="12.5" x14ac:dyDescent="0.25">
      <c r="C872" s="53"/>
      <c r="N872" s="53"/>
    </row>
    <row r="873" spans="3:14" ht="12.5" x14ac:dyDescent="0.25">
      <c r="C873" s="53"/>
      <c r="N873" s="53"/>
    </row>
    <row r="874" spans="3:14" ht="12.5" x14ac:dyDescent="0.25">
      <c r="C874" s="53"/>
      <c r="N874" s="53"/>
    </row>
    <row r="875" spans="3:14" ht="12.5" x14ac:dyDescent="0.25">
      <c r="C875" s="53"/>
      <c r="N875" s="53"/>
    </row>
    <row r="876" spans="3:14" ht="12.5" x14ac:dyDescent="0.25">
      <c r="C876" s="53"/>
      <c r="N876" s="53"/>
    </row>
    <row r="877" spans="3:14" ht="12.5" x14ac:dyDescent="0.25">
      <c r="C877" s="53"/>
      <c r="N877" s="53"/>
    </row>
    <row r="878" spans="3:14" ht="12.5" x14ac:dyDescent="0.25">
      <c r="C878" s="53"/>
      <c r="N878" s="53"/>
    </row>
    <row r="879" spans="3:14" ht="12.5" x14ac:dyDescent="0.25">
      <c r="C879" s="53"/>
      <c r="N879" s="53"/>
    </row>
    <row r="880" spans="3:14" ht="12.5" x14ac:dyDescent="0.25">
      <c r="C880" s="53"/>
      <c r="N880" s="53"/>
    </row>
    <row r="881" spans="3:14" ht="12.5" x14ac:dyDescent="0.25">
      <c r="C881" s="53"/>
      <c r="N881" s="53"/>
    </row>
    <row r="882" spans="3:14" ht="12.5" x14ac:dyDescent="0.25">
      <c r="C882" s="53"/>
      <c r="N882" s="53"/>
    </row>
    <row r="883" spans="3:14" ht="12.5" x14ac:dyDescent="0.25">
      <c r="C883" s="53"/>
      <c r="N883" s="53"/>
    </row>
    <row r="884" spans="3:14" ht="12.5" x14ac:dyDescent="0.25">
      <c r="C884" s="53"/>
      <c r="N884" s="53"/>
    </row>
    <row r="885" spans="3:14" ht="12.5" x14ac:dyDescent="0.25">
      <c r="C885" s="53"/>
      <c r="N885" s="53"/>
    </row>
    <row r="886" spans="3:14" ht="12.5" x14ac:dyDescent="0.25">
      <c r="C886" s="53"/>
      <c r="N886" s="53"/>
    </row>
    <row r="887" spans="3:14" ht="12.5" x14ac:dyDescent="0.25">
      <c r="C887" s="53"/>
      <c r="N887" s="53"/>
    </row>
    <row r="888" spans="3:14" ht="12.5" x14ac:dyDescent="0.25">
      <c r="C888" s="53"/>
      <c r="N888" s="53"/>
    </row>
    <row r="889" spans="3:14" ht="12.5" x14ac:dyDescent="0.25">
      <c r="C889" s="53"/>
      <c r="N889" s="53"/>
    </row>
    <row r="890" spans="3:14" ht="12.5" x14ac:dyDescent="0.25">
      <c r="C890" s="53"/>
      <c r="N890" s="53"/>
    </row>
    <row r="891" spans="3:14" ht="12.5" x14ac:dyDescent="0.25">
      <c r="C891" s="53"/>
      <c r="N891" s="53"/>
    </row>
    <row r="892" spans="3:14" ht="12.5" x14ac:dyDescent="0.25">
      <c r="C892" s="53"/>
      <c r="N892" s="53"/>
    </row>
    <row r="893" spans="3:14" ht="12.5" x14ac:dyDescent="0.25">
      <c r="C893" s="53"/>
      <c r="N893" s="53"/>
    </row>
    <row r="894" spans="3:14" ht="12.5" x14ac:dyDescent="0.25">
      <c r="C894" s="53"/>
      <c r="N894" s="53"/>
    </row>
    <row r="895" spans="3:14" ht="12.5" x14ac:dyDescent="0.25">
      <c r="C895" s="53"/>
      <c r="N895" s="53"/>
    </row>
    <row r="896" spans="3:14" ht="12.5" x14ac:dyDescent="0.25">
      <c r="C896" s="53"/>
      <c r="N896" s="53"/>
    </row>
    <row r="897" spans="3:14" ht="12.5" x14ac:dyDescent="0.25">
      <c r="C897" s="53"/>
      <c r="N897" s="53"/>
    </row>
    <row r="898" spans="3:14" ht="12.5" x14ac:dyDescent="0.25">
      <c r="C898" s="53"/>
      <c r="N898" s="53"/>
    </row>
    <row r="899" spans="3:14" ht="12.5" x14ac:dyDescent="0.25">
      <c r="C899" s="53"/>
      <c r="N899" s="53"/>
    </row>
    <row r="900" spans="3:14" ht="12.5" x14ac:dyDescent="0.25">
      <c r="C900" s="53"/>
      <c r="N900" s="53"/>
    </row>
    <row r="901" spans="3:14" ht="12.5" x14ac:dyDescent="0.25">
      <c r="C901" s="53"/>
      <c r="N901" s="53"/>
    </row>
    <row r="902" spans="3:14" ht="12.5" x14ac:dyDescent="0.25">
      <c r="C902" s="53"/>
      <c r="N902" s="53"/>
    </row>
    <row r="903" spans="3:14" ht="12.5" x14ac:dyDescent="0.25">
      <c r="C903" s="53"/>
      <c r="N903" s="53"/>
    </row>
    <row r="904" spans="3:14" ht="12.5" x14ac:dyDescent="0.25">
      <c r="C904" s="53"/>
      <c r="N904" s="53"/>
    </row>
    <row r="905" spans="3:14" ht="12.5" x14ac:dyDescent="0.25">
      <c r="C905" s="53"/>
      <c r="N905" s="53"/>
    </row>
    <row r="906" spans="3:14" ht="12.5" x14ac:dyDescent="0.25">
      <c r="C906" s="53"/>
      <c r="N906" s="53"/>
    </row>
    <row r="907" spans="3:14" ht="12.5" x14ac:dyDescent="0.25">
      <c r="C907" s="53"/>
      <c r="N907" s="53"/>
    </row>
    <row r="908" spans="3:14" ht="12.5" x14ac:dyDescent="0.25">
      <c r="C908" s="53"/>
      <c r="N908" s="53"/>
    </row>
    <row r="909" spans="3:14" ht="12.5" x14ac:dyDescent="0.25">
      <c r="C909" s="53"/>
      <c r="N909" s="53"/>
    </row>
    <row r="910" spans="3:14" ht="12.5" x14ac:dyDescent="0.25">
      <c r="C910" s="53"/>
      <c r="N910" s="53"/>
    </row>
    <row r="911" spans="3:14" ht="12.5" x14ac:dyDescent="0.25">
      <c r="C911" s="53"/>
      <c r="N911" s="53"/>
    </row>
    <row r="912" spans="3:14" ht="12.5" x14ac:dyDescent="0.25">
      <c r="C912" s="53"/>
      <c r="N912" s="53"/>
    </row>
    <row r="913" spans="3:14" ht="12.5" x14ac:dyDescent="0.25">
      <c r="C913" s="53"/>
      <c r="N913" s="53"/>
    </row>
    <row r="914" spans="3:14" ht="12.5" x14ac:dyDescent="0.25">
      <c r="C914" s="53"/>
      <c r="N914" s="53"/>
    </row>
    <row r="915" spans="3:14" ht="12.5" x14ac:dyDescent="0.25">
      <c r="C915" s="53"/>
      <c r="N915" s="53"/>
    </row>
    <row r="916" spans="3:14" ht="12.5" x14ac:dyDescent="0.25">
      <c r="C916" s="53"/>
      <c r="N916" s="53"/>
    </row>
    <row r="917" spans="3:14" ht="12.5" x14ac:dyDescent="0.25">
      <c r="C917" s="53"/>
      <c r="N917" s="53"/>
    </row>
    <row r="918" spans="3:14" ht="12.5" x14ac:dyDescent="0.25">
      <c r="C918" s="53"/>
      <c r="N918" s="53"/>
    </row>
    <row r="919" spans="3:14" ht="12.5" x14ac:dyDescent="0.25">
      <c r="C919" s="53"/>
      <c r="N919" s="53"/>
    </row>
    <row r="920" spans="3:14" ht="12.5" x14ac:dyDescent="0.25">
      <c r="C920" s="53"/>
      <c r="N920" s="53"/>
    </row>
    <row r="921" spans="3:14" ht="12.5" x14ac:dyDescent="0.25">
      <c r="C921" s="53"/>
      <c r="N921" s="53"/>
    </row>
    <row r="922" spans="3:14" ht="12.5" x14ac:dyDescent="0.25">
      <c r="C922" s="53"/>
      <c r="N922" s="53"/>
    </row>
    <row r="923" spans="3:14" ht="12.5" x14ac:dyDescent="0.25">
      <c r="C923" s="53"/>
      <c r="N923" s="53"/>
    </row>
    <row r="924" spans="3:14" ht="12.5" x14ac:dyDescent="0.25">
      <c r="C924" s="53"/>
      <c r="N924" s="53"/>
    </row>
    <row r="925" spans="3:14" ht="12.5" x14ac:dyDescent="0.25">
      <c r="C925" s="53"/>
      <c r="N925" s="53"/>
    </row>
    <row r="926" spans="3:14" ht="12.5" x14ac:dyDescent="0.25">
      <c r="C926" s="53"/>
      <c r="N926" s="53"/>
    </row>
    <row r="927" spans="3:14" ht="12.5" x14ac:dyDescent="0.25">
      <c r="C927" s="53"/>
      <c r="N927" s="53"/>
    </row>
    <row r="928" spans="3:14" ht="12.5" x14ac:dyDescent="0.25">
      <c r="C928" s="53"/>
      <c r="N928" s="53"/>
    </row>
    <row r="929" spans="3:14" ht="12.5" x14ac:dyDescent="0.25">
      <c r="C929" s="53"/>
      <c r="N929" s="53"/>
    </row>
    <row r="930" spans="3:14" ht="12.5" x14ac:dyDescent="0.25">
      <c r="C930" s="53"/>
      <c r="N930" s="53"/>
    </row>
    <row r="931" spans="3:14" ht="12.5" x14ac:dyDescent="0.25">
      <c r="C931" s="53"/>
      <c r="N931" s="53"/>
    </row>
    <row r="932" spans="3:14" ht="12.5" x14ac:dyDescent="0.25">
      <c r="C932" s="53"/>
      <c r="N932" s="53"/>
    </row>
    <row r="933" spans="3:14" ht="12.5" x14ac:dyDescent="0.25">
      <c r="C933" s="53"/>
      <c r="N933" s="53"/>
    </row>
    <row r="934" spans="3:14" ht="12.5" x14ac:dyDescent="0.25">
      <c r="C934" s="53"/>
      <c r="N934" s="53"/>
    </row>
    <row r="935" spans="3:14" ht="12.5" x14ac:dyDescent="0.25">
      <c r="C935" s="53"/>
      <c r="N935" s="53"/>
    </row>
    <row r="936" spans="3:14" ht="12.5" x14ac:dyDescent="0.25">
      <c r="C936" s="53"/>
      <c r="N936" s="53"/>
    </row>
    <row r="937" spans="3:14" ht="12.5" x14ac:dyDescent="0.25">
      <c r="C937" s="53"/>
      <c r="N937" s="53"/>
    </row>
    <row r="938" spans="3:14" ht="12.5" x14ac:dyDescent="0.25">
      <c r="C938" s="53"/>
      <c r="N938" s="53"/>
    </row>
    <row r="939" spans="3:14" ht="12.5" x14ac:dyDescent="0.25">
      <c r="C939" s="53"/>
      <c r="N939" s="53"/>
    </row>
    <row r="940" spans="3:14" ht="12.5" x14ac:dyDescent="0.25">
      <c r="C940" s="53"/>
      <c r="N940" s="53"/>
    </row>
    <row r="941" spans="3:14" ht="12.5" x14ac:dyDescent="0.25">
      <c r="C941" s="53"/>
      <c r="N941" s="53"/>
    </row>
    <row r="942" spans="3:14" ht="12.5" x14ac:dyDescent="0.25">
      <c r="C942" s="53"/>
      <c r="N942" s="53"/>
    </row>
    <row r="943" spans="3:14" ht="12.5" x14ac:dyDescent="0.25">
      <c r="C943" s="53"/>
      <c r="N943" s="53"/>
    </row>
    <row r="944" spans="3:14" ht="12.5" x14ac:dyDescent="0.25">
      <c r="C944" s="53"/>
      <c r="N944" s="53"/>
    </row>
    <row r="945" spans="3:14" ht="12.5" x14ac:dyDescent="0.25">
      <c r="C945" s="53"/>
      <c r="N945" s="53"/>
    </row>
    <row r="946" spans="3:14" ht="12.5" x14ac:dyDescent="0.25">
      <c r="C946" s="53"/>
      <c r="N946" s="53"/>
    </row>
    <row r="947" spans="3:14" ht="12.5" x14ac:dyDescent="0.25">
      <c r="C947" s="53"/>
      <c r="N947" s="53"/>
    </row>
    <row r="948" spans="3:14" ht="12.5" x14ac:dyDescent="0.25">
      <c r="C948" s="53"/>
      <c r="N948" s="53"/>
    </row>
    <row r="949" spans="3:14" ht="12.5" x14ac:dyDescent="0.25">
      <c r="C949" s="53"/>
      <c r="N949" s="53"/>
    </row>
    <row r="950" spans="3:14" ht="12.5" x14ac:dyDescent="0.25">
      <c r="C950" s="53"/>
      <c r="N950" s="53"/>
    </row>
    <row r="951" spans="3:14" ht="12.5" x14ac:dyDescent="0.25">
      <c r="C951" s="53"/>
      <c r="N951" s="53"/>
    </row>
    <row r="952" spans="3:14" ht="12.5" x14ac:dyDescent="0.25">
      <c r="C952" s="53"/>
      <c r="N952" s="53"/>
    </row>
    <row r="953" spans="3:14" ht="12.5" x14ac:dyDescent="0.25">
      <c r="C953" s="53"/>
      <c r="N953" s="53"/>
    </row>
    <row r="954" spans="3:14" ht="12.5" x14ac:dyDescent="0.25">
      <c r="C954" s="53"/>
      <c r="N954" s="53"/>
    </row>
    <row r="955" spans="3:14" ht="12.5" x14ac:dyDescent="0.25">
      <c r="C955" s="53"/>
      <c r="N955" s="53"/>
    </row>
    <row r="956" spans="3:14" ht="12.5" x14ac:dyDescent="0.25">
      <c r="C956" s="53"/>
      <c r="N956" s="53"/>
    </row>
    <row r="957" spans="3:14" ht="12.5" x14ac:dyDescent="0.25">
      <c r="C957" s="53"/>
      <c r="N957" s="53"/>
    </row>
    <row r="958" spans="3:14" ht="12.5" x14ac:dyDescent="0.25">
      <c r="C958" s="53"/>
      <c r="N958" s="53"/>
    </row>
    <row r="959" spans="3:14" ht="12.5" x14ac:dyDescent="0.25">
      <c r="C959" s="53"/>
      <c r="N959" s="53"/>
    </row>
    <row r="960" spans="3:14" ht="12.5" x14ac:dyDescent="0.25">
      <c r="C960" s="53"/>
      <c r="N960" s="53"/>
    </row>
    <row r="961" spans="3:14" ht="12.5" x14ac:dyDescent="0.25">
      <c r="C961" s="53"/>
      <c r="N961" s="53"/>
    </row>
    <row r="962" spans="3:14" ht="12.5" x14ac:dyDescent="0.25">
      <c r="C962" s="53"/>
      <c r="N962" s="53"/>
    </row>
    <row r="963" spans="3:14" ht="12.5" x14ac:dyDescent="0.25">
      <c r="C963" s="53"/>
      <c r="N963" s="53"/>
    </row>
    <row r="964" spans="3:14" ht="12.5" x14ac:dyDescent="0.25">
      <c r="C964" s="53"/>
      <c r="N964" s="53"/>
    </row>
    <row r="965" spans="3:14" ht="12.5" x14ac:dyDescent="0.25">
      <c r="C965" s="53"/>
      <c r="N965" s="53"/>
    </row>
    <row r="966" spans="3:14" ht="12.5" x14ac:dyDescent="0.25">
      <c r="C966" s="53"/>
      <c r="N966" s="53"/>
    </row>
    <row r="967" spans="3:14" ht="12.5" x14ac:dyDescent="0.25">
      <c r="C967" s="53"/>
      <c r="N967" s="53"/>
    </row>
    <row r="968" spans="3:14" ht="12.5" x14ac:dyDescent="0.25">
      <c r="C968" s="53"/>
      <c r="N968" s="53"/>
    </row>
    <row r="969" spans="3:14" ht="12.5" x14ac:dyDescent="0.25">
      <c r="C969" s="53"/>
      <c r="N969" s="53"/>
    </row>
    <row r="970" spans="3:14" ht="12.5" x14ac:dyDescent="0.25">
      <c r="C970" s="53"/>
      <c r="N970" s="53"/>
    </row>
    <row r="971" spans="3:14" ht="12.5" x14ac:dyDescent="0.25">
      <c r="C971" s="53"/>
      <c r="N971" s="53"/>
    </row>
    <row r="972" spans="3:14" ht="12.5" x14ac:dyDescent="0.25">
      <c r="C972" s="53"/>
      <c r="N972" s="53"/>
    </row>
    <row r="973" spans="3:14" ht="12.5" x14ac:dyDescent="0.25">
      <c r="C973" s="53"/>
      <c r="N973" s="53"/>
    </row>
    <row r="974" spans="3:14" ht="12.5" x14ac:dyDescent="0.25">
      <c r="C974" s="53"/>
      <c r="N974" s="53"/>
    </row>
    <row r="975" spans="3:14" ht="12.5" x14ac:dyDescent="0.25">
      <c r="C975" s="53"/>
      <c r="N975" s="53"/>
    </row>
    <row r="976" spans="3:14" ht="12.5" x14ac:dyDescent="0.25">
      <c r="C976" s="53"/>
      <c r="N976" s="53"/>
    </row>
    <row r="977" spans="3:14" ht="12.5" x14ac:dyDescent="0.25">
      <c r="C977" s="53"/>
      <c r="N977" s="53"/>
    </row>
    <row r="978" spans="3:14" ht="12.5" x14ac:dyDescent="0.25">
      <c r="C978" s="53"/>
      <c r="N978" s="53"/>
    </row>
    <row r="979" spans="3:14" ht="12.5" x14ac:dyDescent="0.25">
      <c r="C979" s="53"/>
      <c r="N979" s="53"/>
    </row>
    <row r="980" spans="3:14" ht="12.5" x14ac:dyDescent="0.25">
      <c r="C980" s="53"/>
      <c r="N980" s="53"/>
    </row>
    <row r="981" spans="3:14" ht="12.5" x14ac:dyDescent="0.25">
      <c r="C981" s="53"/>
      <c r="N981" s="53"/>
    </row>
    <row r="982" spans="3:14" ht="12.5" x14ac:dyDescent="0.25">
      <c r="C982" s="53"/>
      <c r="N982" s="53"/>
    </row>
    <row r="983" spans="3:14" ht="12.5" x14ac:dyDescent="0.25">
      <c r="C983" s="53"/>
      <c r="N983" s="53"/>
    </row>
    <row r="984" spans="3:14" ht="12.5" x14ac:dyDescent="0.25">
      <c r="C984" s="53"/>
      <c r="N984" s="53"/>
    </row>
    <row r="985" spans="3:14" ht="12.5" x14ac:dyDescent="0.25">
      <c r="C985" s="53"/>
      <c r="N985" s="53"/>
    </row>
    <row r="986" spans="3:14" ht="12.5" x14ac:dyDescent="0.25">
      <c r="C986" s="53"/>
      <c r="N986" s="53"/>
    </row>
    <row r="987" spans="3:14" ht="12.5" x14ac:dyDescent="0.25">
      <c r="C987" s="53"/>
      <c r="N987" s="53"/>
    </row>
    <row r="988" spans="3:14" ht="12.5" x14ac:dyDescent="0.25">
      <c r="C988" s="53"/>
      <c r="N988" s="53"/>
    </row>
    <row r="989" spans="3:14" ht="12.5" x14ac:dyDescent="0.25">
      <c r="C989" s="53"/>
      <c r="N989" s="53"/>
    </row>
    <row r="990" spans="3:14" ht="12.5" x14ac:dyDescent="0.25">
      <c r="C990" s="53"/>
      <c r="N990" s="53"/>
    </row>
    <row r="991" spans="3:14" ht="12.5" x14ac:dyDescent="0.25">
      <c r="C991" s="53"/>
      <c r="N991" s="53"/>
    </row>
    <row r="992" spans="3:14" ht="12.5" x14ac:dyDescent="0.25">
      <c r="C992" s="53"/>
      <c r="N992" s="53"/>
    </row>
    <row r="993" spans="3:14" ht="12.5" x14ac:dyDescent="0.25">
      <c r="C993" s="53"/>
      <c r="N993" s="53"/>
    </row>
    <row r="994" spans="3:14" ht="12.5" x14ac:dyDescent="0.25">
      <c r="C994" s="53"/>
      <c r="N994" s="53"/>
    </row>
    <row r="995" spans="3:14" ht="12.5" x14ac:dyDescent="0.25">
      <c r="C995" s="53"/>
      <c r="N995" s="53"/>
    </row>
    <row r="996" spans="3:14" ht="12.5" x14ac:dyDescent="0.25">
      <c r="C996" s="53"/>
      <c r="N996" s="53"/>
    </row>
    <row r="997" spans="3:14" ht="12.5" x14ac:dyDescent="0.25">
      <c r="C997" s="53"/>
      <c r="N997" s="53"/>
    </row>
    <row r="998" spans="3:14" ht="12.5" x14ac:dyDescent="0.25">
      <c r="C998" s="53"/>
      <c r="N998" s="53"/>
    </row>
    <row r="999" spans="3:14" ht="12.5" x14ac:dyDescent="0.25">
      <c r="C999" s="53"/>
      <c r="N999" s="53"/>
    </row>
    <row r="1000" spans="3:14" ht="12.5" x14ac:dyDescent="0.25">
      <c r="C1000" s="53"/>
      <c r="N1000" s="53"/>
    </row>
    <row r="1001" spans="3:14" ht="12.5" x14ac:dyDescent="0.25">
      <c r="C1001" s="53"/>
      <c r="N1001" s="53"/>
    </row>
    <row r="1002" spans="3:14" ht="12.5" x14ac:dyDescent="0.25">
      <c r="C1002" s="53"/>
      <c r="N1002" s="53"/>
    </row>
    <row r="1003" spans="3:14" ht="12.5" x14ac:dyDescent="0.25">
      <c r="C1003" s="53"/>
      <c r="N1003" s="53"/>
    </row>
    <row r="1004" spans="3:14" ht="12.5" x14ac:dyDescent="0.25">
      <c r="C1004" s="53"/>
      <c r="N1004" s="53"/>
    </row>
    <row r="1005" spans="3:14" ht="12.5" x14ac:dyDescent="0.25">
      <c r="C1005" s="53"/>
      <c r="N1005" s="53"/>
    </row>
    <row r="1006" spans="3:14" ht="12.5" x14ac:dyDescent="0.25">
      <c r="C1006" s="53"/>
      <c r="N1006" s="53"/>
    </row>
    <row r="1007" spans="3:14" ht="12.5" x14ac:dyDescent="0.25">
      <c r="C1007" s="53"/>
      <c r="N1007" s="53"/>
    </row>
    <row r="1008" spans="3:14" ht="12.5" x14ac:dyDescent="0.25">
      <c r="C1008" s="53"/>
      <c r="N1008" s="53"/>
    </row>
    <row r="1009" spans="3:14" ht="12.5" x14ac:dyDescent="0.25">
      <c r="C1009" s="53"/>
      <c r="N1009" s="53"/>
    </row>
    <row r="1010" spans="3:14" ht="12.5" x14ac:dyDescent="0.25">
      <c r="C1010" s="53"/>
      <c r="N1010" s="53"/>
    </row>
    <row r="1011" spans="3:14" ht="12.5" x14ac:dyDescent="0.25">
      <c r="C1011" s="53"/>
      <c r="N1011" s="53"/>
    </row>
    <row r="1012" spans="3:14" ht="12.5" x14ac:dyDescent="0.25">
      <c r="C1012" s="53"/>
      <c r="N1012" s="53"/>
    </row>
    <row r="1013" spans="3:14" ht="12.5" x14ac:dyDescent="0.25">
      <c r="C1013" s="53"/>
      <c r="N1013" s="53"/>
    </row>
    <row r="1014" spans="3:14" ht="12.5" x14ac:dyDescent="0.25">
      <c r="C1014" s="53"/>
      <c r="N1014" s="53"/>
    </row>
    <row r="1015" spans="3:14" ht="12.5" x14ac:dyDescent="0.25">
      <c r="C1015" s="53"/>
      <c r="N1015" s="53"/>
    </row>
    <row r="1016" spans="3:14" ht="12.5" x14ac:dyDescent="0.25">
      <c r="C1016" s="53"/>
      <c r="N1016" s="53"/>
    </row>
    <row r="1017" spans="3:14" ht="12.5" x14ac:dyDescent="0.25">
      <c r="C1017" s="53"/>
      <c r="N1017" s="5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E1017"/>
  <sheetViews>
    <sheetView showGridLines="0" workbookViewId="0">
      <pane xSplit="14" ySplit="5" topLeftCell="O6" activePane="bottomRight" state="frozen"/>
      <selection pane="topRight" activeCell="O1" sqref="O1"/>
      <selection pane="bottomLeft" activeCell="A6" sqref="A6"/>
      <selection pane="bottomRight" activeCell="O6" sqref="O6"/>
    </sheetView>
  </sheetViews>
  <sheetFormatPr defaultColWidth="12.6328125" defaultRowHeight="15.75" customHeight="1" x14ac:dyDescent="0.25"/>
  <cols>
    <col min="1" max="1" width="3.7265625" customWidth="1"/>
    <col min="2" max="2" width="25.36328125" customWidth="1"/>
    <col min="3" max="3" width="1.453125" customWidth="1"/>
    <col min="4" max="11" width="7" customWidth="1"/>
    <col min="12" max="13" width="7.36328125" customWidth="1"/>
    <col min="14" max="14" width="1.7265625" customWidth="1"/>
  </cols>
  <sheetData>
    <row r="1" spans="2:135" ht="12.5" x14ac:dyDescent="0.25">
      <c r="P1" s="53">
        <v>1</v>
      </c>
      <c r="Q1" s="53">
        <f t="shared" ref="Q1:ED1" si="0">P1+1</f>
        <v>2</v>
      </c>
      <c r="R1" s="53">
        <f t="shared" si="0"/>
        <v>3</v>
      </c>
      <c r="S1" s="53">
        <f t="shared" si="0"/>
        <v>4</v>
      </c>
      <c r="T1" s="53">
        <f t="shared" si="0"/>
        <v>5</v>
      </c>
      <c r="U1" s="53">
        <f t="shared" si="0"/>
        <v>6</v>
      </c>
      <c r="V1" s="53">
        <f t="shared" si="0"/>
        <v>7</v>
      </c>
      <c r="W1" s="53">
        <f t="shared" si="0"/>
        <v>8</v>
      </c>
      <c r="X1" s="53">
        <f t="shared" si="0"/>
        <v>9</v>
      </c>
      <c r="Y1" s="53">
        <f t="shared" si="0"/>
        <v>10</v>
      </c>
      <c r="Z1" s="53">
        <f t="shared" si="0"/>
        <v>11</v>
      </c>
      <c r="AA1" s="53">
        <f t="shared" si="0"/>
        <v>12</v>
      </c>
      <c r="AB1" s="53">
        <f t="shared" si="0"/>
        <v>13</v>
      </c>
      <c r="AC1" s="53">
        <f t="shared" si="0"/>
        <v>14</v>
      </c>
      <c r="AD1" s="53">
        <f t="shared" si="0"/>
        <v>15</v>
      </c>
      <c r="AE1" s="53">
        <f t="shared" si="0"/>
        <v>16</v>
      </c>
      <c r="AF1" s="53">
        <f t="shared" si="0"/>
        <v>17</v>
      </c>
      <c r="AG1" s="53">
        <f t="shared" si="0"/>
        <v>18</v>
      </c>
      <c r="AH1" s="53">
        <f t="shared" si="0"/>
        <v>19</v>
      </c>
      <c r="AI1" s="53">
        <f t="shared" si="0"/>
        <v>20</v>
      </c>
      <c r="AJ1" s="53">
        <f t="shared" si="0"/>
        <v>21</v>
      </c>
      <c r="AK1" s="53">
        <f t="shared" si="0"/>
        <v>22</v>
      </c>
      <c r="AL1" s="53">
        <f t="shared" si="0"/>
        <v>23</v>
      </c>
      <c r="AM1" s="53">
        <f t="shared" si="0"/>
        <v>24</v>
      </c>
      <c r="AN1" s="53">
        <f t="shared" si="0"/>
        <v>25</v>
      </c>
      <c r="AO1" s="53">
        <f t="shared" si="0"/>
        <v>26</v>
      </c>
      <c r="AP1" s="53">
        <f t="shared" si="0"/>
        <v>27</v>
      </c>
      <c r="AQ1" s="53">
        <f t="shared" si="0"/>
        <v>28</v>
      </c>
      <c r="AR1" s="53">
        <f t="shared" si="0"/>
        <v>29</v>
      </c>
      <c r="AS1" s="53">
        <f t="shared" si="0"/>
        <v>30</v>
      </c>
      <c r="AT1" s="53">
        <f t="shared" si="0"/>
        <v>31</v>
      </c>
      <c r="AU1" s="53">
        <f t="shared" si="0"/>
        <v>32</v>
      </c>
      <c r="AV1" s="53">
        <f t="shared" si="0"/>
        <v>33</v>
      </c>
      <c r="AW1" s="53">
        <f t="shared" si="0"/>
        <v>34</v>
      </c>
      <c r="AX1" s="53">
        <f t="shared" si="0"/>
        <v>35</v>
      </c>
      <c r="AY1" s="53">
        <f t="shared" si="0"/>
        <v>36</v>
      </c>
      <c r="AZ1" s="53">
        <f t="shared" si="0"/>
        <v>37</v>
      </c>
      <c r="BA1" s="53">
        <f t="shared" si="0"/>
        <v>38</v>
      </c>
      <c r="BB1" s="53">
        <f t="shared" si="0"/>
        <v>39</v>
      </c>
      <c r="BC1" s="53">
        <f t="shared" si="0"/>
        <v>40</v>
      </c>
      <c r="BD1" s="53">
        <f t="shared" si="0"/>
        <v>41</v>
      </c>
      <c r="BE1" s="53">
        <f t="shared" si="0"/>
        <v>42</v>
      </c>
      <c r="BF1" s="53">
        <f t="shared" si="0"/>
        <v>43</v>
      </c>
      <c r="BG1" s="53">
        <f t="shared" si="0"/>
        <v>44</v>
      </c>
      <c r="BH1" s="53">
        <f t="shared" si="0"/>
        <v>45</v>
      </c>
      <c r="BI1" s="53">
        <f t="shared" si="0"/>
        <v>46</v>
      </c>
      <c r="BJ1" s="53">
        <f t="shared" si="0"/>
        <v>47</v>
      </c>
      <c r="BK1" s="53">
        <f t="shared" si="0"/>
        <v>48</v>
      </c>
      <c r="BL1" s="53">
        <f t="shared" si="0"/>
        <v>49</v>
      </c>
      <c r="BM1" s="53">
        <f t="shared" si="0"/>
        <v>50</v>
      </c>
      <c r="BN1" s="53">
        <f t="shared" si="0"/>
        <v>51</v>
      </c>
      <c r="BO1" s="53">
        <f t="shared" si="0"/>
        <v>52</v>
      </c>
      <c r="BP1" s="53">
        <f t="shared" si="0"/>
        <v>53</v>
      </c>
      <c r="BQ1" s="53">
        <f t="shared" si="0"/>
        <v>54</v>
      </c>
      <c r="BR1" s="53">
        <f t="shared" si="0"/>
        <v>55</v>
      </c>
      <c r="BS1" s="53">
        <f t="shared" si="0"/>
        <v>56</v>
      </c>
      <c r="BT1" s="53">
        <f t="shared" si="0"/>
        <v>57</v>
      </c>
      <c r="BU1" s="53">
        <f t="shared" si="0"/>
        <v>58</v>
      </c>
      <c r="BV1" s="53">
        <f t="shared" si="0"/>
        <v>59</v>
      </c>
      <c r="BW1" s="53">
        <f t="shared" si="0"/>
        <v>60</v>
      </c>
      <c r="BX1" s="53">
        <f t="shared" si="0"/>
        <v>61</v>
      </c>
      <c r="BY1" s="53">
        <f t="shared" si="0"/>
        <v>62</v>
      </c>
      <c r="BZ1" s="53">
        <f t="shared" si="0"/>
        <v>63</v>
      </c>
      <c r="CA1" s="53">
        <f t="shared" si="0"/>
        <v>64</v>
      </c>
      <c r="CB1" s="53">
        <f t="shared" si="0"/>
        <v>65</v>
      </c>
      <c r="CC1" s="53">
        <f t="shared" si="0"/>
        <v>66</v>
      </c>
      <c r="CD1" s="53">
        <f t="shared" si="0"/>
        <v>67</v>
      </c>
      <c r="CE1" s="53">
        <f t="shared" si="0"/>
        <v>68</v>
      </c>
      <c r="CF1" s="53">
        <f t="shared" si="0"/>
        <v>69</v>
      </c>
      <c r="CG1" s="53">
        <f t="shared" si="0"/>
        <v>70</v>
      </c>
      <c r="CH1" s="53">
        <f t="shared" si="0"/>
        <v>71</v>
      </c>
      <c r="CI1" s="53">
        <f t="shared" si="0"/>
        <v>72</v>
      </c>
      <c r="CJ1" s="53">
        <f t="shared" si="0"/>
        <v>73</v>
      </c>
      <c r="CK1" s="53">
        <f t="shared" si="0"/>
        <v>74</v>
      </c>
      <c r="CL1" s="53">
        <f t="shared" si="0"/>
        <v>75</v>
      </c>
      <c r="CM1" s="53">
        <f t="shared" si="0"/>
        <v>76</v>
      </c>
      <c r="CN1" s="53">
        <f t="shared" si="0"/>
        <v>77</v>
      </c>
      <c r="CO1" s="53">
        <f t="shared" si="0"/>
        <v>78</v>
      </c>
      <c r="CP1" s="53">
        <f t="shared" si="0"/>
        <v>79</v>
      </c>
      <c r="CQ1" s="53">
        <f t="shared" si="0"/>
        <v>80</v>
      </c>
      <c r="CR1" s="53">
        <f t="shared" si="0"/>
        <v>81</v>
      </c>
      <c r="CS1" s="53">
        <f t="shared" si="0"/>
        <v>82</v>
      </c>
      <c r="CT1" s="53">
        <f t="shared" si="0"/>
        <v>83</v>
      </c>
      <c r="CU1" s="53">
        <f t="shared" si="0"/>
        <v>84</v>
      </c>
      <c r="CV1" s="53">
        <f t="shared" si="0"/>
        <v>85</v>
      </c>
      <c r="CW1" s="53">
        <f t="shared" si="0"/>
        <v>86</v>
      </c>
      <c r="CX1" s="53">
        <f t="shared" si="0"/>
        <v>87</v>
      </c>
      <c r="CY1" s="53">
        <f t="shared" si="0"/>
        <v>88</v>
      </c>
      <c r="CZ1" s="53">
        <f t="shared" si="0"/>
        <v>89</v>
      </c>
      <c r="DA1" s="53">
        <f t="shared" si="0"/>
        <v>90</v>
      </c>
      <c r="DB1" s="53">
        <f t="shared" si="0"/>
        <v>91</v>
      </c>
      <c r="DC1" s="53">
        <f t="shared" si="0"/>
        <v>92</v>
      </c>
      <c r="DD1" s="53">
        <f t="shared" si="0"/>
        <v>93</v>
      </c>
      <c r="DE1" s="53">
        <f t="shared" si="0"/>
        <v>94</v>
      </c>
      <c r="DF1" s="53">
        <f t="shared" si="0"/>
        <v>95</v>
      </c>
      <c r="DG1" s="53">
        <f t="shared" si="0"/>
        <v>96</v>
      </c>
      <c r="DH1" s="53">
        <f t="shared" si="0"/>
        <v>97</v>
      </c>
      <c r="DI1" s="53">
        <f t="shared" si="0"/>
        <v>98</v>
      </c>
      <c r="DJ1" s="53">
        <f t="shared" si="0"/>
        <v>99</v>
      </c>
      <c r="DK1" s="53">
        <f t="shared" si="0"/>
        <v>100</v>
      </c>
      <c r="DL1" s="53">
        <f t="shared" si="0"/>
        <v>101</v>
      </c>
      <c r="DM1" s="53">
        <f t="shared" si="0"/>
        <v>102</v>
      </c>
      <c r="DN1" s="53">
        <f t="shared" si="0"/>
        <v>103</v>
      </c>
      <c r="DO1" s="53">
        <f t="shared" si="0"/>
        <v>104</v>
      </c>
      <c r="DP1" s="53">
        <f t="shared" si="0"/>
        <v>105</v>
      </c>
      <c r="DQ1" s="53">
        <f t="shared" si="0"/>
        <v>106</v>
      </c>
      <c r="DR1" s="53">
        <f t="shared" si="0"/>
        <v>107</v>
      </c>
      <c r="DS1" s="53">
        <f t="shared" si="0"/>
        <v>108</v>
      </c>
      <c r="DT1" s="53">
        <f t="shared" si="0"/>
        <v>109</v>
      </c>
      <c r="DU1" s="53">
        <f t="shared" si="0"/>
        <v>110</v>
      </c>
      <c r="DV1" s="53">
        <f t="shared" si="0"/>
        <v>111</v>
      </c>
      <c r="DW1" s="53">
        <f t="shared" si="0"/>
        <v>112</v>
      </c>
      <c r="DX1" s="53">
        <f t="shared" si="0"/>
        <v>113</v>
      </c>
      <c r="DY1" s="53">
        <f t="shared" si="0"/>
        <v>114</v>
      </c>
      <c r="DZ1" s="53">
        <f t="shared" si="0"/>
        <v>115</v>
      </c>
      <c r="EA1" s="53">
        <f t="shared" si="0"/>
        <v>116</v>
      </c>
      <c r="EB1" s="53">
        <f t="shared" si="0"/>
        <v>117</v>
      </c>
      <c r="EC1" s="53">
        <f t="shared" si="0"/>
        <v>118</v>
      </c>
      <c r="ED1" s="53">
        <f t="shared" si="0"/>
        <v>119</v>
      </c>
      <c r="EE1" s="53"/>
    </row>
    <row r="2" spans="2:135" ht="12.5" x14ac:dyDescent="0.25"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>
        <v>1</v>
      </c>
      <c r="P2" s="53">
        <f t="shared" ref="P2:ED2" si="1">O2+1</f>
        <v>2</v>
      </c>
      <c r="Q2" s="53">
        <f t="shared" si="1"/>
        <v>3</v>
      </c>
      <c r="R2" s="53">
        <f t="shared" si="1"/>
        <v>4</v>
      </c>
      <c r="S2" s="53">
        <f t="shared" si="1"/>
        <v>5</v>
      </c>
      <c r="T2" s="53">
        <f t="shared" si="1"/>
        <v>6</v>
      </c>
      <c r="U2" s="53">
        <f t="shared" si="1"/>
        <v>7</v>
      </c>
      <c r="V2" s="53">
        <f t="shared" si="1"/>
        <v>8</v>
      </c>
      <c r="W2" s="53">
        <f t="shared" si="1"/>
        <v>9</v>
      </c>
      <c r="X2" s="53">
        <f t="shared" si="1"/>
        <v>10</v>
      </c>
      <c r="Y2" s="53">
        <f t="shared" si="1"/>
        <v>11</v>
      </c>
      <c r="Z2" s="53">
        <f t="shared" si="1"/>
        <v>12</v>
      </c>
      <c r="AA2" s="53">
        <f t="shared" si="1"/>
        <v>13</v>
      </c>
      <c r="AB2" s="53">
        <f t="shared" si="1"/>
        <v>14</v>
      </c>
      <c r="AC2" s="53">
        <f t="shared" si="1"/>
        <v>15</v>
      </c>
      <c r="AD2" s="53">
        <f t="shared" si="1"/>
        <v>16</v>
      </c>
      <c r="AE2" s="53">
        <f t="shared" si="1"/>
        <v>17</v>
      </c>
      <c r="AF2" s="53">
        <f t="shared" si="1"/>
        <v>18</v>
      </c>
      <c r="AG2" s="53">
        <f t="shared" si="1"/>
        <v>19</v>
      </c>
      <c r="AH2" s="53">
        <f t="shared" si="1"/>
        <v>20</v>
      </c>
      <c r="AI2" s="53">
        <f t="shared" si="1"/>
        <v>21</v>
      </c>
      <c r="AJ2" s="53">
        <f t="shared" si="1"/>
        <v>22</v>
      </c>
      <c r="AK2" s="53">
        <f t="shared" si="1"/>
        <v>23</v>
      </c>
      <c r="AL2" s="53">
        <f t="shared" si="1"/>
        <v>24</v>
      </c>
      <c r="AM2" s="53">
        <f t="shared" si="1"/>
        <v>25</v>
      </c>
      <c r="AN2" s="53">
        <f t="shared" si="1"/>
        <v>26</v>
      </c>
      <c r="AO2" s="53">
        <f t="shared" si="1"/>
        <v>27</v>
      </c>
      <c r="AP2" s="53">
        <f t="shared" si="1"/>
        <v>28</v>
      </c>
      <c r="AQ2" s="53">
        <f t="shared" si="1"/>
        <v>29</v>
      </c>
      <c r="AR2" s="53">
        <f t="shared" si="1"/>
        <v>30</v>
      </c>
      <c r="AS2" s="53">
        <f t="shared" si="1"/>
        <v>31</v>
      </c>
      <c r="AT2" s="53">
        <f t="shared" si="1"/>
        <v>32</v>
      </c>
      <c r="AU2" s="53">
        <f t="shared" si="1"/>
        <v>33</v>
      </c>
      <c r="AV2" s="53">
        <f t="shared" si="1"/>
        <v>34</v>
      </c>
      <c r="AW2" s="53">
        <f t="shared" si="1"/>
        <v>35</v>
      </c>
      <c r="AX2" s="53">
        <f t="shared" si="1"/>
        <v>36</v>
      </c>
      <c r="AY2" s="53">
        <f t="shared" si="1"/>
        <v>37</v>
      </c>
      <c r="AZ2" s="53">
        <f t="shared" si="1"/>
        <v>38</v>
      </c>
      <c r="BA2" s="53">
        <f t="shared" si="1"/>
        <v>39</v>
      </c>
      <c r="BB2" s="53">
        <f t="shared" si="1"/>
        <v>40</v>
      </c>
      <c r="BC2" s="53">
        <f t="shared" si="1"/>
        <v>41</v>
      </c>
      <c r="BD2" s="53">
        <f t="shared" si="1"/>
        <v>42</v>
      </c>
      <c r="BE2" s="53">
        <f t="shared" si="1"/>
        <v>43</v>
      </c>
      <c r="BF2" s="53">
        <f t="shared" si="1"/>
        <v>44</v>
      </c>
      <c r="BG2" s="53">
        <f t="shared" si="1"/>
        <v>45</v>
      </c>
      <c r="BH2" s="53">
        <f t="shared" si="1"/>
        <v>46</v>
      </c>
      <c r="BI2" s="53">
        <f t="shared" si="1"/>
        <v>47</v>
      </c>
      <c r="BJ2" s="53">
        <f t="shared" si="1"/>
        <v>48</v>
      </c>
      <c r="BK2" s="53">
        <f t="shared" si="1"/>
        <v>49</v>
      </c>
      <c r="BL2" s="53">
        <f t="shared" si="1"/>
        <v>50</v>
      </c>
      <c r="BM2" s="53">
        <f t="shared" si="1"/>
        <v>51</v>
      </c>
      <c r="BN2" s="53">
        <f t="shared" si="1"/>
        <v>52</v>
      </c>
      <c r="BO2" s="53">
        <f t="shared" si="1"/>
        <v>53</v>
      </c>
      <c r="BP2" s="53">
        <f t="shared" si="1"/>
        <v>54</v>
      </c>
      <c r="BQ2" s="53">
        <f t="shared" si="1"/>
        <v>55</v>
      </c>
      <c r="BR2" s="53">
        <f t="shared" si="1"/>
        <v>56</v>
      </c>
      <c r="BS2" s="53">
        <f t="shared" si="1"/>
        <v>57</v>
      </c>
      <c r="BT2" s="53">
        <f t="shared" si="1"/>
        <v>58</v>
      </c>
      <c r="BU2" s="53">
        <f t="shared" si="1"/>
        <v>59</v>
      </c>
      <c r="BV2" s="53">
        <f t="shared" si="1"/>
        <v>60</v>
      </c>
      <c r="BW2" s="53">
        <f t="shared" si="1"/>
        <v>61</v>
      </c>
      <c r="BX2" s="53">
        <f t="shared" si="1"/>
        <v>62</v>
      </c>
      <c r="BY2" s="53">
        <f t="shared" si="1"/>
        <v>63</v>
      </c>
      <c r="BZ2" s="53">
        <f t="shared" si="1"/>
        <v>64</v>
      </c>
      <c r="CA2" s="53">
        <f t="shared" si="1"/>
        <v>65</v>
      </c>
      <c r="CB2" s="53">
        <f t="shared" si="1"/>
        <v>66</v>
      </c>
      <c r="CC2" s="53">
        <f t="shared" si="1"/>
        <v>67</v>
      </c>
      <c r="CD2" s="53">
        <f t="shared" si="1"/>
        <v>68</v>
      </c>
      <c r="CE2" s="53">
        <f t="shared" si="1"/>
        <v>69</v>
      </c>
      <c r="CF2" s="53">
        <f t="shared" si="1"/>
        <v>70</v>
      </c>
      <c r="CG2" s="53">
        <f t="shared" si="1"/>
        <v>71</v>
      </c>
      <c r="CH2" s="53">
        <f t="shared" si="1"/>
        <v>72</v>
      </c>
      <c r="CI2" s="53">
        <f t="shared" si="1"/>
        <v>73</v>
      </c>
      <c r="CJ2" s="53">
        <f t="shared" si="1"/>
        <v>74</v>
      </c>
      <c r="CK2" s="53">
        <f t="shared" si="1"/>
        <v>75</v>
      </c>
      <c r="CL2" s="53">
        <f t="shared" si="1"/>
        <v>76</v>
      </c>
      <c r="CM2" s="53">
        <f t="shared" si="1"/>
        <v>77</v>
      </c>
      <c r="CN2" s="53">
        <f t="shared" si="1"/>
        <v>78</v>
      </c>
      <c r="CO2" s="53">
        <f t="shared" si="1"/>
        <v>79</v>
      </c>
      <c r="CP2" s="53">
        <f t="shared" si="1"/>
        <v>80</v>
      </c>
      <c r="CQ2" s="53">
        <f t="shared" si="1"/>
        <v>81</v>
      </c>
      <c r="CR2" s="53">
        <f t="shared" si="1"/>
        <v>82</v>
      </c>
      <c r="CS2" s="53">
        <f t="shared" si="1"/>
        <v>83</v>
      </c>
      <c r="CT2" s="53">
        <f t="shared" si="1"/>
        <v>84</v>
      </c>
      <c r="CU2" s="53">
        <f t="shared" si="1"/>
        <v>85</v>
      </c>
      <c r="CV2" s="53">
        <f t="shared" si="1"/>
        <v>86</v>
      </c>
      <c r="CW2" s="53">
        <f t="shared" si="1"/>
        <v>87</v>
      </c>
      <c r="CX2" s="53">
        <f t="shared" si="1"/>
        <v>88</v>
      </c>
      <c r="CY2" s="53">
        <f t="shared" si="1"/>
        <v>89</v>
      </c>
      <c r="CZ2" s="53">
        <f t="shared" si="1"/>
        <v>90</v>
      </c>
      <c r="DA2" s="53">
        <f t="shared" si="1"/>
        <v>91</v>
      </c>
      <c r="DB2" s="53">
        <f t="shared" si="1"/>
        <v>92</v>
      </c>
      <c r="DC2" s="53">
        <f t="shared" si="1"/>
        <v>93</v>
      </c>
      <c r="DD2" s="53">
        <f t="shared" si="1"/>
        <v>94</v>
      </c>
      <c r="DE2" s="53">
        <f t="shared" si="1"/>
        <v>95</v>
      </c>
      <c r="DF2" s="53">
        <f t="shared" si="1"/>
        <v>96</v>
      </c>
      <c r="DG2" s="53">
        <f t="shared" si="1"/>
        <v>97</v>
      </c>
      <c r="DH2" s="53">
        <f t="shared" si="1"/>
        <v>98</v>
      </c>
      <c r="DI2" s="53">
        <f t="shared" si="1"/>
        <v>99</v>
      </c>
      <c r="DJ2" s="53">
        <f t="shared" si="1"/>
        <v>100</v>
      </c>
      <c r="DK2" s="53">
        <f t="shared" si="1"/>
        <v>101</v>
      </c>
      <c r="DL2" s="53">
        <f t="shared" si="1"/>
        <v>102</v>
      </c>
      <c r="DM2" s="53">
        <f t="shared" si="1"/>
        <v>103</v>
      </c>
      <c r="DN2" s="53">
        <f t="shared" si="1"/>
        <v>104</v>
      </c>
      <c r="DO2" s="53">
        <f t="shared" si="1"/>
        <v>105</v>
      </c>
      <c r="DP2" s="53">
        <f t="shared" si="1"/>
        <v>106</v>
      </c>
      <c r="DQ2" s="53">
        <f t="shared" si="1"/>
        <v>107</v>
      </c>
      <c r="DR2" s="53">
        <f t="shared" si="1"/>
        <v>108</v>
      </c>
      <c r="DS2" s="53">
        <f t="shared" si="1"/>
        <v>109</v>
      </c>
      <c r="DT2" s="53">
        <f t="shared" si="1"/>
        <v>110</v>
      </c>
      <c r="DU2" s="53">
        <f t="shared" si="1"/>
        <v>111</v>
      </c>
      <c r="DV2" s="53">
        <f t="shared" si="1"/>
        <v>112</v>
      </c>
      <c r="DW2" s="53">
        <f t="shared" si="1"/>
        <v>113</v>
      </c>
      <c r="DX2" s="53">
        <f t="shared" si="1"/>
        <v>114</v>
      </c>
      <c r="DY2" s="53">
        <f t="shared" si="1"/>
        <v>115</v>
      </c>
      <c r="DZ2" s="53">
        <f t="shared" si="1"/>
        <v>116</v>
      </c>
      <c r="EA2" s="53">
        <f t="shared" si="1"/>
        <v>117</v>
      </c>
      <c r="EB2" s="53">
        <f t="shared" si="1"/>
        <v>118</v>
      </c>
      <c r="EC2" s="53">
        <f t="shared" si="1"/>
        <v>119</v>
      </c>
      <c r="ED2" s="53">
        <f t="shared" si="1"/>
        <v>120</v>
      </c>
    </row>
    <row r="3" spans="2:135" ht="13" x14ac:dyDescent="0.3">
      <c r="C3" s="53"/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3"/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  <c r="T3" s="5" t="s">
        <v>74</v>
      </c>
      <c r="U3" s="5" t="s">
        <v>75</v>
      </c>
      <c r="V3" s="5" t="s">
        <v>76</v>
      </c>
      <c r="W3" s="5" t="s">
        <v>77</v>
      </c>
      <c r="X3" s="5" t="s">
        <v>78</v>
      </c>
      <c r="Y3" s="5" t="s">
        <v>79</v>
      </c>
      <c r="Z3" s="5" t="s">
        <v>80</v>
      </c>
      <c r="AA3" s="5" t="s">
        <v>81</v>
      </c>
      <c r="AB3" s="5" t="s">
        <v>82</v>
      </c>
      <c r="AC3" s="5" t="s">
        <v>83</v>
      </c>
      <c r="AD3" s="5" t="s">
        <v>84</v>
      </c>
      <c r="AE3" s="5" t="s">
        <v>85</v>
      </c>
      <c r="AF3" s="5" t="s">
        <v>86</v>
      </c>
      <c r="AG3" s="5" t="s">
        <v>87</v>
      </c>
      <c r="AH3" s="5" t="s">
        <v>88</v>
      </c>
      <c r="AI3" s="5" t="s">
        <v>89</v>
      </c>
      <c r="AJ3" s="5" t="s">
        <v>90</v>
      </c>
      <c r="AK3" s="5" t="s">
        <v>91</v>
      </c>
      <c r="AL3" s="5" t="s">
        <v>92</v>
      </c>
      <c r="AM3" s="5" t="s">
        <v>93</v>
      </c>
      <c r="AN3" s="5" t="s">
        <v>94</v>
      </c>
      <c r="AO3" s="5" t="s">
        <v>95</v>
      </c>
      <c r="AP3" s="5" t="s">
        <v>96</v>
      </c>
      <c r="AQ3" s="5" t="s">
        <v>97</v>
      </c>
      <c r="AR3" s="5" t="s">
        <v>98</v>
      </c>
      <c r="AS3" s="5" t="s">
        <v>99</v>
      </c>
      <c r="AT3" s="5" t="s">
        <v>100</v>
      </c>
      <c r="AU3" s="5" t="s">
        <v>101</v>
      </c>
      <c r="AV3" s="5" t="s">
        <v>102</v>
      </c>
      <c r="AW3" s="5" t="s">
        <v>103</v>
      </c>
      <c r="AX3" s="5" t="s">
        <v>104</v>
      </c>
      <c r="AY3" s="5" t="s">
        <v>105</v>
      </c>
      <c r="AZ3" s="5" t="s">
        <v>106</v>
      </c>
      <c r="BA3" s="5" t="s">
        <v>107</v>
      </c>
      <c r="BB3" s="5" t="s">
        <v>108</v>
      </c>
      <c r="BC3" s="5" t="s">
        <v>109</v>
      </c>
      <c r="BD3" s="5" t="s">
        <v>110</v>
      </c>
      <c r="BE3" s="5" t="s">
        <v>111</v>
      </c>
      <c r="BF3" s="5" t="s">
        <v>112</v>
      </c>
      <c r="BG3" s="5" t="s">
        <v>113</v>
      </c>
      <c r="BH3" s="5" t="s">
        <v>114</v>
      </c>
      <c r="BI3" s="5" t="s">
        <v>115</v>
      </c>
      <c r="BJ3" s="5" t="s">
        <v>116</v>
      </c>
      <c r="BK3" s="5" t="s">
        <v>117</v>
      </c>
      <c r="BL3" s="5" t="s">
        <v>118</v>
      </c>
      <c r="BM3" s="5" t="s">
        <v>119</v>
      </c>
      <c r="BN3" s="5" t="s">
        <v>120</v>
      </c>
      <c r="BO3" s="5" t="s">
        <v>121</v>
      </c>
      <c r="BP3" s="5" t="s">
        <v>122</v>
      </c>
      <c r="BQ3" s="5" t="s">
        <v>123</v>
      </c>
      <c r="BR3" s="5" t="s">
        <v>124</v>
      </c>
      <c r="BS3" s="5" t="s">
        <v>125</v>
      </c>
      <c r="BT3" s="5" t="s">
        <v>126</v>
      </c>
      <c r="BU3" s="5" t="s">
        <v>127</v>
      </c>
      <c r="BV3" s="5" t="s">
        <v>128</v>
      </c>
      <c r="BW3" s="5" t="s">
        <v>129</v>
      </c>
      <c r="BX3" s="5" t="s">
        <v>130</v>
      </c>
      <c r="BY3" s="5" t="s">
        <v>131</v>
      </c>
      <c r="BZ3" s="5" t="s">
        <v>132</v>
      </c>
      <c r="CA3" s="5" t="s">
        <v>133</v>
      </c>
      <c r="CB3" s="5" t="s">
        <v>134</v>
      </c>
      <c r="CC3" s="5" t="s">
        <v>135</v>
      </c>
      <c r="CD3" s="5" t="s">
        <v>136</v>
      </c>
      <c r="CE3" s="5" t="s">
        <v>137</v>
      </c>
      <c r="CF3" s="5" t="s">
        <v>138</v>
      </c>
      <c r="CG3" s="5" t="s">
        <v>139</v>
      </c>
      <c r="CH3" s="5" t="s">
        <v>140</v>
      </c>
      <c r="CI3" s="5" t="s">
        <v>141</v>
      </c>
      <c r="CJ3" s="5" t="s">
        <v>142</v>
      </c>
      <c r="CK3" s="5" t="s">
        <v>143</v>
      </c>
      <c r="CL3" s="5" t="s">
        <v>144</v>
      </c>
      <c r="CM3" s="5" t="s">
        <v>145</v>
      </c>
      <c r="CN3" s="5" t="s">
        <v>146</v>
      </c>
      <c r="CO3" s="5" t="s">
        <v>147</v>
      </c>
      <c r="CP3" s="5" t="s">
        <v>148</v>
      </c>
      <c r="CQ3" s="5" t="s">
        <v>149</v>
      </c>
      <c r="CR3" s="5" t="s">
        <v>150</v>
      </c>
      <c r="CS3" s="5" t="s">
        <v>151</v>
      </c>
      <c r="CT3" s="5" t="s">
        <v>152</v>
      </c>
      <c r="CU3" s="5" t="s">
        <v>153</v>
      </c>
      <c r="CV3" s="5" t="s">
        <v>154</v>
      </c>
      <c r="CW3" s="5" t="s">
        <v>155</v>
      </c>
      <c r="CX3" s="5" t="s">
        <v>156</v>
      </c>
      <c r="CY3" s="5" t="s">
        <v>157</v>
      </c>
      <c r="CZ3" s="5" t="s">
        <v>158</v>
      </c>
      <c r="DA3" s="5" t="s">
        <v>159</v>
      </c>
      <c r="DB3" s="5" t="s">
        <v>160</v>
      </c>
      <c r="DC3" s="5" t="s">
        <v>161</v>
      </c>
      <c r="DD3" s="5" t="s">
        <v>162</v>
      </c>
      <c r="DE3" s="5" t="s">
        <v>163</v>
      </c>
      <c r="DF3" s="5" t="s">
        <v>164</v>
      </c>
      <c r="DG3" s="5" t="s">
        <v>165</v>
      </c>
      <c r="DH3" s="5" t="s">
        <v>166</v>
      </c>
      <c r="DI3" s="5" t="s">
        <v>167</v>
      </c>
      <c r="DJ3" s="5" t="s">
        <v>168</v>
      </c>
      <c r="DK3" s="5" t="s">
        <v>169</v>
      </c>
      <c r="DL3" s="5" t="s">
        <v>170</v>
      </c>
      <c r="DM3" s="5" t="s">
        <v>171</v>
      </c>
      <c r="DN3" s="5" t="s">
        <v>172</v>
      </c>
      <c r="DO3" s="5" t="s">
        <v>173</v>
      </c>
      <c r="DP3" s="5" t="s">
        <v>174</v>
      </c>
      <c r="DQ3" s="5" t="s">
        <v>175</v>
      </c>
      <c r="DR3" s="5" t="s">
        <v>176</v>
      </c>
      <c r="DS3" s="5" t="s">
        <v>177</v>
      </c>
      <c r="DT3" s="5" t="s">
        <v>178</v>
      </c>
      <c r="DU3" s="5" t="s">
        <v>179</v>
      </c>
      <c r="DV3" s="5" t="s">
        <v>180</v>
      </c>
      <c r="DW3" s="5" t="s">
        <v>181</v>
      </c>
      <c r="DX3" s="5" t="s">
        <v>182</v>
      </c>
      <c r="DY3" s="5" t="s">
        <v>183</v>
      </c>
      <c r="DZ3" s="5" t="s">
        <v>184</v>
      </c>
      <c r="EA3" s="5" t="s">
        <v>185</v>
      </c>
      <c r="EB3" s="5" t="s">
        <v>186</v>
      </c>
      <c r="EC3" s="5" t="s">
        <v>187</v>
      </c>
      <c r="ED3" s="5" t="s">
        <v>188</v>
      </c>
    </row>
    <row r="4" spans="2:135" ht="12.5" x14ac:dyDescent="0.25">
      <c r="C4" s="53"/>
      <c r="D4" s="53" t="s">
        <v>80</v>
      </c>
      <c r="E4" s="53" t="s">
        <v>92</v>
      </c>
      <c r="F4" s="53" t="s">
        <v>104</v>
      </c>
      <c r="G4" s="53" t="s">
        <v>116</v>
      </c>
      <c r="H4" s="53" t="s">
        <v>128</v>
      </c>
      <c r="I4" s="53" t="s">
        <v>140</v>
      </c>
      <c r="J4" s="53" t="s">
        <v>152</v>
      </c>
      <c r="K4" s="53" t="s">
        <v>164</v>
      </c>
      <c r="L4" s="53" t="s">
        <v>176</v>
      </c>
      <c r="M4" s="53" t="s">
        <v>188</v>
      </c>
      <c r="N4" s="53"/>
      <c r="O4" s="53" t="s">
        <v>4</v>
      </c>
      <c r="P4" s="53" t="s">
        <v>4</v>
      </c>
      <c r="Q4" s="53" t="s">
        <v>4</v>
      </c>
      <c r="R4" s="53" t="s">
        <v>4</v>
      </c>
      <c r="S4" s="53" t="s">
        <v>4</v>
      </c>
      <c r="T4" s="53" t="s">
        <v>4</v>
      </c>
      <c r="U4" s="53" t="s">
        <v>4</v>
      </c>
      <c r="V4" s="53" t="s">
        <v>4</v>
      </c>
      <c r="W4" s="53" t="s">
        <v>4</v>
      </c>
      <c r="X4" s="53" t="s">
        <v>4</v>
      </c>
      <c r="Y4" s="53" t="s">
        <v>4</v>
      </c>
      <c r="Z4" s="53" t="s">
        <v>4</v>
      </c>
      <c r="AA4" s="53" t="s">
        <v>5</v>
      </c>
      <c r="AB4" s="53" t="s">
        <v>5</v>
      </c>
      <c r="AC4" s="53" t="s">
        <v>5</v>
      </c>
      <c r="AD4" s="53" t="s">
        <v>5</v>
      </c>
      <c r="AE4" s="53" t="s">
        <v>5</v>
      </c>
      <c r="AF4" s="53" t="s">
        <v>5</v>
      </c>
      <c r="AG4" s="53" t="s">
        <v>5</v>
      </c>
      <c r="AH4" s="53" t="s">
        <v>5</v>
      </c>
      <c r="AI4" s="53" t="s">
        <v>5</v>
      </c>
      <c r="AJ4" s="53" t="s">
        <v>5</v>
      </c>
      <c r="AK4" s="53" t="s">
        <v>5</v>
      </c>
      <c r="AL4" s="53" t="s">
        <v>5</v>
      </c>
      <c r="AM4" s="53" t="s">
        <v>6</v>
      </c>
      <c r="AN4" s="53" t="s">
        <v>6</v>
      </c>
      <c r="AO4" s="53" t="s">
        <v>6</v>
      </c>
      <c r="AP4" s="53" t="s">
        <v>6</v>
      </c>
      <c r="AQ4" s="53" t="s">
        <v>6</v>
      </c>
      <c r="AR4" s="53" t="s">
        <v>6</v>
      </c>
      <c r="AS4" s="53" t="s">
        <v>6</v>
      </c>
      <c r="AT4" s="53" t="s">
        <v>6</v>
      </c>
      <c r="AU4" s="53" t="s">
        <v>6</v>
      </c>
      <c r="AV4" s="53" t="s">
        <v>6</v>
      </c>
      <c r="AW4" s="53" t="s">
        <v>6</v>
      </c>
      <c r="AX4" s="53" t="s">
        <v>6</v>
      </c>
      <c r="AY4" s="53" t="s">
        <v>7</v>
      </c>
      <c r="AZ4" s="53" t="s">
        <v>7</v>
      </c>
      <c r="BA4" s="53" t="s">
        <v>7</v>
      </c>
      <c r="BB4" s="53" t="s">
        <v>7</v>
      </c>
      <c r="BC4" s="53" t="s">
        <v>7</v>
      </c>
      <c r="BD4" s="53" t="s">
        <v>7</v>
      </c>
      <c r="BE4" s="53" t="s">
        <v>7</v>
      </c>
      <c r="BF4" s="53" t="s">
        <v>7</v>
      </c>
      <c r="BG4" s="53" t="s">
        <v>7</v>
      </c>
      <c r="BH4" s="53" t="s">
        <v>7</v>
      </c>
      <c r="BI4" s="53" t="s">
        <v>7</v>
      </c>
      <c r="BJ4" s="53" t="s">
        <v>7</v>
      </c>
      <c r="BK4" s="53" t="s">
        <v>8</v>
      </c>
      <c r="BL4" s="53" t="s">
        <v>8</v>
      </c>
      <c r="BM4" s="53" t="s">
        <v>8</v>
      </c>
      <c r="BN4" s="53" t="s">
        <v>8</v>
      </c>
      <c r="BO4" s="53" t="s">
        <v>8</v>
      </c>
      <c r="BP4" s="53" t="s">
        <v>8</v>
      </c>
      <c r="BQ4" s="53" t="s">
        <v>8</v>
      </c>
      <c r="BR4" s="53" t="s">
        <v>8</v>
      </c>
      <c r="BS4" s="53" t="s">
        <v>8</v>
      </c>
      <c r="BT4" s="53" t="s">
        <v>8</v>
      </c>
      <c r="BU4" s="53" t="s">
        <v>8</v>
      </c>
      <c r="BV4" s="53" t="s">
        <v>8</v>
      </c>
      <c r="BW4" s="53" t="s">
        <v>9</v>
      </c>
      <c r="BX4" s="53" t="s">
        <v>9</v>
      </c>
      <c r="BY4" s="53" t="s">
        <v>9</v>
      </c>
      <c r="BZ4" s="53" t="s">
        <v>9</v>
      </c>
      <c r="CA4" s="53" t="s">
        <v>9</v>
      </c>
      <c r="CB4" s="53" t="s">
        <v>9</v>
      </c>
      <c r="CC4" s="53" t="s">
        <v>9</v>
      </c>
      <c r="CD4" s="53" t="s">
        <v>9</v>
      </c>
      <c r="CE4" s="53" t="s">
        <v>9</v>
      </c>
      <c r="CF4" s="53" t="s">
        <v>9</v>
      </c>
      <c r="CG4" s="53" t="s">
        <v>9</v>
      </c>
      <c r="CH4" s="53" t="s">
        <v>9</v>
      </c>
      <c r="CI4" s="53" t="s">
        <v>10</v>
      </c>
      <c r="CJ4" s="53" t="s">
        <v>10</v>
      </c>
      <c r="CK4" s="53" t="s">
        <v>10</v>
      </c>
      <c r="CL4" s="53" t="s">
        <v>10</v>
      </c>
      <c r="CM4" s="53" t="s">
        <v>10</v>
      </c>
      <c r="CN4" s="53" t="s">
        <v>10</v>
      </c>
      <c r="CO4" s="53" t="s">
        <v>10</v>
      </c>
      <c r="CP4" s="53" t="s">
        <v>10</v>
      </c>
      <c r="CQ4" s="53" t="s">
        <v>10</v>
      </c>
      <c r="CR4" s="53" t="s">
        <v>10</v>
      </c>
      <c r="CS4" s="53" t="s">
        <v>10</v>
      </c>
      <c r="CT4" s="53" t="s">
        <v>10</v>
      </c>
      <c r="CU4" s="53" t="s">
        <v>11</v>
      </c>
      <c r="CV4" s="53" t="s">
        <v>11</v>
      </c>
      <c r="CW4" s="53" t="s">
        <v>11</v>
      </c>
      <c r="CX4" s="53" t="s">
        <v>11</v>
      </c>
      <c r="CY4" s="53" t="s">
        <v>11</v>
      </c>
      <c r="CZ4" s="53" t="s">
        <v>11</v>
      </c>
      <c r="DA4" s="53" t="s">
        <v>11</v>
      </c>
      <c r="DB4" s="53" t="s">
        <v>11</v>
      </c>
      <c r="DC4" s="53" t="s">
        <v>11</v>
      </c>
      <c r="DD4" s="53" t="s">
        <v>11</v>
      </c>
      <c r="DE4" s="53" t="s">
        <v>11</v>
      </c>
      <c r="DF4" s="53" t="s">
        <v>11</v>
      </c>
      <c r="DG4" s="53" t="s">
        <v>12</v>
      </c>
      <c r="DH4" s="53" t="s">
        <v>12</v>
      </c>
      <c r="DI4" s="53" t="s">
        <v>12</v>
      </c>
      <c r="DJ4" s="53" t="s">
        <v>12</v>
      </c>
      <c r="DK4" s="53" t="s">
        <v>12</v>
      </c>
      <c r="DL4" s="53" t="s">
        <v>12</v>
      </c>
      <c r="DM4" s="53" t="s">
        <v>12</v>
      </c>
      <c r="DN4" s="53" t="s">
        <v>12</v>
      </c>
      <c r="DO4" s="53" t="s">
        <v>12</v>
      </c>
      <c r="DP4" s="53" t="s">
        <v>12</v>
      </c>
      <c r="DQ4" s="53" t="s">
        <v>12</v>
      </c>
      <c r="DR4" s="53" t="s">
        <v>12</v>
      </c>
      <c r="DS4" s="53" t="s">
        <v>13</v>
      </c>
      <c r="DT4" s="53" t="s">
        <v>13</v>
      </c>
      <c r="DU4" s="53" t="s">
        <v>13</v>
      </c>
      <c r="DV4" s="53" t="s">
        <v>13</v>
      </c>
      <c r="DW4" s="53" t="s">
        <v>13</v>
      </c>
      <c r="DX4" s="53" t="s">
        <v>13</v>
      </c>
      <c r="DY4" s="53" t="s">
        <v>13</v>
      </c>
      <c r="DZ4" s="53" t="s">
        <v>13</v>
      </c>
      <c r="EA4" s="53" t="s">
        <v>13</v>
      </c>
      <c r="EB4" s="53" t="s">
        <v>13</v>
      </c>
      <c r="EC4" s="53" t="s">
        <v>13</v>
      </c>
      <c r="ED4" s="53" t="s">
        <v>13</v>
      </c>
    </row>
    <row r="5" spans="2:135" ht="12.5" x14ac:dyDescent="0.25">
      <c r="C5" s="53"/>
      <c r="N5" s="53"/>
    </row>
    <row r="6" spans="2:135" ht="6.75" customHeight="1" x14ac:dyDescent="0.25">
      <c r="C6" s="53"/>
      <c r="N6" s="53"/>
    </row>
    <row r="7" spans="2:135" ht="13" x14ac:dyDescent="0.3">
      <c r="B7" s="38" t="s">
        <v>189</v>
      </c>
      <c r="C7" s="53"/>
      <c r="D7" s="38" t="e">
        <f>IF(AND(SUMIFS($O7:$BV7,$O$3:$BV$3,D$4)=0,D$11&lt;&gt;0),MAX(O7:BV7),SUMIFS($O7:$BV7,$O$3:$BV$3,D$4))</f>
        <v>#DIV/0!</v>
      </c>
      <c r="E7" s="38" t="e">
        <f t="shared" ref="E7:H7" si="2">IF(AND(SUMIFS($O7:$BV7,$O$3:$BV$3,E$4)=0,E$11&lt;&gt;0),MAX(P7:EE7),SUMIFS($O7:$BV7,$O$3:$BV$3,E$4))</f>
        <v>#DIV/0!</v>
      </c>
      <c r="F7" s="38" t="e">
        <f t="shared" si="2"/>
        <v>#DIV/0!</v>
      </c>
      <c r="G7" s="38" t="e">
        <f t="shared" si="2"/>
        <v>#DIV/0!</v>
      </c>
      <c r="H7" s="38" t="e">
        <f t="shared" si="2"/>
        <v>#DIV/0!</v>
      </c>
      <c r="I7" s="38" t="e">
        <f t="shared" ref="I7:M7" si="3">IF(AND(SUMIFS($O7:$ED7,$O$3:$ED$3,I$4)=0,I$11&lt;&gt;0),MAX(T7:EI7),SUMIFS($O7:$ED7,$O$3:$ED$3,I$4))</f>
        <v>#DIV/0!</v>
      </c>
      <c r="J7" s="38" t="e">
        <f t="shared" si="3"/>
        <v>#DIV/0!</v>
      </c>
      <c r="K7" s="38" t="e">
        <f t="shared" si="3"/>
        <v>#DIV/0!</v>
      </c>
      <c r="L7" s="38" t="e">
        <f t="shared" si="3"/>
        <v>#DIV/0!</v>
      </c>
      <c r="M7" s="38" t="e">
        <f t="shared" si="3"/>
        <v>#DIV/0!</v>
      </c>
      <c r="N7" s="53"/>
      <c r="O7" s="61" t="e">
        <f>IF(Simulador!$I$10=Simulador!$I$12,
    IF(AND(O$2&lt;=Simulador!$I$11,ROUNDUP(Simulador!$I$10/Simulador!$I$11*O$2,0)&lt;=Simulador!$I$12),
        ROUNDUP(Simulador!$I$10/Simulador!$I$11*O$2,0),
        IF(O$2&lt;=Simulador!$I$8,Simulador!$I$12,0)
    ),
    IF(O$2&lt;=Simulador!$I$11,
        IF(ROUNDUP(Simulador!$I$10/Simulador!$I$11*O$2,0)&lt;=Simulador!$I$12,
            ROUNDUP(Simulador!$I$10/Simulador!$I$11*O$2,0),
            0
        ),
        IF(ROUNDUP(Simulador!$I$10+(Simulador!$I$12-Simulador!$I$10)/(Simulador!$I$8-Simulador!$I$11)*(O$2-Simulador!$I$11),0)&lt;=Simulador!$I$12,
            IF(O$2&lt;=Simulador!$I$8,
                ROUNDUP(Simulador!$I$10+(Simulador!$I$12-Simulador!$I$10)/(Simulador!$I$8-Simulador!$I$11)*(O$2-Simulador!$I$11),0),
                0
            ),
            0
        )
    )
)</f>
        <v>#DIV/0!</v>
      </c>
      <c r="P7" s="61" t="e">
        <f>IF(Simulador!$I$10=Simulador!$I$12,
    IF(AND(P$2&lt;=Simulador!$I$11,ROUNDUP(Simulador!$I$10/Simulador!$I$11*P$2,0)&lt;=Simulador!$I$12),
        ROUNDUP(Simulador!$I$10/Simulador!$I$11*P$2,0),
        IF(P$2&lt;=Simulador!$I$8,Simulador!$I$12,0)
    ),
    IF(P$2&lt;=Simulador!$I$11,
        IF(ROUNDUP(Simulador!$I$10/Simulador!$I$11*P$2,0)&lt;=Simulador!$I$12,
            ROUNDUP(Simulador!$I$10/Simulador!$I$11*P$2,0),
            0
        ),
        IF(ROUNDUP(Simulador!$I$10+(Simulador!$I$12-Simulador!$I$10)/(Simulador!$I$8-Simulador!$I$11)*(P$2-Simulador!$I$11),0)&lt;=Simulador!$I$12,
            IF(P$2&lt;=Simulador!$I$8,
                ROUNDUP(Simulador!$I$10+(Simulador!$I$12-Simulador!$I$10)/(Simulador!$I$8-Simulador!$I$11)*(P$2-Simulador!$I$11),0),
                0
            ),
            0
        )
    )
)</f>
        <v>#DIV/0!</v>
      </c>
      <c r="Q7" s="61" t="e">
        <f>IF(Simulador!$I$10=Simulador!$I$12,
    IF(AND(Q$2&lt;=Simulador!$I$11,ROUNDUP(Simulador!$I$10/Simulador!$I$11*Q$2,0)&lt;=Simulador!$I$12),
        ROUNDUP(Simulador!$I$10/Simulador!$I$11*Q$2,0),
        IF(Q$2&lt;=Simulador!$I$8,Simulador!$I$12,0)
    ),
    IF(Q$2&lt;=Simulador!$I$11,
        IF(ROUNDUP(Simulador!$I$10/Simulador!$I$11*Q$2,0)&lt;=Simulador!$I$12,
            ROUNDUP(Simulador!$I$10/Simulador!$I$11*Q$2,0),
            0
        ),
        IF(ROUNDUP(Simulador!$I$10+(Simulador!$I$12-Simulador!$I$10)/(Simulador!$I$8-Simulador!$I$11)*(Q$2-Simulador!$I$11),0)&lt;=Simulador!$I$12,
            IF(Q$2&lt;=Simulador!$I$8,
                ROUNDUP(Simulador!$I$10+(Simulador!$I$12-Simulador!$I$10)/(Simulador!$I$8-Simulador!$I$11)*(Q$2-Simulador!$I$11),0),
                0
            ),
            0
        )
    )
)</f>
        <v>#DIV/0!</v>
      </c>
      <c r="R7" s="61" t="e">
        <f>IF(Simulador!$I$10=Simulador!$I$12,
    IF(AND(R$2&lt;=Simulador!$I$11,ROUNDUP(Simulador!$I$10/Simulador!$I$11*R$2,0)&lt;=Simulador!$I$12),
        ROUNDUP(Simulador!$I$10/Simulador!$I$11*R$2,0),
        IF(R$2&lt;=Simulador!$I$8,Simulador!$I$12,0)
    ),
    IF(R$2&lt;=Simulador!$I$11,
        IF(ROUNDUP(Simulador!$I$10/Simulador!$I$11*R$2,0)&lt;=Simulador!$I$12,
            ROUNDUP(Simulador!$I$10/Simulador!$I$11*R$2,0),
            0
        ),
        IF(ROUNDUP(Simulador!$I$10+(Simulador!$I$12-Simulador!$I$10)/(Simulador!$I$8-Simulador!$I$11)*(R$2-Simulador!$I$11),0)&lt;=Simulador!$I$12,
            IF(R$2&lt;=Simulador!$I$8,
                ROUNDUP(Simulador!$I$10+(Simulador!$I$12-Simulador!$I$10)/(Simulador!$I$8-Simulador!$I$11)*(R$2-Simulador!$I$11),0),
                0
            ),
            0
        )
    )
)</f>
        <v>#DIV/0!</v>
      </c>
      <c r="S7" s="61" t="e">
        <f>IF(Simulador!$I$10=Simulador!$I$12,
    IF(AND(S$2&lt;=Simulador!$I$11,ROUNDUP(Simulador!$I$10/Simulador!$I$11*S$2,0)&lt;=Simulador!$I$12),
        ROUNDUP(Simulador!$I$10/Simulador!$I$11*S$2,0),
        IF(S$2&lt;=Simulador!$I$8,Simulador!$I$12,0)
    ),
    IF(S$2&lt;=Simulador!$I$11,
        IF(ROUNDUP(Simulador!$I$10/Simulador!$I$11*S$2,0)&lt;=Simulador!$I$12,
            ROUNDUP(Simulador!$I$10/Simulador!$I$11*S$2,0),
            0
        ),
        IF(ROUNDUP(Simulador!$I$10+(Simulador!$I$12-Simulador!$I$10)/(Simulador!$I$8-Simulador!$I$11)*(S$2-Simulador!$I$11),0)&lt;=Simulador!$I$12,
            IF(S$2&lt;=Simulador!$I$8,
                ROUNDUP(Simulador!$I$10+(Simulador!$I$12-Simulador!$I$10)/(Simulador!$I$8-Simulador!$I$11)*(S$2-Simulador!$I$11),0),
                0
            ),
            0
        )
    )
)</f>
        <v>#DIV/0!</v>
      </c>
      <c r="T7" s="61" t="e">
        <f>IF(Simulador!$I$10=Simulador!$I$12,
    IF(AND(T$2&lt;=Simulador!$I$11,ROUNDUP(Simulador!$I$10/Simulador!$I$11*T$2,0)&lt;=Simulador!$I$12),
        ROUNDUP(Simulador!$I$10/Simulador!$I$11*T$2,0),
        IF(T$2&lt;=Simulador!$I$8,Simulador!$I$12,0)
    ),
    IF(T$2&lt;=Simulador!$I$11,
        IF(ROUNDUP(Simulador!$I$10/Simulador!$I$11*T$2,0)&lt;=Simulador!$I$12,
            ROUNDUP(Simulador!$I$10/Simulador!$I$11*T$2,0),
            0
        ),
        IF(ROUNDUP(Simulador!$I$10+(Simulador!$I$12-Simulador!$I$10)/(Simulador!$I$8-Simulador!$I$11)*(T$2-Simulador!$I$11),0)&lt;=Simulador!$I$12,
            IF(T$2&lt;=Simulador!$I$8,
                ROUNDUP(Simulador!$I$10+(Simulador!$I$12-Simulador!$I$10)/(Simulador!$I$8-Simulador!$I$11)*(T$2-Simulador!$I$11),0),
                0
            ),
            0
        )
    )
)</f>
        <v>#DIV/0!</v>
      </c>
      <c r="U7" s="61" t="e">
        <f>IF(Simulador!$I$10=Simulador!$I$12,
    IF(AND(U$2&lt;=Simulador!$I$11,ROUNDUP(Simulador!$I$10/Simulador!$I$11*U$2,0)&lt;=Simulador!$I$12),
        ROUNDUP(Simulador!$I$10/Simulador!$I$11*U$2,0),
        IF(U$2&lt;=Simulador!$I$8,Simulador!$I$12,0)
    ),
    IF(U$2&lt;=Simulador!$I$11,
        IF(ROUNDUP(Simulador!$I$10/Simulador!$I$11*U$2,0)&lt;=Simulador!$I$12,
            ROUNDUP(Simulador!$I$10/Simulador!$I$11*U$2,0),
            0
        ),
        IF(ROUNDUP(Simulador!$I$10+(Simulador!$I$12-Simulador!$I$10)/(Simulador!$I$8-Simulador!$I$11)*(U$2-Simulador!$I$11),0)&lt;=Simulador!$I$12,
            IF(U$2&lt;=Simulador!$I$8,
                ROUNDUP(Simulador!$I$10+(Simulador!$I$12-Simulador!$I$10)/(Simulador!$I$8-Simulador!$I$11)*(U$2-Simulador!$I$11),0),
                0
            ),
            0
        )
    )
)</f>
        <v>#DIV/0!</v>
      </c>
      <c r="V7" s="61" t="e">
        <f>IF(Simulador!$I$10=Simulador!$I$12,
    IF(AND(V$2&lt;=Simulador!$I$11,ROUNDUP(Simulador!$I$10/Simulador!$I$11*V$2,0)&lt;=Simulador!$I$12),
        ROUNDUP(Simulador!$I$10/Simulador!$I$11*V$2,0),
        IF(V$2&lt;=Simulador!$I$8,Simulador!$I$12,0)
    ),
    IF(V$2&lt;=Simulador!$I$11,
        IF(ROUNDUP(Simulador!$I$10/Simulador!$I$11*V$2,0)&lt;=Simulador!$I$12,
            ROUNDUP(Simulador!$I$10/Simulador!$I$11*V$2,0),
            0
        ),
        IF(ROUNDUP(Simulador!$I$10+(Simulador!$I$12-Simulador!$I$10)/(Simulador!$I$8-Simulador!$I$11)*(V$2-Simulador!$I$11),0)&lt;=Simulador!$I$12,
            IF(V$2&lt;=Simulador!$I$8,
                ROUNDUP(Simulador!$I$10+(Simulador!$I$12-Simulador!$I$10)/(Simulador!$I$8-Simulador!$I$11)*(V$2-Simulador!$I$11),0),
                0
            ),
            0
        )
    )
)</f>
        <v>#DIV/0!</v>
      </c>
      <c r="W7" s="61" t="e">
        <f>IF(Simulador!$I$10=Simulador!$I$12,
    IF(AND(W$2&lt;=Simulador!$I$11,ROUNDUP(Simulador!$I$10/Simulador!$I$11*W$2,0)&lt;=Simulador!$I$12),
        ROUNDUP(Simulador!$I$10/Simulador!$I$11*W$2,0),
        IF(W$2&lt;=Simulador!$I$8,Simulador!$I$12,0)
    ),
    IF(W$2&lt;=Simulador!$I$11,
        IF(ROUNDUP(Simulador!$I$10/Simulador!$I$11*W$2,0)&lt;=Simulador!$I$12,
            ROUNDUP(Simulador!$I$10/Simulador!$I$11*W$2,0),
            0
        ),
        IF(ROUNDUP(Simulador!$I$10+(Simulador!$I$12-Simulador!$I$10)/(Simulador!$I$8-Simulador!$I$11)*(W$2-Simulador!$I$11),0)&lt;=Simulador!$I$12,
            IF(W$2&lt;=Simulador!$I$8,
                ROUNDUP(Simulador!$I$10+(Simulador!$I$12-Simulador!$I$10)/(Simulador!$I$8-Simulador!$I$11)*(W$2-Simulador!$I$11),0),
                0
            ),
            0
        )
    )
)</f>
        <v>#DIV/0!</v>
      </c>
      <c r="X7" s="61" t="e">
        <f>IF(Simulador!$I$10=Simulador!$I$12,
    IF(AND(X$2&lt;=Simulador!$I$11,ROUNDUP(Simulador!$I$10/Simulador!$I$11*X$2,0)&lt;=Simulador!$I$12),
        ROUNDUP(Simulador!$I$10/Simulador!$I$11*X$2,0),
        IF(X$2&lt;=Simulador!$I$8,Simulador!$I$12,0)
    ),
    IF(X$2&lt;=Simulador!$I$11,
        IF(ROUNDUP(Simulador!$I$10/Simulador!$I$11*X$2,0)&lt;=Simulador!$I$12,
            ROUNDUP(Simulador!$I$10/Simulador!$I$11*X$2,0),
            0
        ),
        IF(ROUNDUP(Simulador!$I$10+(Simulador!$I$12-Simulador!$I$10)/(Simulador!$I$8-Simulador!$I$11)*(X$2-Simulador!$I$11),0)&lt;=Simulador!$I$12,
            IF(X$2&lt;=Simulador!$I$8,
                ROUNDUP(Simulador!$I$10+(Simulador!$I$12-Simulador!$I$10)/(Simulador!$I$8-Simulador!$I$11)*(X$2-Simulador!$I$11),0),
                0
            ),
            0
        )
    )
)</f>
        <v>#DIV/0!</v>
      </c>
      <c r="Y7" s="61" t="e">
        <f>IF(Simulador!$I$10=Simulador!$I$12,
    IF(AND(Y$2&lt;=Simulador!$I$11,ROUNDUP(Simulador!$I$10/Simulador!$I$11*Y$2,0)&lt;=Simulador!$I$12),
        ROUNDUP(Simulador!$I$10/Simulador!$I$11*Y$2,0),
        IF(Y$2&lt;=Simulador!$I$8,Simulador!$I$12,0)
    ),
    IF(Y$2&lt;=Simulador!$I$11,
        IF(ROUNDUP(Simulador!$I$10/Simulador!$I$11*Y$2,0)&lt;=Simulador!$I$12,
            ROUNDUP(Simulador!$I$10/Simulador!$I$11*Y$2,0),
            0
        ),
        IF(ROUNDUP(Simulador!$I$10+(Simulador!$I$12-Simulador!$I$10)/(Simulador!$I$8-Simulador!$I$11)*(Y$2-Simulador!$I$11),0)&lt;=Simulador!$I$12,
            IF(Y$2&lt;=Simulador!$I$8,
                ROUNDUP(Simulador!$I$10+(Simulador!$I$12-Simulador!$I$10)/(Simulador!$I$8-Simulador!$I$11)*(Y$2-Simulador!$I$11),0),
                0
            ),
            0
        )
    )
)</f>
        <v>#DIV/0!</v>
      </c>
      <c r="Z7" s="61" t="e">
        <f>IF(Simulador!$I$10=Simulador!$I$12,
    IF(AND(Z$2&lt;=Simulador!$I$11,ROUNDUP(Simulador!$I$10/Simulador!$I$11*Z$2,0)&lt;=Simulador!$I$12),
        ROUNDUP(Simulador!$I$10/Simulador!$I$11*Z$2,0),
        IF(Z$2&lt;=Simulador!$I$8,Simulador!$I$12,0)
    ),
    IF(Z$2&lt;=Simulador!$I$11,
        IF(ROUNDUP(Simulador!$I$10/Simulador!$I$11*Z$2,0)&lt;=Simulador!$I$12,
            ROUNDUP(Simulador!$I$10/Simulador!$I$11*Z$2,0),
            0
        ),
        IF(ROUNDUP(Simulador!$I$10+(Simulador!$I$12-Simulador!$I$10)/(Simulador!$I$8-Simulador!$I$11)*(Z$2-Simulador!$I$11),0)&lt;=Simulador!$I$12,
            IF(Z$2&lt;=Simulador!$I$8,
                ROUNDUP(Simulador!$I$10+(Simulador!$I$12-Simulador!$I$10)/(Simulador!$I$8-Simulador!$I$11)*(Z$2-Simulador!$I$11),0),
                0
            ),
            0
        )
    )
)</f>
        <v>#DIV/0!</v>
      </c>
      <c r="AA7" s="61" t="e">
        <f>IF(Simulador!$I$10=Simulador!$I$12,
    IF(AND(AA$2&lt;=Simulador!$I$11,ROUNDUP(Simulador!$I$10/Simulador!$I$11*AA$2,0)&lt;=Simulador!$I$12),
        ROUNDUP(Simulador!$I$10/Simulador!$I$11*AA$2,0),
        IF(AA$2&lt;=Simulador!$I$8,Simulador!$I$12,0)
    ),
    IF(AA$2&lt;=Simulador!$I$11,
        IF(ROUNDUP(Simulador!$I$10/Simulador!$I$11*AA$2,0)&lt;=Simulador!$I$12,
            ROUNDUP(Simulador!$I$10/Simulador!$I$11*AA$2,0),
            0
        ),
        IF(ROUNDUP(Simulador!$I$10+(Simulador!$I$12-Simulador!$I$10)/(Simulador!$I$8-Simulador!$I$11)*(AA$2-Simulador!$I$11),0)&lt;=Simulador!$I$12,
            IF(AA$2&lt;=Simulador!$I$8,
                ROUNDUP(Simulador!$I$10+(Simulador!$I$12-Simulador!$I$10)/(Simulador!$I$8-Simulador!$I$11)*(AA$2-Simulador!$I$11),0),
                0
            ),
            0
        )
    )
)</f>
        <v>#DIV/0!</v>
      </c>
      <c r="AB7" s="61" t="e">
        <f>IF(Simulador!$I$10=Simulador!$I$12,
    IF(AND(AB$2&lt;=Simulador!$I$11,ROUNDUP(Simulador!$I$10/Simulador!$I$11*AB$2,0)&lt;=Simulador!$I$12),
        ROUNDUP(Simulador!$I$10/Simulador!$I$11*AB$2,0),
        IF(AB$2&lt;=Simulador!$I$8,Simulador!$I$12,0)
    ),
    IF(AB$2&lt;=Simulador!$I$11,
        IF(ROUNDUP(Simulador!$I$10/Simulador!$I$11*AB$2,0)&lt;=Simulador!$I$12,
            ROUNDUP(Simulador!$I$10/Simulador!$I$11*AB$2,0),
            0
        ),
        IF(ROUNDUP(Simulador!$I$10+(Simulador!$I$12-Simulador!$I$10)/(Simulador!$I$8-Simulador!$I$11)*(AB$2-Simulador!$I$11),0)&lt;=Simulador!$I$12,
            IF(AB$2&lt;=Simulador!$I$8,
                ROUNDUP(Simulador!$I$10+(Simulador!$I$12-Simulador!$I$10)/(Simulador!$I$8-Simulador!$I$11)*(AB$2-Simulador!$I$11),0),
                0
            ),
            0
        )
    )
)</f>
        <v>#DIV/0!</v>
      </c>
      <c r="AC7" s="61" t="e">
        <f>IF(Simulador!$I$10=Simulador!$I$12,
    IF(AND(AC$2&lt;=Simulador!$I$11,ROUNDUP(Simulador!$I$10/Simulador!$I$11*AC$2,0)&lt;=Simulador!$I$12),
        ROUNDUP(Simulador!$I$10/Simulador!$I$11*AC$2,0),
        IF(AC$2&lt;=Simulador!$I$8,Simulador!$I$12,0)
    ),
    IF(AC$2&lt;=Simulador!$I$11,
        IF(ROUNDUP(Simulador!$I$10/Simulador!$I$11*AC$2,0)&lt;=Simulador!$I$12,
            ROUNDUP(Simulador!$I$10/Simulador!$I$11*AC$2,0),
            0
        ),
        IF(ROUNDUP(Simulador!$I$10+(Simulador!$I$12-Simulador!$I$10)/(Simulador!$I$8-Simulador!$I$11)*(AC$2-Simulador!$I$11),0)&lt;=Simulador!$I$12,
            IF(AC$2&lt;=Simulador!$I$8,
                ROUNDUP(Simulador!$I$10+(Simulador!$I$12-Simulador!$I$10)/(Simulador!$I$8-Simulador!$I$11)*(AC$2-Simulador!$I$11),0),
                0
            ),
            0
        )
    )
)</f>
        <v>#DIV/0!</v>
      </c>
      <c r="AD7" s="61" t="e">
        <f>IF(Simulador!$I$10=Simulador!$I$12,
    IF(AND(AD$2&lt;=Simulador!$I$11,ROUNDUP(Simulador!$I$10/Simulador!$I$11*AD$2,0)&lt;=Simulador!$I$12),
        ROUNDUP(Simulador!$I$10/Simulador!$I$11*AD$2,0),
        IF(AD$2&lt;=Simulador!$I$8,Simulador!$I$12,0)
    ),
    IF(AD$2&lt;=Simulador!$I$11,
        IF(ROUNDUP(Simulador!$I$10/Simulador!$I$11*AD$2,0)&lt;=Simulador!$I$12,
            ROUNDUP(Simulador!$I$10/Simulador!$I$11*AD$2,0),
            0
        ),
        IF(ROUNDUP(Simulador!$I$10+(Simulador!$I$12-Simulador!$I$10)/(Simulador!$I$8-Simulador!$I$11)*(AD$2-Simulador!$I$11),0)&lt;=Simulador!$I$12,
            IF(AD$2&lt;=Simulador!$I$8,
                ROUNDUP(Simulador!$I$10+(Simulador!$I$12-Simulador!$I$10)/(Simulador!$I$8-Simulador!$I$11)*(AD$2-Simulador!$I$11),0),
                0
            ),
            0
        )
    )
)</f>
        <v>#DIV/0!</v>
      </c>
      <c r="AE7" s="61" t="e">
        <f>IF(Simulador!$I$10=Simulador!$I$12,
    IF(AND(AE$2&lt;=Simulador!$I$11,ROUNDUP(Simulador!$I$10/Simulador!$I$11*AE$2,0)&lt;=Simulador!$I$12),
        ROUNDUP(Simulador!$I$10/Simulador!$I$11*AE$2,0),
        IF(AE$2&lt;=Simulador!$I$8,Simulador!$I$12,0)
    ),
    IF(AE$2&lt;=Simulador!$I$11,
        IF(ROUNDUP(Simulador!$I$10/Simulador!$I$11*AE$2,0)&lt;=Simulador!$I$12,
            ROUNDUP(Simulador!$I$10/Simulador!$I$11*AE$2,0),
            0
        ),
        IF(ROUNDUP(Simulador!$I$10+(Simulador!$I$12-Simulador!$I$10)/(Simulador!$I$8-Simulador!$I$11)*(AE$2-Simulador!$I$11),0)&lt;=Simulador!$I$12,
            IF(AE$2&lt;=Simulador!$I$8,
                ROUNDUP(Simulador!$I$10+(Simulador!$I$12-Simulador!$I$10)/(Simulador!$I$8-Simulador!$I$11)*(AE$2-Simulador!$I$11),0),
                0
            ),
            0
        )
    )
)</f>
        <v>#DIV/0!</v>
      </c>
      <c r="AF7" s="61" t="e">
        <f>IF(Simulador!$I$10=Simulador!$I$12,
    IF(AND(AF$2&lt;=Simulador!$I$11,ROUNDUP(Simulador!$I$10/Simulador!$I$11*AF$2,0)&lt;=Simulador!$I$12),
        ROUNDUP(Simulador!$I$10/Simulador!$I$11*AF$2,0),
        IF(AF$2&lt;=Simulador!$I$8,Simulador!$I$12,0)
    ),
    IF(AF$2&lt;=Simulador!$I$11,
        IF(ROUNDUP(Simulador!$I$10/Simulador!$I$11*AF$2,0)&lt;=Simulador!$I$12,
            ROUNDUP(Simulador!$I$10/Simulador!$I$11*AF$2,0),
            0
        ),
        IF(ROUNDUP(Simulador!$I$10+(Simulador!$I$12-Simulador!$I$10)/(Simulador!$I$8-Simulador!$I$11)*(AF$2-Simulador!$I$11),0)&lt;=Simulador!$I$12,
            IF(AF$2&lt;=Simulador!$I$8,
                ROUNDUP(Simulador!$I$10+(Simulador!$I$12-Simulador!$I$10)/(Simulador!$I$8-Simulador!$I$11)*(AF$2-Simulador!$I$11),0),
                0
            ),
            0
        )
    )
)</f>
        <v>#DIV/0!</v>
      </c>
      <c r="AG7" s="61" t="e">
        <f>IF(Simulador!$I$10=Simulador!$I$12,
    IF(AND(AG$2&lt;=Simulador!$I$11,ROUNDUP(Simulador!$I$10/Simulador!$I$11*AG$2,0)&lt;=Simulador!$I$12),
        ROUNDUP(Simulador!$I$10/Simulador!$I$11*AG$2,0),
        IF(AG$2&lt;=Simulador!$I$8,Simulador!$I$12,0)
    ),
    IF(AG$2&lt;=Simulador!$I$11,
        IF(ROUNDUP(Simulador!$I$10/Simulador!$I$11*AG$2,0)&lt;=Simulador!$I$12,
            ROUNDUP(Simulador!$I$10/Simulador!$I$11*AG$2,0),
            0
        ),
        IF(ROUNDUP(Simulador!$I$10+(Simulador!$I$12-Simulador!$I$10)/(Simulador!$I$8-Simulador!$I$11)*(AG$2-Simulador!$I$11),0)&lt;=Simulador!$I$12,
            IF(AG$2&lt;=Simulador!$I$8,
                ROUNDUP(Simulador!$I$10+(Simulador!$I$12-Simulador!$I$10)/(Simulador!$I$8-Simulador!$I$11)*(AG$2-Simulador!$I$11),0),
                0
            ),
            0
        )
    )
)</f>
        <v>#DIV/0!</v>
      </c>
      <c r="AH7" s="61" t="e">
        <f>IF(Simulador!$I$10=Simulador!$I$12,
    IF(AND(AH$2&lt;=Simulador!$I$11,ROUNDUP(Simulador!$I$10/Simulador!$I$11*AH$2,0)&lt;=Simulador!$I$12),
        ROUNDUP(Simulador!$I$10/Simulador!$I$11*AH$2,0),
        IF(AH$2&lt;=Simulador!$I$8,Simulador!$I$12,0)
    ),
    IF(AH$2&lt;=Simulador!$I$11,
        IF(ROUNDUP(Simulador!$I$10/Simulador!$I$11*AH$2,0)&lt;=Simulador!$I$12,
            ROUNDUP(Simulador!$I$10/Simulador!$I$11*AH$2,0),
            0
        ),
        IF(ROUNDUP(Simulador!$I$10+(Simulador!$I$12-Simulador!$I$10)/(Simulador!$I$8-Simulador!$I$11)*(AH$2-Simulador!$I$11),0)&lt;=Simulador!$I$12,
            IF(AH$2&lt;=Simulador!$I$8,
                ROUNDUP(Simulador!$I$10+(Simulador!$I$12-Simulador!$I$10)/(Simulador!$I$8-Simulador!$I$11)*(AH$2-Simulador!$I$11),0),
                0
            ),
            0
        )
    )
)</f>
        <v>#DIV/0!</v>
      </c>
      <c r="AI7" s="61" t="e">
        <f>IF(Simulador!$I$10=Simulador!$I$12,
    IF(AND(AI$2&lt;=Simulador!$I$11,ROUNDUP(Simulador!$I$10/Simulador!$I$11*AI$2,0)&lt;=Simulador!$I$12),
        ROUNDUP(Simulador!$I$10/Simulador!$I$11*AI$2,0),
        IF(AI$2&lt;=Simulador!$I$8,Simulador!$I$12,0)
    ),
    IF(AI$2&lt;=Simulador!$I$11,
        IF(ROUNDUP(Simulador!$I$10/Simulador!$I$11*AI$2,0)&lt;=Simulador!$I$12,
            ROUNDUP(Simulador!$I$10/Simulador!$I$11*AI$2,0),
            0
        ),
        IF(ROUNDUP(Simulador!$I$10+(Simulador!$I$12-Simulador!$I$10)/(Simulador!$I$8-Simulador!$I$11)*(AI$2-Simulador!$I$11),0)&lt;=Simulador!$I$12,
            IF(AI$2&lt;=Simulador!$I$8,
                ROUNDUP(Simulador!$I$10+(Simulador!$I$12-Simulador!$I$10)/(Simulador!$I$8-Simulador!$I$11)*(AI$2-Simulador!$I$11),0),
                0
            ),
            0
        )
    )
)</f>
        <v>#DIV/0!</v>
      </c>
      <c r="AJ7" s="61" t="e">
        <f>IF(Simulador!$I$10=Simulador!$I$12,
    IF(AND(AJ$2&lt;=Simulador!$I$11,ROUNDUP(Simulador!$I$10/Simulador!$I$11*AJ$2,0)&lt;=Simulador!$I$12),
        ROUNDUP(Simulador!$I$10/Simulador!$I$11*AJ$2,0),
        IF(AJ$2&lt;=Simulador!$I$8,Simulador!$I$12,0)
    ),
    IF(AJ$2&lt;=Simulador!$I$11,
        IF(ROUNDUP(Simulador!$I$10/Simulador!$I$11*AJ$2,0)&lt;=Simulador!$I$12,
            ROUNDUP(Simulador!$I$10/Simulador!$I$11*AJ$2,0),
            0
        ),
        IF(ROUNDUP(Simulador!$I$10+(Simulador!$I$12-Simulador!$I$10)/(Simulador!$I$8-Simulador!$I$11)*(AJ$2-Simulador!$I$11),0)&lt;=Simulador!$I$12,
            IF(AJ$2&lt;=Simulador!$I$8,
                ROUNDUP(Simulador!$I$10+(Simulador!$I$12-Simulador!$I$10)/(Simulador!$I$8-Simulador!$I$11)*(AJ$2-Simulador!$I$11),0),
                0
            ),
            0
        )
    )
)</f>
        <v>#DIV/0!</v>
      </c>
      <c r="AK7" s="61" t="e">
        <f>IF(Simulador!$I$10=Simulador!$I$12,
    IF(AND(AK$2&lt;=Simulador!$I$11,ROUNDUP(Simulador!$I$10/Simulador!$I$11*AK$2,0)&lt;=Simulador!$I$12),
        ROUNDUP(Simulador!$I$10/Simulador!$I$11*AK$2,0),
        IF(AK$2&lt;=Simulador!$I$8,Simulador!$I$12,0)
    ),
    IF(AK$2&lt;=Simulador!$I$11,
        IF(ROUNDUP(Simulador!$I$10/Simulador!$I$11*AK$2,0)&lt;=Simulador!$I$12,
            ROUNDUP(Simulador!$I$10/Simulador!$I$11*AK$2,0),
            0
        ),
        IF(ROUNDUP(Simulador!$I$10+(Simulador!$I$12-Simulador!$I$10)/(Simulador!$I$8-Simulador!$I$11)*(AK$2-Simulador!$I$11),0)&lt;=Simulador!$I$12,
            IF(AK$2&lt;=Simulador!$I$8,
                ROUNDUP(Simulador!$I$10+(Simulador!$I$12-Simulador!$I$10)/(Simulador!$I$8-Simulador!$I$11)*(AK$2-Simulador!$I$11),0),
                0
            ),
            0
        )
    )
)</f>
        <v>#DIV/0!</v>
      </c>
      <c r="AL7" s="61" t="e">
        <f>IF(Simulador!$I$10=Simulador!$I$12,
    IF(AND(AL$2&lt;=Simulador!$I$11,ROUNDUP(Simulador!$I$10/Simulador!$I$11*AL$2,0)&lt;=Simulador!$I$12),
        ROUNDUP(Simulador!$I$10/Simulador!$I$11*AL$2,0),
        IF(AL$2&lt;=Simulador!$I$8,Simulador!$I$12,0)
    ),
    IF(AL$2&lt;=Simulador!$I$11,
        IF(ROUNDUP(Simulador!$I$10/Simulador!$I$11*AL$2,0)&lt;=Simulador!$I$12,
            ROUNDUP(Simulador!$I$10/Simulador!$I$11*AL$2,0),
            0
        ),
        IF(ROUNDUP(Simulador!$I$10+(Simulador!$I$12-Simulador!$I$10)/(Simulador!$I$8-Simulador!$I$11)*(AL$2-Simulador!$I$11),0)&lt;=Simulador!$I$12,
            IF(AL$2&lt;=Simulador!$I$8,
                ROUNDUP(Simulador!$I$10+(Simulador!$I$12-Simulador!$I$10)/(Simulador!$I$8-Simulador!$I$11)*(AL$2-Simulador!$I$11),0),
                0
            ),
            0
        )
    )
)</f>
        <v>#DIV/0!</v>
      </c>
      <c r="AM7" s="61" t="e">
        <f>IF(Simulador!$I$10=Simulador!$I$12,
    IF(AND(AM$2&lt;=Simulador!$I$11,ROUNDUP(Simulador!$I$10/Simulador!$I$11*AM$2,0)&lt;=Simulador!$I$12),
        ROUNDUP(Simulador!$I$10/Simulador!$I$11*AM$2,0),
        IF(AM$2&lt;=Simulador!$I$8,Simulador!$I$12,0)
    ),
    IF(AM$2&lt;=Simulador!$I$11,
        IF(ROUNDUP(Simulador!$I$10/Simulador!$I$11*AM$2,0)&lt;=Simulador!$I$12,
            ROUNDUP(Simulador!$I$10/Simulador!$I$11*AM$2,0),
            0
        ),
        IF(ROUNDUP(Simulador!$I$10+(Simulador!$I$12-Simulador!$I$10)/(Simulador!$I$8-Simulador!$I$11)*(AM$2-Simulador!$I$11),0)&lt;=Simulador!$I$12,
            IF(AM$2&lt;=Simulador!$I$8,
                ROUNDUP(Simulador!$I$10+(Simulador!$I$12-Simulador!$I$10)/(Simulador!$I$8-Simulador!$I$11)*(AM$2-Simulador!$I$11),0),
                0
            ),
            0
        )
    )
)</f>
        <v>#DIV/0!</v>
      </c>
      <c r="AN7" s="61" t="e">
        <f>IF(Simulador!$I$10=Simulador!$I$12,
    IF(AND(AN$2&lt;=Simulador!$I$11,ROUNDUP(Simulador!$I$10/Simulador!$I$11*AN$2,0)&lt;=Simulador!$I$12),
        ROUNDUP(Simulador!$I$10/Simulador!$I$11*AN$2,0),
        IF(AN$2&lt;=Simulador!$I$8,Simulador!$I$12,0)
    ),
    IF(AN$2&lt;=Simulador!$I$11,
        IF(ROUNDUP(Simulador!$I$10/Simulador!$I$11*AN$2,0)&lt;=Simulador!$I$12,
            ROUNDUP(Simulador!$I$10/Simulador!$I$11*AN$2,0),
            0
        ),
        IF(ROUNDUP(Simulador!$I$10+(Simulador!$I$12-Simulador!$I$10)/(Simulador!$I$8-Simulador!$I$11)*(AN$2-Simulador!$I$11),0)&lt;=Simulador!$I$12,
            IF(AN$2&lt;=Simulador!$I$8,
                ROUNDUP(Simulador!$I$10+(Simulador!$I$12-Simulador!$I$10)/(Simulador!$I$8-Simulador!$I$11)*(AN$2-Simulador!$I$11),0),
                0
            ),
            0
        )
    )
)</f>
        <v>#DIV/0!</v>
      </c>
      <c r="AO7" s="61" t="e">
        <f>IF(Simulador!$I$10=Simulador!$I$12,
    IF(AND(AO$2&lt;=Simulador!$I$11,ROUNDUP(Simulador!$I$10/Simulador!$I$11*AO$2,0)&lt;=Simulador!$I$12),
        ROUNDUP(Simulador!$I$10/Simulador!$I$11*AO$2,0),
        IF(AO$2&lt;=Simulador!$I$8,Simulador!$I$12,0)
    ),
    IF(AO$2&lt;=Simulador!$I$11,
        IF(ROUNDUP(Simulador!$I$10/Simulador!$I$11*AO$2,0)&lt;=Simulador!$I$12,
            ROUNDUP(Simulador!$I$10/Simulador!$I$11*AO$2,0),
            0
        ),
        IF(ROUNDUP(Simulador!$I$10+(Simulador!$I$12-Simulador!$I$10)/(Simulador!$I$8-Simulador!$I$11)*(AO$2-Simulador!$I$11),0)&lt;=Simulador!$I$12,
            IF(AO$2&lt;=Simulador!$I$8,
                ROUNDUP(Simulador!$I$10+(Simulador!$I$12-Simulador!$I$10)/(Simulador!$I$8-Simulador!$I$11)*(AO$2-Simulador!$I$11),0),
                0
            ),
            0
        )
    )
)</f>
        <v>#DIV/0!</v>
      </c>
      <c r="AP7" s="61" t="e">
        <f>IF(Simulador!$I$10=Simulador!$I$12,
    IF(AND(AP$2&lt;=Simulador!$I$11,ROUNDUP(Simulador!$I$10/Simulador!$I$11*AP$2,0)&lt;=Simulador!$I$12),
        ROUNDUP(Simulador!$I$10/Simulador!$I$11*AP$2,0),
        IF(AP$2&lt;=Simulador!$I$8,Simulador!$I$12,0)
    ),
    IF(AP$2&lt;=Simulador!$I$11,
        IF(ROUNDUP(Simulador!$I$10/Simulador!$I$11*AP$2,0)&lt;=Simulador!$I$12,
            ROUNDUP(Simulador!$I$10/Simulador!$I$11*AP$2,0),
            0
        ),
        IF(ROUNDUP(Simulador!$I$10+(Simulador!$I$12-Simulador!$I$10)/(Simulador!$I$8-Simulador!$I$11)*(AP$2-Simulador!$I$11),0)&lt;=Simulador!$I$12,
            IF(AP$2&lt;=Simulador!$I$8,
                ROUNDUP(Simulador!$I$10+(Simulador!$I$12-Simulador!$I$10)/(Simulador!$I$8-Simulador!$I$11)*(AP$2-Simulador!$I$11),0),
                0
            ),
            0
        )
    )
)</f>
        <v>#DIV/0!</v>
      </c>
      <c r="AQ7" s="61" t="e">
        <f>IF(Simulador!$I$10=Simulador!$I$12,
    IF(AND(AQ$2&lt;=Simulador!$I$11,ROUNDUP(Simulador!$I$10/Simulador!$I$11*AQ$2,0)&lt;=Simulador!$I$12),
        ROUNDUP(Simulador!$I$10/Simulador!$I$11*AQ$2,0),
        IF(AQ$2&lt;=Simulador!$I$8,Simulador!$I$12,0)
    ),
    IF(AQ$2&lt;=Simulador!$I$11,
        IF(ROUNDUP(Simulador!$I$10/Simulador!$I$11*AQ$2,0)&lt;=Simulador!$I$12,
            ROUNDUP(Simulador!$I$10/Simulador!$I$11*AQ$2,0),
            0
        ),
        IF(ROUNDUP(Simulador!$I$10+(Simulador!$I$12-Simulador!$I$10)/(Simulador!$I$8-Simulador!$I$11)*(AQ$2-Simulador!$I$11),0)&lt;=Simulador!$I$12,
            IF(AQ$2&lt;=Simulador!$I$8,
                ROUNDUP(Simulador!$I$10+(Simulador!$I$12-Simulador!$I$10)/(Simulador!$I$8-Simulador!$I$11)*(AQ$2-Simulador!$I$11),0),
                0
            ),
            0
        )
    )
)</f>
        <v>#DIV/0!</v>
      </c>
      <c r="AR7" s="61" t="e">
        <f>IF(Simulador!$I$10=Simulador!$I$12,
    IF(AND(AR$2&lt;=Simulador!$I$11,ROUNDUP(Simulador!$I$10/Simulador!$I$11*AR$2,0)&lt;=Simulador!$I$12),
        ROUNDUP(Simulador!$I$10/Simulador!$I$11*AR$2,0),
        IF(AR$2&lt;=Simulador!$I$8,Simulador!$I$12,0)
    ),
    IF(AR$2&lt;=Simulador!$I$11,
        IF(ROUNDUP(Simulador!$I$10/Simulador!$I$11*AR$2,0)&lt;=Simulador!$I$12,
            ROUNDUP(Simulador!$I$10/Simulador!$I$11*AR$2,0),
            0
        ),
        IF(ROUNDUP(Simulador!$I$10+(Simulador!$I$12-Simulador!$I$10)/(Simulador!$I$8-Simulador!$I$11)*(AR$2-Simulador!$I$11),0)&lt;=Simulador!$I$12,
            IF(AR$2&lt;=Simulador!$I$8,
                ROUNDUP(Simulador!$I$10+(Simulador!$I$12-Simulador!$I$10)/(Simulador!$I$8-Simulador!$I$11)*(AR$2-Simulador!$I$11),0),
                0
            ),
            0
        )
    )
)</f>
        <v>#DIV/0!</v>
      </c>
      <c r="AS7" s="61" t="e">
        <f>IF(Simulador!$I$10=Simulador!$I$12,
    IF(AND(AS$2&lt;=Simulador!$I$11,ROUNDUP(Simulador!$I$10/Simulador!$I$11*AS$2,0)&lt;=Simulador!$I$12),
        ROUNDUP(Simulador!$I$10/Simulador!$I$11*AS$2,0),
        IF(AS$2&lt;=Simulador!$I$8,Simulador!$I$12,0)
    ),
    IF(AS$2&lt;=Simulador!$I$11,
        IF(ROUNDUP(Simulador!$I$10/Simulador!$I$11*AS$2,0)&lt;=Simulador!$I$12,
            ROUNDUP(Simulador!$I$10/Simulador!$I$11*AS$2,0),
            0
        ),
        IF(ROUNDUP(Simulador!$I$10+(Simulador!$I$12-Simulador!$I$10)/(Simulador!$I$8-Simulador!$I$11)*(AS$2-Simulador!$I$11),0)&lt;=Simulador!$I$12,
            IF(AS$2&lt;=Simulador!$I$8,
                ROUNDUP(Simulador!$I$10+(Simulador!$I$12-Simulador!$I$10)/(Simulador!$I$8-Simulador!$I$11)*(AS$2-Simulador!$I$11),0),
                0
            ),
            0
        )
    )
)</f>
        <v>#DIV/0!</v>
      </c>
      <c r="AT7" s="61" t="e">
        <f>IF(Simulador!$I$10=Simulador!$I$12,
    IF(AND(AT$2&lt;=Simulador!$I$11,ROUNDUP(Simulador!$I$10/Simulador!$I$11*AT$2,0)&lt;=Simulador!$I$12),
        ROUNDUP(Simulador!$I$10/Simulador!$I$11*AT$2,0),
        IF(AT$2&lt;=Simulador!$I$8,Simulador!$I$12,0)
    ),
    IF(AT$2&lt;=Simulador!$I$11,
        IF(ROUNDUP(Simulador!$I$10/Simulador!$I$11*AT$2,0)&lt;=Simulador!$I$12,
            ROUNDUP(Simulador!$I$10/Simulador!$I$11*AT$2,0),
            0
        ),
        IF(ROUNDUP(Simulador!$I$10+(Simulador!$I$12-Simulador!$I$10)/(Simulador!$I$8-Simulador!$I$11)*(AT$2-Simulador!$I$11),0)&lt;=Simulador!$I$12,
            IF(AT$2&lt;=Simulador!$I$8,
                ROUNDUP(Simulador!$I$10+(Simulador!$I$12-Simulador!$I$10)/(Simulador!$I$8-Simulador!$I$11)*(AT$2-Simulador!$I$11),0),
                0
            ),
            0
        )
    )
)</f>
        <v>#DIV/0!</v>
      </c>
      <c r="AU7" s="61" t="e">
        <f>IF(Simulador!$I$10=Simulador!$I$12,
    IF(AND(AU$2&lt;=Simulador!$I$11,ROUNDUP(Simulador!$I$10/Simulador!$I$11*AU$2,0)&lt;=Simulador!$I$12),
        ROUNDUP(Simulador!$I$10/Simulador!$I$11*AU$2,0),
        IF(AU$2&lt;=Simulador!$I$8,Simulador!$I$12,0)
    ),
    IF(AU$2&lt;=Simulador!$I$11,
        IF(ROUNDUP(Simulador!$I$10/Simulador!$I$11*AU$2,0)&lt;=Simulador!$I$12,
            ROUNDUP(Simulador!$I$10/Simulador!$I$11*AU$2,0),
            0
        ),
        IF(ROUNDUP(Simulador!$I$10+(Simulador!$I$12-Simulador!$I$10)/(Simulador!$I$8-Simulador!$I$11)*(AU$2-Simulador!$I$11),0)&lt;=Simulador!$I$12,
            IF(AU$2&lt;=Simulador!$I$8,
                ROUNDUP(Simulador!$I$10+(Simulador!$I$12-Simulador!$I$10)/(Simulador!$I$8-Simulador!$I$11)*(AU$2-Simulador!$I$11),0),
                0
            ),
            0
        )
    )
)</f>
        <v>#DIV/0!</v>
      </c>
      <c r="AV7" s="61" t="e">
        <f>IF(Simulador!$I$10=Simulador!$I$12,
    IF(AND(AV$2&lt;=Simulador!$I$11,ROUNDUP(Simulador!$I$10/Simulador!$I$11*AV$2,0)&lt;=Simulador!$I$12),
        ROUNDUP(Simulador!$I$10/Simulador!$I$11*AV$2,0),
        IF(AV$2&lt;=Simulador!$I$8,Simulador!$I$12,0)
    ),
    IF(AV$2&lt;=Simulador!$I$11,
        IF(ROUNDUP(Simulador!$I$10/Simulador!$I$11*AV$2,0)&lt;=Simulador!$I$12,
            ROUNDUP(Simulador!$I$10/Simulador!$I$11*AV$2,0),
            0
        ),
        IF(ROUNDUP(Simulador!$I$10+(Simulador!$I$12-Simulador!$I$10)/(Simulador!$I$8-Simulador!$I$11)*(AV$2-Simulador!$I$11),0)&lt;=Simulador!$I$12,
            IF(AV$2&lt;=Simulador!$I$8,
                ROUNDUP(Simulador!$I$10+(Simulador!$I$12-Simulador!$I$10)/(Simulador!$I$8-Simulador!$I$11)*(AV$2-Simulador!$I$11),0),
                0
            ),
            0
        )
    )
)</f>
        <v>#DIV/0!</v>
      </c>
      <c r="AW7" s="61" t="e">
        <f>IF(Simulador!$I$10=Simulador!$I$12,
    IF(AND(AW$2&lt;=Simulador!$I$11,ROUNDUP(Simulador!$I$10/Simulador!$I$11*AW$2,0)&lt;=Simulador!$I$12),
        ROUNDUP(Simulador!$I$10/Simulador!$I$11*AW$2,0),
        IF(AW$2&lt;=Simulador!$I$8,Simulador!$I$12,0)
    ),
    IF(AW$2&lt;=Simulador!$I$11,
        IF(ROUNDUP(Simulador!$I$10/Simulador!$I$11*AW$2,0)&lt;=Simulador!$I$12,
            ROUNDUP(Simulador!$I$10/Simulador!$I$11*AW$2,0),
            0
        ),
        IF(ROUNDUP(Simulador!$I$10+(Simulador!$I$12-Simulador!$I$10)/(Simulador!$I$8-Simulador!$I$11)*(AW$2-Simulador!$I$11),0)&lt;=Simulador!$I$12,
            IF(AW$2&lt;=Simulador!$I$8,
                ROUNDUP(Simulador!$I$10+(Simulador!$I$12-Simulador!$I$10)/(Simulador!$I$8-Simulador!$I$11)*(AW$2-Simulador!$I$11),0),
                0
            ),
            0
        )
    )
)</f>
        <v>#DIV/0!</v>
      </c>
      <c r="AX7" s="61" t="e">
        <f>IF(Simulador!$I$10=Simulador!$I$12,
    IF(AND(AX$2&lt;=Simulador!$I$11,ROUNDUP(Simulador!$I$10/Simulador!$I$11*AX$2,0)&lt;=Simulador!$I$12),
        ROUNDUP(Simulador!$I$10/Simulador!$I$11*AX$2,0),
        IF(AX$2&lt;=Simulador!$I$8,Simulador!$I$12,0)
    ),
    IF(AX$2&lt;=Simulador!$I$11,
        IF(ROUNDUP(Simulador!$I$10/Simulador!$I$11*AX$2,0)&lt;=Simulador!$I$12,
            ROUNDUP(Simulador!$I$10/Simulador!$I$11*AX$2,0),
            0
        ),
        IF(ROUNDUP(Simulador!$I$10+(Simulador!$I$12-Simulador!$I$10)/(Simulador!$I$8-Simulador!$I$11)*(AX$2-Simulador!$I$11),0)&lt;=Simulador!$I$12,
            IF(AX$2&lt;=Simulador!$I$8,
                ROUNDUP(Simulador!$I$10+(Simulador!$I$12-Simulador!$I$10)/(Simulador!$I$8-Simulador!$I$11)*(AX$2-Simulador!$I$11),0),
                0
            ),
            0
        )
    )
)</f>
        <v>#DIV/0!</v>
      </c>
      <c r="AY7" s="61" t="e">
        <f>IF(Simulador!$I$10=Simulador!$I$12,
    IF(AND(AY$2&lt;=Simulador!$I$11,ROUNDUP(Simulador!$I$10/Simulador!$I$11*AY$2,0)&lt;=Simulador!$I$12),
        ROUNDUP(Simulador!$I$10/Simulador!$I$11*AY$2,0),
        IF(AY$2&lt;=Simulador!$I$8,Simulador!$I$12,0)
    ),
    IF(AY$2&lt;=Simulador!$I$11,
        IF(ROUNDUP(Simulador!$I$10/Simulador!$I$11*AY$2,0)&lt;=Simulador!$I$12,
            ROUNDUP(Simulador!$I$10/Simulador!$I$11*AY$2,0),
            0
        ),
        IF(ROUNDUP(Simulador!$I$10+(Simulador!$I$12-Simulador!$I$10)/(Simulador!$I$8-Simulador!$I$11)*(AY$2-Simulador!$I$11),0)&lt;=Simulador!$I$12,
            IF(AY$2&lt;=Simulador!$I$8,
                ROUNDUP(Simulador!$I$10+(Simulador!$I$12-Simulador!$I$10)/(Simulador!$I$8-Simulador!$I$11)*(AY$2-Simulador!$I$11),0),
                0
            ),
            0
        )
    )
)</f>
        <v>#DIV/0!</v>
      </c>
      <c r="AZ7" s="61" t="e">
        <f>IF(Simulador!$I$10=Simulador!$I$12,
    IF(AND(AZ$2&lt;=Simulador!$I$11,ROUNDUP(Simulador!$I$10/Simulador!$I$11*AZ$2,0)&lt;=Simulador!$I$12),
        ROUNDUP(Simulador!$I$10/Simulador!$I$11*AZ$2,0),
        IF(AZ$2&lt;=Simulador!$I$8,Simulador!$I$12,0)
    ),
    IF(AZ$2&lt;=Simulador!$I$11,
        IF(ROUNDUP(Simulador!$I$10/Simulador!$I$11*AZ$2,0)&lt;=Simulador!$I$12,
            ROUNDUP(Simulador!$I$10/Simulador!$I$11*AZ$2,0),
            0
        ),
        IF(ROUNDUP(Simulador!$I$10+(Simulador!$I$12-Simulador!$I$10)/(Simulador!$I$8-Simulador!$I$11)*(AZ$2-Simulador!$I$11),0)&lt;=Simulador!$I$12,
            IF(AZ$2&lt;=Simulador!$I$8,
                ROUNDUP(Simulador!$I$10+(Simulador!$I$12-Simulador!$I$10)/(Simulador!$I$8-Simulador!$I$11)*(AZ$2-Simulador!$I$11),0),
                0
            ),
            0
        )
    )
)</f>
        <v>#DIV/0!</v>
      </c>
      <c r="BA7" s="61" t="e">
        <f>IF(Simulador!$I$10=Simulador!$I$12,
    IF(AND(BA$2&lt;=Simulador!$I$11,ROUNDUP(Simulador!$I$10/Simulador!$I$11*BA$2,0)&lt;=Simulador!$I$12),
        ROUNDUP(Simulador!$I$10/Simulador!$I$11*BA$2,0),
        IF(BA$2&lt;=Simulador!$I$8,Simulador!$I$12,0)
    ),
    IF(BA$2&lt;=Simulador!$I$11,
        IF(ROUNDUP(Simulador!$I$10/Simulador!$I$11*BA$2,0)&lt;=Simulador!$I$12,
            ROUNDUP(Simulador!$I$10/Simulador!$I$11*BA$2,0),
            0
        ),
        IF(ROUNDUP(Simulador!$I$10+(Simulador!$I$12-Simulador!$I$10)/(Simulador!$I$8-Simulador!$I$11)*(BA$2-Simulador!$I$11),0)&lt;=Simulador!$I$12,
            IF(BA$2&lt;=Simulador!$I$8,
                ROUNDUP(Simulador!$I$10+(Simulador!$I$12-Simulador!$I$10)/(Simulador!$I$8-Simulador!$I$11)*(BA$2-Simulador!$I$11),0),
                0
            ),
            0
        )
    )
)</f>
        <v>#DIV/0!</v>
      </c>
      <c r="BB7" s="61" t="e">
        <f>IF(Simulador!$I$10=Simulador!$I$12,
    IF(AND(BB$2&lt;=Simulador!$I$11,ROUNDUP(Simulador!$I$10/Simulador!$I$11*BB$2,0)&lt;=Simulador!$I$12),
        ROUNDUP(Simulador!$I$10/Simulador!$I$11*BB$2,0),
        IF(BB$2&lt;=Simulador!$I$8,Simulador!$I$12,0)
    ),
    IF(BB$2&lt;=Simulador!$I$11,
        IF(ROUNDUP(Simulador!$I$10/Simulador!$I$11*BB$2,0)&lt;=Simulador!$I$12,
            ROUNDUP(Simulador!$I$10/Simulador!$I$11*BB$2,0),
            0
        ),
        IF(ROUNDUP(Simulador!$I$10+(Simulador!$I$12-Simulador!$I$10)/(Simulador!$I$8-Simulador!$I$11)*(BB$2-Simulador!$I$11),0)&lt;=Simulador!$I$12,
            IF(BB$2&lt;=Simulador!$I$8,
                ROUNDUP(Simulador!$I$10+(Simulador!$I$12-Simulador!$I$10)/(Simulador!$I$8-Simulador!$I$11)*(BB$2-Simulador!$I$11),0),
                0
            ),
            0
        )
    )
)</f>
        <v>#DIV/0!</v>
      </c>
      <c r="BC7" s="61" t="e">
        <f>IF(Simulador!$I$10=Simulador!$I$12,
    IF(AND(BC$2&lt;=Simulador!$I$11,ROUNDUP(Simulador!$I$10/Simulador!$I$11*BC$2,0)&lt;=Simulador!$I$12),
        ROUNDUP(Simulador!$I$10/Simulador!$I$11*BC$2,0),
        IF(BC$2&lt;=Simulador!$I$8,Simulador!$I$12,0)
    ),
    IF(BC$2&lt;=Simulador!$I$11,
        IF(ROUNDUP(Simulador!$I$10/Simulador!$I$11*BC$2,0)&lt;=Simulador!$I$12,
            ROUNDUP(Simulador!$I$10/Simulador!$I$11*BC$2,0),
            0
        ),
        IF(ROUNDUP(Simulador!$I$10+(Simulador!$I$12-Simulador!$I$10)/(Simulador!$I$8-Simulador!$I$11)*(BC$2-Simulador!$I$11),0)&lt;=Simulador!$I$12,
            IF(BC$2&lt;=Simulador!$I$8,
                ROUNDUP(Simulador!$I$10+(Simulador!$I$12-Simulador!$I$10)/(Simulador!$I$8-Simulador!$I$11)*(BC$2-Simulador!$I$11),0),
                0
            ),
            0
        )
    )
)</f>
        <v>#DIV/0!</v>
      </c>
      <c r="BD7" s="61" t="e">
        <f>IF(Simulador!$I$10=Simulador!$I$12,
    IF(AND(BD$2&lt;=Simulador!$I$11,ROUNDUP(Simulador!$I$10/Simulador!$I$11*BD$2,0)&lt;=Simulador!$I$12),
        ROUNDUP(Simulador!$I$10/Simulador!$I$11*BD$2,0),
        IF(BD$2&lt;=Simulador!$I$8,Simulador!$I$12,0)
    ),
    IF(BD$2&lt;=Simulador!$I$11,
        IF(ROUNDUP(Simulador!$I$10/Simulador!$I$11*BD$2,0)&lt;=Simulador!$I$12,
            ROUNDUP(Simulador!$I$10/Simulador!$I$11*BD$2,0),
            0
        ),
        IF(ROUNDUP(Simulador!$I$10+(Simulador!$I$12-Simulador!$I$10)/(Simulador!$I$8-Simulador!$I$11)*(BD$2-Simulador!$I$11),0)&lt;=Simulador!$I$12,
            IF(BD$2&lt;=Simulador!$I$8,
                ROUNDUP(Simulador!$I$10+(Simulador!$I$12-Simulador!$I$10)/(Simulador!$I$8-Simulador!$I$11)*(BD$2-Simulador!$I$11),0),
                0
            ),
            0
        )
    )
)</f>
        <v>#DIV/0!</v>
      </c>
      <c r="BE7" s="61" t="e">
        <f>IF(Simulador!$I$10=Simulador!$I$12,
    IF(AND(BE$2&lt;=Simulador!$I$11,ROUNDUP(Simulador!$I$10/Simulador!$I$11*BE$2,0)&lt;=Simulador!$I$12),
        ROUNDUP(Simulador!$I$10/Simulador!$I$11*BE$2,0),
        IF(BE$2&lt;=Simulador!$I$8,Simulador!$I$12,0)
    ),
    IF(BE$2&lt;=Simulador!$I$11,
        IF(ROUNDUP(Simulador!$I$10/Simulador!$I$11*BE$2,0)&lt;=Simulador!$I$12,
            ROUNDUP(Simulador!$I$10/Simulador!$I$11*BE$2,0),
            0
        ),
        IF(ROUNDUP(Simulador!$I$10+(Simulador!$I$12-Simulador!$I$10)/(Simulador!$I$8-Simulador!$I$11)*(BE$2-Simulador!$I$11),0)&lt;=Simulador!$I$12,
            IF(BE$2&lt;=Simulador!$I$8,
                ROUNDUP(Simulador!$I$10+(Simulador!$I$12-Simulador!$I$10)/(Simulador!$I$8-Simulador!$I$11)*(BE$2-Simulador!$I$11),0),
                0
            ),
            0
        )
    )
)</f>
        <v>#DIV/0!</v>
      </c>
      <c r="BF7" s="61" t="e">
        <f>IF(Simulador!$I$10=Simulador!$I$12,
    IF(AND(BF$2&lt;=Simulador!$I$11,ROUNDUP(Simulador!$I$10/Simulador!$I$11*BF$2,0)&lt;=Simulador!$I$12),
        ROUNDUP(Simulador!$I$10/Simulador!$I$11*BF$2,0),
        IF(BF$2&lt;=Simulador!$I$8,Simulador!$I$12,0)
    ),
    IF(BF$2&lt;=Simulador!$I$11,
        IF(ROUNDUP(Simulador!$I$10/Simulador!$I$11*BF$2,0)&lt;=Simulador!$I$12,
            ROUNDUP(Simulador!$I$10/Simulador!$I$11*BF$2,0),
            0
        ),
        IF(ROUNDUP(Simulador!$I$10+(Simulador!$I$12-Simulador!$I$10)/(Simulador!$I$8-Simulador!$I$11)*(BF$2-Simulador!$I$11),0)&lt;=Simulador!$I$12,
            IF(BF$2&lt;=Simulador!$I$8,
                ROUNDUP(Simulador!$I$10+(Simulador!$I$12-Simulador!$I$10)/(Simulador!$I$8-Simulador!$I$11)*(BF$2-Simulador!$I$11),0),
                0
            ),
            0
        )
    )
)</f>
        <v>#DIV/0!</v>
      </c>
      <c r="BG7" s="61" t="e">
        <f>IF(Simulador!$I$10=Simulador!$I$12,
    IF(AND(BG$2&lt;=Simulador!$I$11,ROUNDUP(Simulador!$I$10/Simulador!$I$11*BG$2,0)&lt;=Simulador!$I$12),
        ROUNDUP(Simulador!$I$10/Simulador!$I$11*BG$2,0),
        IF(BG$2&lt;=Simulador!$I$8,Simulador!$I$12,0)
    ),
    IF(BG$2&lt;=Simulador!$I$11,
        IF(ROUNDUP(Simulador!$I$10/Simulador!$I$11*BG$2,0)&lt;=Simulador!$I$12,
            ROUNDUP(Simulador!$I$10/Simulador!$I$11*BG$2,0),
            0
        ),
        IF(ROUNDUP(Simulador!$I$10+(Simulador!$I$12-Simulador!$I$10)/(Simulador!$I$8-Simulador!$I$11)*(BG$2-Simulador!$I$11),0)&lt;=Simulador!$I$12,
            IF(BG$2&lt;=Simulador!$I$8,
                ROUNDUP(Simulador!$I$10+(Simulador!$I$12-Simulador!$I$10)/(Simulador!$I$8-Simulador!$I$11)*(BG$2-Simulador!$I$11),0),
                0
            ),
            0
        )
    )
)</f>
        <v>#DIV/0!</v>
      </c>
      <c r="BH7" s="61" t="e">
        <f>IF(Simulador!$I$10=Simulador!$I$12,
    IF(AND(BH$2&lt;=Simulador!$I$11,ROUNDUP(Simulador!$I$10/Simulador!$I$11*BH$2,0)&lt;=Simulador!$I$12),
        ROUNDUP(Simulador!$I$10/Simulador!$I$11*BH$2,0),
        IF(BH$2&lt;=Simulador!$I$8,Simulador!$I$12,0)
    ),
    IF(BH$2&lt;=Simulador!$I$11,
        IF(ROUNDUP(Simulador!$I$10/Simulador!$I$11*BH$2,0)&lt;=Simulador!$I$12,
            ROUNDUP(Simulador!$I$10/Simulador!$I$11*BH$2,0),
            0
        ),
        IF(ROUNDUP(Simulador!$I$10+(Simulador!$I$12-Simulador!$I$10)/(Simulador!$I$8-Simulador!$I$11)*(BH$2-Simulador!$I$11),0)&lt;=Simulador!$I$12,
            IF(BH$2&lt;=Simulador!$I$8,
                ROUNDUP(Simulador!$I$10+(Simulador!$I$12-Simulador!$I$10)/(Simulador!$I$8-Simulador!$I$11)*(BH$2-Simulador!$I$11),0),
                0
            ),
            0
        )
    )
)</f>
        <v>#DIV/0!</v>
      </c>
      <c r="BI7" s="61" t="e">
        <f>IF(Simulador!$I$10=Simulador!$I$12,
    IF(AND(BI$2&lt;=Simulador!$I$11,ROUNDUP(Simulador!$I$10/Simulador!$I$11*BI$2,0)&lt;=Simulador!$I$12),
        ROUNDUP(Simulador!$I$10/Simulador!$I$11*BI$2,0),
        IF(BI$2&lt;=Simulador!$I$8,Simulador!$I$12,0)
    ),
    IF(BI$2&lt;=Simulador!$I$11,
        IF(ROUNDUP(Simulador!$I$10/Simulador!$I$11*BI$2,0)&lt;=Simulador!$I$12,
            ROUNDUP(Simulador!$I$10/Simulador!$I$11*BI$2,0),
            0
        ),
        IF(ROUNDUP(Simulador!$I$10+(Simulador!$I$12-Simulador!$I$10)/(Simulador!$I$8-Simulador!$I$11)*(BI$2-Simulador!$I$11),0)&lt;=Simulador!$I$12,
            IF(BI$2&lt;=Simulador!$I$8,
                ROUNDUP(Simulador!$I$10+(Simulador!$I$12-Simulador!$I$10)/(Simulador!$I$8-Simulador!$I$11)*(BI$2-Simulador!$I$11),0),
                0
            ),
            0
        )
    )
)</f>
        <v>#DIV/0!</v>
      </c>
      <c r="BJ7" s="61" t="e">
        <f>IF(Simulador!$I$10=Simulador!$I$12,
    IF(AND(BJ$2&lt;=Simulador!$I$11,ROUNDUP(Simulador!$I$10/Simulador!$I$11*BJ$2,0)&lt;=Simulador!$I$12),
        ROUNDUP(Simulador!$I$10/Simulador!$I$11*BJ$2,0),
        IF(BJ$2&lt;=Simulador!$I$8,Simulador!$I$12,0)
    ),
    IF(BJ$2&lt;=Simulador!$I$11,
        IF(ROUNDUP(Simulador!$I$10/Simulador!$I$11*BJ$2,0)&lt;=Simulador!$I$12,
            ROUNDUP(Simulador!$I$10/Simulador!$I$11*BJ$2,0),
            0
        ),
        IF(ROUNDUP(Simulador!$I$10+(Simulador!$I$12-Simulador!$I$10)/(Simulador!$I$8-Simulador!$I$11)*(BJ$2-Simulador!$I$11),0)&lt;=Simulador!$I$12,
            IF(BJ$2&lt;=Simulador!$I$8,
                ROUNDUP(Simulador!$I$10+(Simulador!$I$12-Simulador!$I$10)/(Simulador!$I$8-Simulador!$I$11)*(BJ$2-Simulador!$I$11),0),
                0
            ),
            0
        )
    )
)</f>
        <v>#DIV/0!</v>
      </c>
      <c r="BK7" s="61" t="e">
        <f>IF(Simulador!$I$10=Simulador!$I$12,
    IF(AND(BK$2&lt;=Simulador!$I$11,ROUNDUP(Simulador!$I$10/Simulador!$I$11*BK$2,0)&lt;=Simulador!$I$12),
        ROUNDUP(Simulador!$I$10/Simulador!$I$11*BK$2,0),
        IF(BK$2&lt;=Simulador!$I$8,Simulador!$I$12,0)
    ),
    IF(BK$2&lt;=Simulador!$I$11,
        IF(ROUNDUP(Simulador!$I$10/Simulador!$I$11*BK$2,0)&lt;=Simulador!$I$12,
            ROUNDUP(Simulador!$I$10/Simulador!$I$11*BK$2,0),
            0
        ),
        IF(ROUNDUP(Simulador!$I$10+(Simulador!$I$12-Simulador!$I$10)/(Simulador!$I$8-Simulador!$I$11)*(BK$2-Simulador!$I$11),0)&lt;=Simulador!$I$12,
            IF(BK$2&lt;=Simulador!$I$8,
                ROUNDUP(Simulador!$I$10+(Simulador!$I$12-Simulador!$I$10)/(Simulador!$I$8-Simulador!$I$11)*(BK$2-Simulador!$I$11),0),
                0
            ),
            0
        )
    )
)</f>
        <v>#DIV/0!</v>
      </c>
      <c r="BL7" s="61" t="e">
        <f>IF(Simulador!$I$10=Simulador!$I$12,
    IF(AND(BL$2&lt;=Simulador!$I$11,ROUNDUP(Simulador!$I$10/Simulador!$I$11*BL$2,0)&lt;=Simulador!$I$12),
        ROUNDUP(Simulador!$I$10/Simulador!$I$11*BL$2,0),
        IF(BL$2&lt;=Simulador!$I$8,Simulador!$I$12,0)
    ),
    IF(BL$2&lt;=Simulador!$I$11,
        IF(ROUNDUP(Simulador!$I$10/Simulador!$I$11*BL$2,0)&lt;=Simulador!$I$12,
            ROUNDUP(Simulador!$I$10/Simulador!$I$11*BL$2,0),
            0
        ),
        IF(ROUNDUP(Simulador!$I$10+(Simulador!$I$12-Simulador!$I$10)/(Simulador!$I$8-Simulador!$I$11)*(BL$2-Simulador!$I$11),0)&lt;=Simulador!$I$12,
            IF(BL$2&lt;=Simulador!$I$8,
                ROUNDUP(Simulador!$I$10+(Simulador!$I$12-Simulador!$I$10)/(Simulador!$I$8-Simulador!$I$11)*(BL$2-Simulador!$I$11),0),
                0
            ),
            0
        )
    )
)</f>
        <v>#DIV/0!</v>
      </c>
      <c r="BM7" s="61" t="e">
        <f>IF(Simulador!$I$10=Simulador!$I$12,
    IF(AND(BM$2&lt;=Simulador!$I$11,ROUNDUP(Simulador!$I$10/Simulador!$I$11*BM$2,0)&lt;=Simulador!$I$12),
        ROUNDUP(Simulador!$I$10/Simulador!$I$11*BM$2,0),
        IF(BM$2&lt;=Simulador!$I$8,Simulador!$I$12,0)
    ),
    IF(BM$2&lt;=Simulador!$I$11,
        IF(ROUNDUP(Simulador!$I$10/Simulador!$I$11*BM$2,0)&lt;=Simulador!$I$12,
            ROUNDUP(Simulador!$I$10/Simulador!$I$11*BM$2,0),
            0
        ),
        IF(ROUNDUP(Simulador!$I$10+(Simulador!$I$12-Simulador!$I$10)/(Simulador!$I$8-Simulador!$I$11)*(BM$2-Simulador!$I$11),0)&lt;=Simulador!$I$12,
            IF(BM$2&lt;=Simulador!$I$8,
                ROUNDUP(Simulador!$I$10+(Simulador!$I$12-Simulador!$I$10)/(Simulador!$I$8-Simulador!$I$11)*(BM$2-Simulador!$I$11),0),
                0
            ),
            0
        )
    )
)</f>
        <v>#DIV/0!</v>
      </c>
      <c r="BN7" s="61" t="e">
        <f>IF(Simulador!$I$10=Simulador!$I$12,
    IF(AND(BN$2&lt;=Simulador!$I$11,ROUNDUP(Simulador!$I$10/Simulador!$I$11*BN$2,0)&lt;=Simulador!$I$12),
        ROUNDUP(Simulador!$I$10/Simulador!$I$11*BN$2,0),
        IF(BN$2&lt;=Simulador!$I$8,Simulador!$I$12,0)
    ),
    IF(BN$2&lt;=Simulador!$I$11,
        IF(ROUNDUP(Simulador!$I$10/Simulador!$I$11*BN$2,0)&lt;=Simulador!$I$12,
            ROUNDUP(Simulador!$I$10/Simulador!$I$11*BN$2,0),
            0
        ),
        IF(ROUNDUP(Simulador!$I$10+(Simulador!$I$12-Simulador!$I$10)/(Simulador!$I$8-Simulador!$I$11)*(BN$2-Simulador!$I$11),0)&lt;=Simulador!$I$12,
            IF(BN$2&lt;=Simulador!$I$8,
                ROUNDUP(Simulador!$I$10+(Simulador!$I$12-Simulador!$I$10)/(Simulador!$I$8-Simulador!$I$11)*(BN$2-Simulador!$I$11),0),
                0
            ),
            0
        )
    )
)</f>
        <v>#DIV/0!</v>
      </c>
      <c r="BO7" s="61" t="e">
        <f>IF(Simulador!$I$10=Simulador!$I$12,
    IF(AND(BO$2&lt;=Simulador!$I$11,ROUNDUP(Simulador!$I$10/Simulador!$I$11*BO$2,0)&lt;=Simulador!$I$12),
        ROUNDUP(Simulador!$I$10/Simulador!$I$11*BO$2,0),
        IF(BO$2&lt;=Simulador!$I$8,Simulador!$I$12,0)
    ),
    IF(BO$2&lt;=Simulador!$I$11,
        IF(ROUNDUP(Simulador!$I$10/Simulador!$I$11*BO$2,0)&lt;=Simulador!$I$12,
            ROUNDUP(Simulador!$I$10/Simulador!$I$11*BO$2,0),
            0
        ),
        IF(ROUNDUP(Simulador!$I$10+(Simulador!$I$12-Simulador!$I$10)/(Simulador!$I$8-Simulador!$I$11)*(BO$2-Simulador!$I$11),0)&lt;=Simulador!$I$12,
            IF(BO$2&lt;=Simulador!$I$8,
                ROUNDUP(Simulador!$I$10+(Simulador!$I$12-Simulador!$I$10)/(Simulador!$I$8-Simulador!$I$11)*(BO$2-Simulador!$I$11),0),
                0
            ),
            0
        )
    )
)</f>
        <v>#DIV/0!</v>
      </c>
      <c r="BP7" s="61" t="e">
        <f>IF(Simulador!$I$10=Simulador!$I$12,
    IF(AND(BP$2&lt;=Simulador!$I$11,ROUNDUP(Simulador!$I$10/Simulador!$I$11*BP$2,0)&lt;=Simulador!$I$12),
        ROUNDUP(Simulador!$I$10/Simulador!$I$11*BP$2,0),
        IF(BP$2&lt;=Simulador!$I$8,Simulador!$I$12,0)
    ),
    IF(BP$2&lt;=Simulador!$I$11,
        IF(ROUNDUP(Simulador!$I$10/Simulador!$I$11*BP$2,0)&lt;=Simulador!$I$12,
            ROUNDUP(Simulador!$I$10/Simulador!$I$11*BP$2,0),
            0
        ),
        IF(ROUNDUP(Simulador!$I$10+(Simulador!$I$12-Simulador!$I$10)/(Simulador!$I$8-Simulador!$I$11)*(BP$2-Simulador!$I$11),0)&lt;=Simulador!$I$12,
            IF(BP$2&lt;=Simulador!$I$8,
                ROUNDUP(Simulador!$I$10+(Simulador!$I$12-Simulador!$I$10)/(Simulador!$I$8-Simulador!$I$11)*(BP$2-Simulador!$I$11),0),
                0
            ),
            0
        )
    )
)</f>
        <v>#DIV/0!</v>
      </c>
      <c r="BQ7" s="61" t="e">
        <f>IF(Simulador!$I$10=Simulador!$I$12,
    IF(AND(BQ$2&lt;=Simulador!$I$11,ROUNDUP(Simulador!$I$10/Simulador!$I$11*BQ$2,0)&lt;=Simulador!$I$12),
        ROUNDUP(Simulador!$I$10/Simulador!$I$11*BQ$2,0),
        IF(BQ$2&lt;=Simulador!$I$8,Simulador!$I$12,0)
    ),
    IF(BQ$2&lt;=Simulador!$I$11,
        IF(ROUNDUP(Simulador!$I$10/Simulador!$I$11*BQ$2,0)&lt;=Simulador!$I$12,
            ROUNDUP(Simulador!$I$10/Simulador!$I$11*BQ$2,0),
            0
        ),
        IF(ROUNDUP(Simulador!$I$10+(Simulador!$I$12-Simulador!$I$10)/(Simulador!$I$8-Simulador!$I$11)*(BQ$2-Simulador!$I$11),0)&lt;=Simulador!$I$12,
            IF(BQ$2&lt;=Simulador!$I$8,
                ROUNDUP(Simulador!$I$10+(Simulador!$I$12-Simulador!$I$10)/(Simulador!$I$8-Simulador!$I$11)*(BQ$2-Simulador!$I$11),0),
                0
            ),
            0
        )
    )
)</f>
        <v>#DIV/0!</v>
      </c>
      <c r="BR7" s="61" t="e">
        <f>IF(Simulador!$I$10=Simulador!$I$12,
    IF(AND(BR$2&lt;=Simulador!$I$11,ROUNDUP(Simulador!$I$10/Simulador!$I$11*BR$2,0)&lt;=Simulador!$I$12),
        ROUNDUP(Simulador!$I$10/Simulador!$I$11*BR$2,0),
        IF(BR$2&lt;=Simulador!$I$8,Simulador!$I$12,0)
    ),
    IF(BR$2&lt;=Simulador!$I$11,
        IF(ROUNDUP(Simulador!$I$10/Simulador!$I$11*BR$2,0)&lt;=Simulador!$I$12,
            ROUNDUP(Simulador!$I$10/Simulador!$I$11*BR$2,0),
            0
        ),
        IF(ROUNDUP(Simulador!$I$10+(Simulador!$I$12-Simulador!$I$10)/(Simulador!$I$8-Simulador!$I$11)*(BR$2-Simulador!$I$11),0)&lt;=Simulador!$I$12,
            IF(BR$2&lt;=Simulador!$I$8,
                ROUNDUP(Simulador!$I$10+(Simulador!$I$12-Simulador!$I$10)/(Simulador!$I$8-Simulador!$I$11)*(BR$2-Simulador!$I$11),0),
                0
            ),
            0
        )
    )
)</f>
        <v>#DIV/0!</v>
      </c>
      <c r="BS7" s="61" t="e">
        <f>IF(Simulador!$I$10=Simulador!$I$12,
    IF(AND(BS$2&lt;=Simulador!$I$11,ROUNDUP(Simulador!$I$10/Simulador!$I$11*BS$2,0)&lt;=Simulador!$I$12),
        ROUNDUP(Simulador!$I$10/Simulador!$I$11*BS$2,0),
        IF(BS$2&lt;=Simulador!$I$8,Simulador!$I$12,0)
    ),
    IF(BS$2&lt;=Simulador!$I$11,
        IF(ROUNDUP(Simulador!$I$10/Simulador!$I$11*BS$2,0)&lt;=Simulador!$I$12,
            ROUNDUP(Simulador!$I$10/Simulador!$I$11*BS$2,0),
            0
        ),
        IF(ROUNDUP(Simulador!$I$10+(Simulador!$I$12-Simulador!$I$10)/(Simulador!$I$8-Simulador!$I$11)*(BS$2-Simulador!$I$11),0)&lt;=Simulador!$I$12,
            IF(BS$2&lt;=Simulador!$I$8,
                ROUNDUP(Simulador!$I$10+(Simulador!$I$12-Simulador!$I$10)/(Simulador!$I$8-Simulador!$I$11)*(BS$2-Simulador!$I$11),0),
                0
            ),
            0
        )
    )
)</f>
        <v>#DIV/0!</v>
      </c>
      <c r="BT7" s="61" t="e">
        <f>IF(Simulador!$I$10=Simulador!$I$12,
    IF(AND(BT$2&lt;=Simulador!$I$11,ROUNDUP(Simulador!$I$10/Simulador!$I$11*BT$2,0)&lt;=Simulador!$I$12),
        ROUNDUP(Simulador!$I$10/Simulador!$I$11*BT$2,0),
        IF(BT$2&lt;=Simulador!$I$8,Simulador!$I$12,0)
    ),
    IF(BT$2&lt;=Simulador!$I$11,
        IF(ROUNDUP(Simulador!$I$10/Simulador!$I$11*BT$2,0)&lt;=Simulador!$I$12,
            ROUNDUP(Simulador!$I$10/Simulador!$I$11*BT$2,0),
            0
        ),
        IF(ROUNDUP(Simulador!$I$10+(Simulador!$I$12-Simulador!$I$10)/(Simulador!$I$8-Simulador!$I$11)*(BT$2-Simulador!$I$11),0)&lt;=Simulador!$I$12,
            IF(BT$2&lt;=Simulador!$I$8,
                ROUNDUP(Simulador!$I$10+(Simulador!$I$12-Simulador!$I$10)/(Simulador!$I$8-Simulador!$I$11)*(BT$2-Simulador!$I$11),0),
                0
            ),
            0
        )
    )
)</f>
        <v>#DIV/0!</v>
      </c>
      <c r="BU7" s="61" t="e">
        <f>IF(Simulador!$I$10=Simulador!$I$12,
    IF(AND(BU$2&lt;=Simulador!$I$11,ROUNDUP(Simulador!$I$10/Simulador!$I$11*BU$2,0)&lt;=Simulador!$I$12),
        ROUNDUP(Simulador!$I$10/Simulador!$I$11*BU$2,0),
        IF(BU$2&lt;=Simulador!$I$8,Simulador!$I$12,0)
    ),
    IF(BU$2&lt;=Simulador!$I$11,
        IF(ROUNDUP(Simulador!$I$10/Simulador!$I$11*BU$2,0)&lt;=Simulador!$I$12,
            ROUNDUP(Simulador!$I$10/Simulador!$I$11*BU$2,0),
            0
        ),
        IF(ROUNDUP(Simulador!$I$10+(Simulador!$I$12-Simulador!$I$10)/(Simulador!$I$8-Simulador!$I$11)*(BU$2-Simulador!$I$11),0)&lt;=Simulador!$I$12,
            IF(BU$2&lt;=Simulador!$I$8,
                ROUNDUP(Simulador!$I$10+(Simulador!$I$12-Simulador!$I$10)/(Simulador!$I$8-Simulador!$I$11)*(BU$2-Simulador!$I$11),0),
                0
            ),
            0
        )
    )
)</f>
        <v>#DIV/0!</v>
      </c>
      <c r="BV7" s="61" t="e">
        <f>IF(Simulador!$I$10=Simulador!$I$12,
    IF(AND(BV$2&lt;=Simulador!$I$11,ROUNDUP(Simulador!$I$10/Simulador!$I$11*BV$2,0)&lt;=Simulador!$I$12),
        ROUNDUP(Simulador!$I$10/Simulador!$I$11*BV$2,0),
        IF(BV$2&lt;=Simulador!$I$8,Simulador!$I$12,0)
    ),
    IF(BV$2&lt;=Simulador!$I$11,
        IF(ROUNDUP(Simulador!$I$10/Simulador!$I$11*BV$2,0)&lt;=Simulador!$I$12,
            ROUNDUP(Simulador!$I$10/Simulador!$I$11*BV$2,0),
            0
        ),
        IF(ROUNDUP(Simulador!$I$10+(Simulador!$I$12-Simulador!$I$10)/(Simulador!$I$8-Simulador!$I$11)*(BV$2-Simulador!$I$11),0)&lt;=Simulador!$I$12,
            IF(BV$2&lt;=Simulador!$I$8,
                ROUNDUP(Simulador!$I$10+(Simulador!$I$12-Simulador!$I$10)/(Simulador!$I$8-Simulador!$I$11)*(BV$2-Simulador!$I$11),0),
                0
            ),
            0
        )
    )
)</f>
        <v>#DIV/0!</v>
      </c>
      <c r="BW7" s="61" t="e">
        <f>IF(Simulador!$I$10=Simulador!$I$12,
    IF(AND(BW$2&lt;=Simulador!$I$11,ROUNDUP(Simulador!$I$10/Simulador!$I$11*BW$2,0)&lt;=Simulador!$I$12),
        ROUNDUP(Simulador!$I$10/Simulador!$I$11*BW$2,0),
        IF(BW$2&lt;=Simulador!$I$8,Simulador!$I$12,0)
    ),
    IF(BW$2&lt;=Simulador!$I$11,
        IF(ROUNDUP(Simulador!$I$10/Simulador!$I$11*BW$2,0)&lt;=Simulador!$I$12,
            ROUNDUP(Simulador!$I$10/Simulador!$I$11*BW$2,0),
            0
        ),
        IF(ROUNDUP(Simulador!$I$10+(Simulador!$I$12-Simulador!$I$10)/(Simulador!$I$8-Simulador!$I$11)*(BW$2-Simulador!$I$11),0)&lt;=Simulador!$I$12,
            IF(BW$2&lt;=Simulador!$I$8,
                ROUNDUP(Simulador!$I$10+(Simulador!$I$12-Simulador!$I$10)/(Simulador!$I$8-Simulador!$I$11)*(BW$2-Simulador!$I$11),0),
                0
            ),
            0
        )
    )
)</f>
        <v>#DIV/0!</v>
      </c>
      <c r="BX7" s="61" t="e">
        <f>IF(Simulador!$I$10=Simulador!$I$12,
    IF(AND(BX$2&lt;=Simulador!$I$11,ROUNDUP(Simulador!$I$10/Simulador!$I$11*BX$2,0)&lt;=Simulador!$I$12),
        ROUNDUP(Simulador!$I$10/Simulador!$I$11*BX$2,0),
        IF(BX$2&lt;=Simulador!$I$8,Simulador!$I$12,0)
    ),
    IF(BX$2&lt;=Simulador!$I$11,
        IF(ROUNDUP(Simulador!$I$10/Simulador!$I$11*BX$2,0)&lt;=Simulador!$I$12,
            ROUNDUP(Simulador!$I$10/Simulador!$I$11*BX$2,0),
            0
        ),
        IF(ROUNDUP(Simulador!$I$10+(Simulador!$I$12-Simulador!$I$10)/(Simulador!$I$8-Simulador!$I$11)*(BX$2-Simulador!$I$11),0)&lt;=Simulador!$I$12,
            IF(BX$2&lt;=Simulador!$I$8,
                ROUNDUP(Simulador!$I$10+(Simulador!$I$12-Simulador!$I$10)/(Simulador!$I$8-Simulador!$I$11)*(BX$2-Simulador!$I$11),0),
                0
            ),
            0
        )
    )
)</f>
        <v>#DIV/0!</v>
      </c>
      <c r="BY7" s="61" t="e">
        <f>IF(Simulador!$I$10=Simulador!$I$12,
    IF(AND(BY$2&lt;=Simulador!$I$11,ROUNDUP(Simulador!$I$10/Simulador!$I$11*BY$2,0)&lt;=Simulador!$I$12),
        ROUNDUP(Simulador!$I$10/Simulador!$I$11*BY$2,0),
        IF(BY$2&lt;=Simulador!$I$8,Simulador!$I$12,0)
    ),
    IF(BY$2&lt;=Simulador!$I$11,
        IF(ROUNDUP(Simulador!$I$10/Simulador!$I$11*BY$2,0)&lt;=Simulador!$I$12,
            ROUNDUP(Simulador!$I$10/Simulador!$I$11*BY$2,0),
            0
        ),
        IF(ROUNDUP(Simulador!$I$10+(Simulador!$I$12-Simulador!$I$10)/(Simulador!$I$8-Simulador!$I$11)*(BY$2-Simulador!$I$11),0)&lt;=Simulador!$I$12,
            IF(BY$2&lt;=Simulador!$I$8,
                ROUNDUP(Simulador!$I$10+(Simulador!$I$12-Simulador!$I$10)/(Simulador!$I$8-Simulador!$I$11)*(BY$2-Simulador!$I$11),0),
                0
            ),
            0
        )
    )
)</f>
        <v>#DIV/0!</v>
      </c>
      <c r="BZ7" s="61" t="e">
        <f>IF(Simulador!$I$10=Simulador!$I$12,
    IF(AND(BZ$2&lt;=Simulador!$I$11,ROUNDUP(Simulador!$I$10/Simulador!$I$11*BZ$2,0)&lt;=Simulador!$I$12),
        ROUNDUP(Simulador!$I$10/Simulador!$I$11*BZ$2,0),
        IF(BZ$2&lt;=Simulador!$I$8,Simulador!$I$12,0)
    ),
    IF(BZ$2&lt;=Simulador!$I$11,
        IF(ROUNDUP(Simulador!$I$10/Simulador!$I$11*BZ$2,0)&lt;=Simulador!$I$12,
            ROUNDUP(Simulador!$I$10/Simulador!$I$11*BZ$2,0),
            0
        ),
        IF(ROUNDUP(Simulador!$I$10+(Simulador!$I$12-Simulador!$I$10)/(Simulador!$I$8-Simulador!$I$11)*(BZ$2-Simulador!$I$11),0)&lt;=Simulador!$I$12,
            IF(BZ$2&lt;=Simulador!$I$8,
                ROUNDUP(Simulador!$I$10+(Simulador!$I$12-Simulador!$I$10)/(Simulador!$I$8-Simulador!$I$11)*(BZ$2-Simulador!$I$11),0),
                0
            ),
            0
        )
    )
)</f>
        <v>#DIV/0!</v>
      </c>
      <c r="CA7" s="61" t="e">
        <f>IF(Simulador!$I$10=Simulador!$I$12,
    IF(AND(CA$2&lt;=Simulador!$I$11,ROUNDUP(Simulador!$I$10/Simulador!$I$11*CA$2,0)&lt;=Simulador!$I$12),
        ROUNDUP(Simulador!$I$10/Simulador!$I$11*CA$2,0),
        IF(CA$2&lt;=Simulador!$I$8,Simulador!$I$12,0)
    ),
    IF(CA$2&lt;=Simulador!$I$11,
        IF(ROUNDUP(Simulador!$I$10/Simulador!$I$11*CA$2,0)&lt;=Simulador!$I$12,
            ROUNDUP(Simulador!$I$10/Simulador!$I$11*CA$2,0),
            0
        ),
        IF(ROUNDUP(Simulador!$I$10+(Simulador!$I$12-Simulador!$I$10)/(Simulador!$I$8-Simulador!$I$11)*(CA$2-Simulador!$I$11),0)&lt;=Simulador!$I$12,
            IF(CA$2&lt;=Simulador!$I$8,
                ROUNDUP(Simulador!$I$10+(Simulador!$I$12-Simulador!$I$10)/(Simulador!$I$8-Simulador!$I$11)*(CA$2-Simulador!$I$11),0),
                0
            ),
            0
        )
    )
)</f>
        <v>#DIV/0!</v>
      </c>
      <c r="CB7" s="61" t="e">
        <f>IF(Simulador!$I$10=Simulador!$I$12,
    IF(AND(CB$2&lt;=Simulador!$I$11,ROUNDUP(Simulador!$I$10/Simulador!$I$11*CB$2,0)&lt;=Simulador!$I$12),
        ROUNDUP(Simulador!$I$10/Simulador!$I$11*CB$2,0),
        IF(CB$2&lt;=Simulador!$I$8,Simulador!$I$12,0)
    ),
    IF(CB$2&lt;=Simulador!$I$11,
        IF(ROUNDUP(Simulador!$I$10/Simulador!$I$11*CB$2,0)&lt;=Simulador!$I$12,
            ROUNDUP(Simulador!$I$10/Simulador!$I$11*CB$2,0),
            0
        ),
        IF(ROUNDUP(Simulador!$I$10+(Simulador!$I$12-Simulador!$I$10)/(Simulador!$I$8-Simulador!$I$11)*(CB$2-Simulador!$I$11),0)&lt;=Simulador!$I$12,
            IF(CB$2&lt;=Simulador!$I$8,
                ROUNDUP(Simulador!$I$10+(Simulador!$I$12-Simulador!$I$10)/(Simulador!$I$8-Simulador!$I$11)*(CB$2-Simulador!$I$11),0),
                0
            ),
            0
        )
    )
)</f>
        <v>#DIV/0!</v>
      </c>
      <c r="CC7" s="61" t="e">
        <f>IF(Simulador!$I$10=Simulador!$I$12,
    IF(AND(CC$2&lt;=Simulador!$I$11,ROUNDUP(Simulador!$I$10/Simulador!$I$11*CC$2,0)&lt;=Simulador!$I$12),
        ROUNDUP(Simulador!$I$10/Simulador!$I$11*CC$2,0),
        IF(CC$2&lt;=Simulador!$I$8,Simulador!$I$12,0)
    ),
    IF(CC$2&lt;=Simulador!$I$11,
        IF(ROUNDUP(Simulador!$I$10/Simulador!$I$11*CC$2,0)&lt;=Simulador!$I$12,
            ROUNDUP(Simulador!$I$10/Simulador!$I$11*CC$2,0),
            0
        ),
        IF(ROUNDUP(Simulador!$I$10+(Simulador!$I$12-Simulador!$I$10)/(Simulador!$I$8-Simulador!$I$11)*(CC$2-Simulador!$I$11),0)&lt;=Simulador!$I$12,
            IF(CC$2&lt;=Simulador!$I$8,
                ROUNDUP(Simulador!$I$10+(Simulador!$I$12-Simulador!$I$10)/(Simulador!$I$8-Simulador!$I$11)*(CC$2-Simulador!$I$11),0),
                0
            ),
            0
        )
    )
)</f>
        <v>#DIV/0!</v>
      </c>
      <c r="CD7" s="61" t="e">
        <f>IF(Simulador!$I$10=Simulador!$I$12,
    IF(AND(CD$2&lt;=Simulador!$I$11,ROUNDUP(Simulador!$I$10/Simulador!$I$11*CD$2,0)&lt;=Simulador!$I$12),
        ROUNDUP(Simulador!$I$10/Simulador!$I$11*CD$2,0),
        IF(CD$2&lt;=Simulador!$I$8,Simulador!$I$12,0)
    ),
    IF(CD$2&lt;=Simulador!$I$11,
        IF(ROUNDUP(Simulador!$I$10/Simulador!$I$11*CD$2,0)&lt;=Simulador!$I$12,
            ROUNDUP(Simulador!$I$10/Simulador!$I$11*CD$2,0),
            0
        ),
        IF(ROUNDUP(Simulador!$I$10+(Simulador!$I$12-Simulador!$I$10)/(Simulador!$I$8-Simulador!$I$11)*(CD$2-Simulador!$I$11),0)&lt;=Simulador!$I$12,
            IF(CD$2&lt;=Simulador!$I$8,
                ROUNDUP(Simulador!$I$10+(Simulador!$I$12-Simulador!$I$10)/(Simulador!$I$8-Simulador!$I$11)*(CD$2-Simulador!$I$11),0),
                0
            ),
            0
        )
    )
)</f>
        <v>#DIV/0!</v>
      </c>
      <c r="CE7" s="61" t="e">
        <f>IF(Simulador!$I$10=Simulador!$I$12,
    IF(AND(CE$2&lt;=Simulador!$I$11,ROUNDUP(Simulador!$I$10/Simulador!$I$11*CE$2,0)&lt;=Simulador!$I$12),
        ROUNDUP(Simulador!$I$10/Simulador!$I$11*CE$2,0),
        IF(CE$2&lt;=Simulador!$I$8,Simulador!$I$12,0)
    ),
    IF(CE$2&lt;=Simulador!$I$11,
        IF(ROUNDUP(Simulador!$I$10/Simulador!$I$11*CE$2,0)&lt;=Simulador!$I$12,
            ROUNDUP(Simulador!$I$10/Simulador!$I$11*CE$2,0),
            0
        ),
        IF(ROUNDUP(Simulador!$I$10+(Simulador!$I$12-Simulador!$I$10)/(Simulador!$I$8-Simulador!$I$11)*(CE$2-Simulador!$I$11),0)&lt;=Simulador!$I$12,
            IF(CE$2&lt;=Simulador!$I$8,
                ROUNDUP(Simulador!$I$10+(Simulador!$I$12-Simulador!$I$10)/(Simulador!$I$8-Simulador!$I$11)*(CE$2-Simulador!$I$11),0),
                0
            ),
            0
        )
    )
)</f>
        <v>#DIV/0!</v>
      </c>
      <c r="CF7" s="61" t="e">
        <f>IF(Simulador!$I$10=Simulador!$I$12,
    IF(AND(CF$2&lt;=Simulador!$I$11,ROUNDUP(Simulador!$I$10/Simulador!$I$11*CF$2,0)&lt;=Simulador!$I$12),
        ROUNDUP(Simulador!$I$10/Simulador!$I$11*CF$2,0),
        IF(CF$2&lt;=Simulador!$I$8,Simulador!$I$12,0)
    ),
    IF(CF$2&lt;=Simulador!$I$11,
        IF(ROUNDUP(Simulador!$I$10/Simulador!$I$11*CF$2,0)&lt;=Simulador!$I$12,
            ROUNDUP(Simulador!$I$10/Simulador!$I$11*CF$2,0),
            0
        ),
        IF(ROUNDUP(Simulador!$I$10+(Simulador!$I$12-Simulador!$I$10)/(Simulador!$I$8-Simulador!$I$11)*(CF$2-Simulador!$I$11),0)&lt;=Simulador!$I$12,
            IF(CF$2&lt;=Simulador!$I$8,
                ROUNDUP(Simulador!$I$10+(Simulador!$I$12-Simulador!$I$10)/(Simulador!$I$8-Simulador!$I$11)*(CF$2-Simulador!$I$11),0),
                0
            ),
            0
        )
    )
)</f>
        <v>#DIV/0!</v>
      </c>
      <c r="CG7" s="61" t="e">
        <f>IF(Simulador!$I$10=Simulador!$I$12,
    IF(AND(CG$2&lt;=Simulador!$I$11,ROUNDUP(Simulador!$I$10/Simulador!$I$11*CG$2,0)&lt;=Simulador!$I$12),
        ROUNDUP(Simulador!$I$10/Simulador!$I$11*CG$2,0),
        IF(CG$2&lt;=Simulador!$I$8,Simulador!$I$12,0)
    ),
    IF(CG$2&lt;=Simulador!$I$11,
        IF(ROUNDUP(Simulador!$I$10/Simulador!$I$11*CG$2,0)&lt;=Simulador!$I$12,
            ROUNDUP(Simulador!$I$10/Simulador!$I$11*CG$2,0),
            0
        ),
        IF(ROUNDUP(Simulador!$I$10+(Simulador!$I$12-Simulador!$I$10)/(Simulador!$I$8-Simulador!$I$11)*(CG$2-Simulador!$I$11),0)&lt;=Simulador!$I$12,
            IF(CG$2&lt;=Simulador!$I$8,
                ROUNDUP(Simulador!$I$10+(Simulador!$I$12-Simulador!$I$10)/(Simulador!$I$8-Simulador!$I$11)*(CG$2-Simulador!$I$11),0),
                0
            ),
            0
        )
    )
)</f>
        <v>#DIV/0!</v>
      </c>
      <c r="CH7" s="61" t="e">
        <f>IF(Simulador!$I$10=Simulador!$I$12,
    IF(AND(CH$2&lt;=Simulador!$I$11,ROUNDUP(Simulador!$I$10/Simulador!$I$11*CH$2,0)&lt;=Simulador!$I$12),
        ROUNDUP(Simulador!$I$10/Simulador!$I$11*CH$2,0),
        IF(CH$2&lt;=Simulador!$I$8,Simulador!$I$12,0)
    ),
    IF(CH$2&lt;=Simulador!$I$11,
        IF(ROUNDUP(Simulador!$I$10/Simulador!$I$11*CH$2,0)&lt;=Simulador!$I$12,
            ROUNDUP(Simulador!$I$10/Simulador!$I$11*CH$2,0),
            0
        ),
        IF(ROUNDUP(Simulador!$I$10+(Simulador!$I$12-Simulador!$I$10)/(Simulador!$I$8-Simulador!$I$11)*(CH$2-Simulador!$I$11),0)&lt;=Simulador!$I$12,
            IF(CH$2&lt;=Simulador!$I$8,
                ROUNDUP(Simulador!$I$10+(Simulador!$I$12-Simulador!$I$10)/(Simulador!$I$8-Simulador!$I$11)*(CH$2-Simulador!$I$11),0),
                0
            ),
            0
        )
    )
)</f>
        <v>#DIV/0!</v>
      </c>
      <c r="CI7" s="61" t="e">
        <f>IF(Simulador!$I$10=Simulador!$I$12,
    IF(AND(CI$2&lt;=Simulador!$I$11,ROUNDUP(Simulador!$I$10/Simulador!$I$11*CI$2,0)&lt;=Simulador!$I$12),
        ROUNDUP(Simulador!$I$10/Simulador!$I$11*CI$2,0),
        IF(CI$2&lt;=Simulador!$I$8,Simulador!$I$12,0)
    ),
    IF(CI$2&lt;=Simulador!$I$11,
        IF(ROUNDUP(Simulador!$I$10/Simulador!$I$11*CI$2,0)&lt;=Simulador!$I$12,
            ROUNDUP(Simulador!$I$10/Simulador!$I$11*CI$2,0),
            0
        ),
        IF(ROUNDUP(Simulador!$I$10+(Simulador!$I$12-Simulador!$I$10)/(Simulador!$I$8-Simulador!$I$11)*(CI$2-Simulador!$I$11),0)&lt;=Simulador!$I$12,
            IF(CI$2&lt;=Simulador!$I$8,
                ROUNDUP(Simulador!$I$10+(Simulador!$I$12-Simulador!$I$10)/(Simulador!$I$8-Simulador!$I$11)*(CI$2-Simulador!$I$11),0),
                0
            ),
            0
        )
    )
)</f>
        <v>#DIV/0!</v>
      </c>
      <c r="CJ7" s="61" t="e">
        <f>IF(Simulador!$I$10=Simulador!$I$12,
    IF(AND(CJ$2&lt;=Simulador!$I$11,ROUNDUP(Simulador!$I$10/Simulador!$I$11*CJ$2,0)&lt;=Simulador!$I$12),
        ROUNDUP(Simulador!$I$10/Simulador!$I$11*CJ$2,0),
        IF(CJ$2&lt;=Simulador!$I$8,Simulador!$I$12,0)
    ),
    IF(CJ$2&lt;=Simulador!$I$11,
        IF(ROUNDUP(Simulador!$I$10/Simulador!$I$11*CJ$2,0)&lt;=Simulador!$I$12,
            ROUNDUP(Simulador!$I$10/Simulador!$I$11*CJ$2,0),
            0
        ),
        IF(ROUNDUP(Simulador!$I$10+(Simulador!$I$12-Simulador!$I$10)/(Simulador!$I$8-Simulador!$I$11)*(CJ$2-Simulador!$I$11),0)&lt;=Simulador!$I$12,
            IF(CJ$2&lt;=Simulador!$I$8,
                ROUNDUP(Simulador!$I$10+(Simulador!$I$12-Simulador!$I$10)/(Simulador!$I$8-Simulador!$I$11)*(CJ$2-Simulador!$I$11),0),
                0
            ),
            0
        )
    )
)</f>
        <v>#DIV/0!</v>
      </c>
      <c r="CK7" s="61" t="e">
        <f>IF(Simulador!$I$10=Simulador!$I$12,
    IF(AND(CK$2&lt;=Simulador!$I$11,ROUNDUP(Simulador!$I$10/Simulador!$I$11*CK$2,0)&lt;=Simulador!$I$12),
        ROUNDUP(Simulador!$I$10/Simulador!$I$11*CK$2,0),
        IF(CK$2&lt;=Simulador!$I$8,Simulador!$I$12,0)
    ),
    IF(CK$2&lt;=Simulador!$I$11,
        IF(ROUNDUP(Simulador!$I$10/Simulador!$I$11*CK$2,0)&lt;=Simulador!$I$12,
            ROUNDUP(Simulador!$I$10/Simulador!$I$11*CK$2,0),
            0
        ),
        IF(ROUNDUP(Simulador!$I$10+(Simulador!$I$12-Simulador!$I$10)/(Simulador!$I$8-Simulador!$I$11)*(CK$2-Simulador!$I$11),0)&lt;=Simulador!$I$12,
            IF(CK$2&lt;=Simulador!$I$8,
                ROUNDUP(Simulador!$I$10+(Simulador!$I$12-Simulador!$I$10)/(Simulador!$I$8-Simulador!$I$11)*(CK$2-Simulador!$I$11),0),
                0
            ),
            0
        )
    )
)</f>
        <v>#DIV/0!</v>
      </c>
      <c r="CL7" s="61" t="e">
        <f>IF(Simulador!$I$10=Simulador!$I$12,
    IF(AND(CL$2&lt;=Simulador!$I$11,ROUNDUP(Simulador!$I$10/Simulador!$I$11*CL$2,0)&lt;=Simulador!$I$12),
        ROUNDUP(Simulador!$I$10/Simulador!$I$11*CL$2,0),
        IF(CL$2&lt;=Simulador!$I$8,Simulador!$I$12,0)
    ),
    IF(CL$2&lt;=Simulador!$I$11,
        IF(ROUNDUP(Simulador!$I$10/Simulador!$I$11*CL$2,0)&lt;=Simulador!$I$12,
            ROUNDUP(Simulador!$I$10/Simulador!$I$11*CL$2,0),
            0
        ),
        IF(ROUNDUP(Simulador!$I$10+(Simulador!$I$12-Simulador!$I$10)/(Simulador!$I$8-Simulador!$I$11)*(CL$2-Simulador!$I$11),0)&lt;=Simulador!$I$12,
            IF(CL$2&lt;=Simulador!$I$8,
                ROUNDUP(Simulador!$I$10+(Simulador!$I$12-Simulador!$I$10)/(Simulador!$I$8-Simulador!$I$11)*(CL$2-Simulador!$I$11),0),
                0
            ),
            0
        )
    )
)</f>
        <v>#DIV/0!</v>
      </c>
      <c r="CM7" s="61" t="e">
        <f>IF(Simulador!$I$10=Simulador!$I$12,
    IF(AND(CM$2&lt;=Simulador!$I$11,ROUNDUP(Simulador!$I$10/Simulador!$I$11*CM$2,0)&lt;=Simulador!$I$12),
        ROUNDUP(Simulador!$I$10/Simulador!$I$11*CM$2,0),
        IF(CM$2&lt;=Simulador!$I$8,Simulador!$I$12,0)
    ),
    IF(CM$2&lt;=Simulador!$I$11,
        IF(ROUNDUP(Simulador!$I$10/Simulador!$I$11*CM$2,0)&lt;=Simulador!$I$12,
            ROUNDUP(Simulador!$I$10/Simulador!$I$11*CM$2,0),
            0
        ),
        IF(ROUNDUP(Simulador!$I$10+(Simulador!$I$12-Simulador!$I$10)/(Simulador!$I$8-Simulador!$I$11)*(CM$2-Simulador!$I$11),0)&lt;=Simulador!$I$12,
            IF(CM$2&lt;=Simulador!$I$8,
                ROUNDUP(Simulador!$I$10+(Simulador!$I$12-Simulador!$I$10)/(Simulador!$I$8-Simulador!$I$11)*(CM$2-Simulador!$I$11),0),
                0
            ),
            0
        )
    )
)</f>
        <v>#DIV/0!</v>
      </c>
      <c r="CN7" s="61" t="e">
        <f>IF(Simulador!$I$10=Simulador!$I$12,
    IF(AND(CN$2&lt;=Simulador!$I$11,ROUNDUP(Simulador!$I$10/Simulador!$I$11*CN$2,0)&lt;=Simulador!$I$12),
        ROUNDUP(Simulador!$I$10/Simulador!$I$11*CN$2,0),
        IF(CN$2&lt;=Simulador!$I$8,Simulador!$I$12,0)
    ),
    IF(CN$2&lt;=Simulador!$I$11,
        IF(ROUNDUP(Simulador!$I$10/Simulador!$I$11*CN$2,0)&lt;=Simulador!$I$12,
            ROUNDUP(Simulador!$I$10/Simulador!$I$11*CN$2,0),
            0
        ),
        IF(ROUNDUP(Simulador!$I$10+(Simulador!$I$12-Simulador!$I$10)/(Simulador!$I$8-Simulador!$I$11)*(CN$2-Simulador!$I$11),0)&lt;=Simulador!$I$12,
            IF(CN$2&lt;=Simulador!$I$8,
                ROUNDUP(Simulador!$I$10+(Simulador!$I$12-Simulador!$I$10)/(Simulador!$I$8-Simulador!$I$11)*(CN$2-Simulador!$I$11),0),
                0
            ),
            0
        )
    )
)</f>
        <v>#DIV/0!</v>
      </c>
      <c r="CO7" s="61" t="e">
        <f>IF(Simulador!$I$10=Simulador!$I$12,
    IF(AND(CO$2&lt;=Simulador!$I$11,ROUNDUP(Simulador!$I$10/Simulador!$I$11*CO$2,0)&lt;=Simulador!$I$12),
        ROUNDUP(Simulador!$I$10/Simulador!$I$11*CO$2,0),
        IF(CO$2&lt;=Simulador!$I$8,Simulador!$I$12,0)
    ),
    IF(CO$2&lt;=Simulador!$I$11,
        IF(ROUNDUP(Simulador!$I$10/Simulador!$I$11*CO$2,0)&lt;=Simulador!$I$12,
            ROUNDUP(Simulador!$I$10/Simulador!$I$11*CO$2,0),
            0
        ),
        IF(ROUNDUP(Simulador!$I$10+(Simulador!$I$12-Simulador!$I$10)/(Simulador!$I$8-Simulador!$I$11)*(CO$2-Simulador!$I$11),0)&lt;=Simulador!$I$12,
            IF(CO$2&lt;=Simulador!$I$8,
                ROUNDUP(Simulador!$I$10+(Simulador!$I$12-Simulador!$I$10)/(Simulador!$I$8-Simulador!$I$11)*(CO$2-Simulador!$I$11),0),
                0
            ),
            0
        )
    )
)</f>
        <v>#DIV/0!</v>
      </c>
      <c r="CP7" s="61" t="e">
        <f>IF(Simulador!$I$10=Simulador!$I$12,
    IF(AND(CP$2&lt;=Simulador!$I$11,ROUNDUP(Simulador!$I$10/Simulador!$I$11*CP$2,0)&lt;=Simulador!$I$12),
        ROUNDUP(Simulador!$I$10/Simulador!$I$11*CP$2,0),
        IF(CP$2&lt;=Simulador!$I$8,Simulador!$I$12,0)
    ),
    IF(CP$2&lt;=Simulador!$I$11,
        IF(ROUNDUP(Simulador!$I$10/Simulador!$I$11*CP$2,0)&lt;=Simulador!$I$12,
            ROUNDUP(Simulador!$I$10/Simulador!$I$11*CP$2,0),
            0
        ),
        IF(ROUNDUP(Simulador!$I$10+(Simulador!$I$12-Simulador!$I$10)/(Simulador!$I$8-Simulador!$I$11)*(CP$2-Simulador!$I$11),0)&lt;=Simulador!$I$12,
            IF(CP$2&lt;=Simulador!$I$8,
                ROUNDUP(Simulador!$I$10+(Simulador!$I$12-Simulador!$I$10)/(Simulador!$I$8-Simulador!$I$11)*(CP$2-Simulador!$I$11),0),
                0
            ),
            0
        )
    )
)</f>
        <v>#DIV/0!</v>
      </c>
      <c r="CQ7" s="61" t="e">
        <f>IF(Simulador!$I$10=Simulador!$I$12,
    IF(AND(CQ$2&lt;=Simulador!$I$11,ROUNDUP(Simulador!$I$10/Simulador!$I$11*CQ$2,0)&lt;=Simulador!$I$12),
        ROUNDUP(Simulador!$I$10/Simulador!$I$11*CQ$2,0),
        IF(CQ$2&lt;=Simulador!$I$8,Simulador!$I$12,0)
    ),
    IF(CQ$2&lt;=Simulador!$I$11,
        IF(ROUNDUP(Simulador!$I$10/Simulador!$I$11*CQ$2,0)&lt;=Simulador!$I$12,
            ROUNDUP(Simulador!$I$10/Simulador!$I$11*CQ$2,0),
            0
        ),
        IF(ROUNDUP(Simulador!$I$10+(Simulador!$I$12-Simulador!$I$10)/(Simulador!$I$8-Simulador!$I$11)*(CQ$2-Simulador!$I$11),0)&lt;=Simulador!$I$12,
            IF(CQ$2&lt;=Simulador!$I$8,
                ROUNDUP(Simulador!$I$10+(Simulador!$I$12-Simulador!$I$10)/(Simulador!$I$8-Simulador!$I$11)*(CQ$2-Simulador!$I$11),0),
                0
            ),
            0
        )
    )
)</f>
        <v>#DIV/0!</v>
      </c>
      <c r="CR7" s="61" t="e">
        <f>IF(Simulador!$I$10=Simulador!$I$12,
    IF(AND(CR$2&lt;=Simulador!$I$11,ROUNDUP(Simulador!$I$10/Simulador!$I$11*CR$2,0)&lt;=Simulador!$I$12),
        ROUNDUP(Simulador!$I$10/Simulador!$I$11*CR$2,0),
        IF(CR$2&lt;=Simulador!$I$8,Simulador!$I$12,0)
    ),
    IF(CR$2&lt;=Simulador!$I$11,
        IF(ROUNDUP(Simulador!$I$10/Simulador!$I$11*CR$2,0)&lt;=Simulador!$I$12,
            ROUNDUP(Simulador!$I$10/Simulador!$I$11*CR$2,0),
            0
        ),
        IF(ROUNDUP(Simulador!$I$10+(Simulador!$I$12-Simulador!$I$10)/(Simulador!$I$8-Simulador!$I$11)*(CR$2-Simulador!$I$11),0)&lt;=Simulador!$I$12,
            IF(CR$2&lt;=Simulador!$I$8,
                ROUNDUP(Simulador!$I$10+(Simulador!$I$12-Simulador!$I$10)/(Simulador!$I$8-Simulador!$I$11)*(CR$2-Simulador!$I$11),0),
                0
            ),
            0
        )
    )
)</f>
        <v>#DIV/0!</v>
      </c>
      <c r="CS7" s="61" t="e">
        <f>IF(Simulador!$I$10=Simulador!$I$12,
    IF(AND(CS$2&lt;=Simulador!$I$11,ROUNDUP(Simulador!$I$10/Simulador!$I$11*CS$2,0)&lt;=Simulador!$I$12),
        ROUNDUP(Simulador!$I$10/Simulador!$I$11*CS$2,0),
        IF(CS$2&lt;=Simulador!$I$8,Simulador!$I$12,0)
    ),
    IF(CS$2&lt;=Simulador!$I$11,
        IF(ROUNDUP(Simulador!$I$10/Simulador!$I$11*CS$2,0)&lt;=Simulador!$I$12,
            ROUNDUP(Simulador!$I$10/Simulador!$I$11*CS$2,0),
            0
        ),
        IF(ROUNDUP(Simulador!$I$10+(Simulador!$I$12-Simulador!$I$10)/(Simulador!$I$8-Simulador!$I$11)*(CS$2-Simulador!$I$11),0)&lt;=Simulador!$I$12,
            IF(CS$2&lt;=Simulador!$I$8,
                ROUNDUP(Simulador!$I$10+(Simulador!$I$12-Simulador!$I$10)/(Simulador!$I$8-Simulador!$I$11)*(CS$2-Simulador!$I$11),0),
                0
            ),
            0
        )
    )
)</f>
        <v>#DIV/0!</v>
      </c>
      <c r="CT7" s="61" t="e">
        <f>IF(Simulador!$I$10=Simulador!$I$12,
    IF(AND(CT$2&lt;=Simulador!$I$11,ROUNDUP(Simulador!$I$10/Simulador!$I$11*CT$2,0)&lt;=Simulador!$I$12),
        ROUNDUP(Simulador!$I$10/Simulador!$I$11*CT$2,0),
        IF(CT$2&lt;=Simulador!$I$8,Simulador!$I$12,0)
    ),
    IF(CT$2&lt;=Simulador!$I$11,
        IF(ROUNDUP(Simulador!$I$10/Simulador!$I$11*CT$2,0)&lt;=Simulador!$I$12,
            ROUNDUP(Simulador!$I$10/Simulador!$I$11*CT$2,0),
            0
        ),
        IF(ROUNDUP(Simulador!$I$10+(Simulador!$I$12-Simulador!$I$10)/(Simulador!$I$8-Simulador!$I$11)*(CT$2-Simulador!$I$11),0)&lt;=Simulador!$I$12,
            IF(CT$2&lt;=Simulador!$I$8,
                ROUNDUP(Simulador!$I$10+(Simulador!$I$12-Simulador!$I$10)/(Simulador!$I$8-Simulador!$I$11)*(CT$2-Simulador!$I$11),0),
                0
            ),
            0
        )
    )
)</f>
        <v>#DIV/0!</v>
      </c>
      <c r="CU7" s="61" t="e">
        <f>IF(Simulador!$I$10=Simulador!$I$12,
    IF(AND(CU$2&lt;=Simulador!$I$11,ROUNDUP(Simulador!$I$10/Simulador!$I$11*CU$2,0)&lt;=Simulador!$I$12),
        ROUNDUP(Simulador!$I$10/Simulador!$I$11*CU$2,0),
        IF(CU$2&lt;=Simulador!$I$8,Simulador!$I$12,0)
    ),
    IF(CU$2&lt;=Simulador!$I$11,
        IF(ROUNDUP(Simulador!$I$10/Simulador!$I$11*CU$2,0)&lt;=Simulador!$I$12,
            ROUNDUP(Simulador!$I$10/Simulador!$I$11*CU$2,0),
            0
        ),
        IF(ROUNDUP(Simulador!$I$10+(Simulador!$I$12-Simulador!$I$10)/(Simulador!$I$8-Simulador!$I$11)*(CU$2-Simulador!$I$11),0)&lt;=Simulador!$I$12,
            IF(CU$2&lt;=Simulador!$I$8,
                ROUNDUP(Simulador!$I$10+(Simulador!$I$12-Simulador!$I$10)/(Simulador!$I$8-Simulador!$I$11)*(CU$2-Simulador!$I$11),0),
                0
            ),
            0
        )
    )
)</f>
        <v>#DIV/0!</v>
      </c>
      <c r="CV7" s="61" t="e">
        <f>IF(Simulador!$I$10=Simulador!$I$12,
    IF(AND(CV$2&lt;=Simulador!$I$11,ROUNDUP(Simulador!$I$10/Simulador!$I$11*CV$2,0)&lt;=Simulador!$I$12),
        ROUNDUP(Simulador!$I$10/Simulador!$I$11*CV$2,0),
        IF(CV$2&lt;=Simulador!$I$8,Simulador!$I$12,0)
    ),
    IF(CV$2&lt;=Simulador!$I$11,
        IF(ROUNDUP(Simulador!$I$10/Simulador!$I$11*CV$2,0)&lt;=Simulador!$I$12,
            ROUNDUP(Simulador!$I$10/Simulador!$I$11*CV$2,0),
            0
        ),
        IF(ROUNDUP(Simulador!$I$10+(Simulador!$I$12-Simulador!$I$10)/(Simulador!$I$8-Simulador!$I$11)*(CV$2-Simulador!$I$11),0)&lt;=Simulador!$I$12,
            IF(CV$2&lt;=Simulador!$I$8,
                ROUNDUP(Simulador!$I$10+(Simulador!$I$12-Simulador!$I$10)/(Simulador!$I$8-Simulador!$I$11)*(CV$2-Simulador!$I$11),0),
                0
            ),
            0
        )
    )
)</f>
        <v>#DIV/0!</v>
      </c>
      <c r="CW7" s="61" t="e">
        <f>IF(Simulador!$I$10=Simulador!$I$12,
    IF(AND(CW$2&lt;=Simulador!$I$11,ROUNDUP(Simulador!$I$10/Simulador!$I$11*CW$2,0)&lt;=Simulador!$I$12),
        ROUNDUP(Simulador!$I$10/Simulador!$I$11*CW$2,0),
        IF(CW$2&lt;=Simulador!$I$8,Simulador!$I$12,0)
    ),
    IF(CW$2&lt;=Simulador!$I$11,
        IF(ROUNDUP(Simulador!$I$10/Simulador!$I$11*CW$2,0)&lt;=Simulador!$I$12,
            ROUNDUP(Simulador!$I$10/Simulador!$I$11*CW$2,0),
            0
        ),
        IF(ROUNDUP(Simulador!$I$10+(Simulador!$I$12-Simulador!$I$10)/(Simulador!$I$8-Simulador!$I$11)*(CW$2-Simulador!$I$11),0)&lt;=Simulador!$I$12,
            IF(CW$2&lt;=Simulador!$I$8,
                ROUNDUP(Simulador!$I$10+(Simulador!$I$12-Simulador!$I$10)/(Simulador!$I$8-Simulador!$I$11)*(CW$2-Simulador!$I$11),0),
                0
            ),
            0
        )
    )
)</f>
        <v>#DIV/0!</v>
      </c>
      <c r="CX7" s="61" t="e">
        <f>IF(Simulador!$I$10=Simulador!$I$12,
    IF(AND(CX$2&lt;=Simulador!$I$11,ROUNDUP(Simulador!$I$10/Simulador!$I$11*CX$2,0)&lt;=Simulador!$I$12),
        ROUNDUP(Simulador!$I$10/Simulador!$I$11*CX$2,0),
        IF(CX$2&lt;=Simulador!$I$8,Simulador!$I$12,0)
    ),
    IF(CX$2&lt;=Simulador!$I$11,
        IF(ROUNDUP(Simulador!$I$10/Simulador!$I$11*CX$2,0)&lt;=Simulador!$I$12,
            ROUNDUP(Simulador!$I$10/Simulador!$I$11*CX$2,0),
            0
        ),
        IF(ROUNDUP(Simulador!$I$10+(Simulador!$I$12-Simulador!$I$10)/(Simulador!$I$8-Simulador!$I$11)*(CX$2-Simulador!$I$11),0)&lt;=Simulador!$I$12,
            IF(CX$2&lt;=Simulador!$I$8,
                ROUNDUP(Simulador!$I$10+(Simulador!$I$12-Simulador!$I$10)/(Simulador!$I$8-Simulador!$I$11)*(CX$2-Simulador!$I$11),0),
                0
            ),
            0
        )
    )
)</f>
        <v>#DIV/0!</v>
      </c>
      <c r="CY7" s="61" t="e">
        <f>IF(Simulador!$I$10=Simulador!$I$12,
    IF(AND(CY$2&lt;=Simulador!$I$11,ROUNDUP(Simulador!$I$10/Simulador!$I$11*CY$2,0)&lt;=Simulador!$I$12),
        ROUNDUP(Simulador!$I$10/Simulador!$I$11*CY$2,0),
        IF(CY$2&lt;=Simulador!$I$8,Simulador!$I$12,0)
    ),
    IF(CY$2&lt;=Simulador!$I$11,
        IF(ROUNDUP(Simulador!$I$10/Simulador!$I$11*CY$2,0)&lt;=Simulador!$I$12,
            ROUNDUP(Simulador!$I$10/Simulador!$I$11*CY$2,0),
            0
        ),
        IF(ROUNDUP(Simulador!$I$10+(Simulador!$I$12-Simulador!$I$10)/(Simulador!$I$8-Simulador!$I$11)*(CY$2-Simulador!$I$11),0)&lt;=Simulador!$I$12,
            IF(CY$2&lt;=Simulador!$I$8,
                ROUNDUP(Simulador!$I$10+(Simulador!$I$12-Simulador!$I$10)/(Simulador!$I$8-Simulador!$I$11)*(CY$2-Simulador!$I$11),0),
                0
            ),
            0
        )
    )
)</f>
        <v>#DIV/0!</v>
      </c>
      <c r="CZ7" s="61" t="e">
        <f>IF(Simulador!$I$10=Simulador!$I$12,
    IF(AND(CZ$2&lt;=Simulador!$I$11,ROUNDUP(Simulador!$I$10/Simulador!$I$11*CZ$2,0)&lt;=Simulador!$I$12),
        ROUNDUP(Simulador!$I$10/Simulador!$I$11*CZ$2,0),
        IF(CZ$2&lt;=Simulador!$I$8,Simulador!$I$12,0)
    ),
    IF(CZ$2&lt;=Simulador!$I$11,
        IF(ROUNDUP(Simulador!$I$10/Simulador!$I$11*CZ$2,0)&lt;=Simulador!$I$12,
            ROUNDUP(Simulador!$I$10/Simulador!$I$11*CZ$2,0),
            0
        ),
        IF(ROUNDUP(Simulador!$I$10+(Simulador!$I$12-Simulador!$I$10)/(Simulador!$I$8-Simulador!$I$11)*(CZ$2-Simulador!$I$11),0)&lt;=Simulador!$I$12,
            IF(CZ$2&lt;=Simulador!$I$8,
                ROUNDUP(Simulador!$I$10+(Simulador!$I$12-Simulador!$I$10)/(Simulador!$I$8-Simulador!$I$11)*(CZ$2-Simulador!$I$11),0),
                0
            ),
            0
        )
    )
)</f>
        <v>#DIV/0!</v>
      </c>
      <c r="DA7" s="61" t="e">
        <f>IF(Simulador!$I$10=Simulador!$I$12,
    IF(AND(DA$2&lt;=Simulador!$I$11,ROUNDUP(Simulador!$I$10/Simulador!$I$11*DA$2,0)&lt;=Simulador!$I$12),
        ROUNDUP(Simulador!$I$10/Simulador!$I$11*DA$2,0),
        IF(DA$2&lt;=Simulador!$I$8,Simulador!$I$12,0)
    ),
    IF(DA$2&lt;=Simulador!$I$11,
        IF(ROUNDUP(Simulador!$I$10/Simulador!$I$11*DA$2,0)&lt;=Simulador!$I$12,
            ROUNDUP(Simulador!$I$10/Simulador!$I$11*DA$2,0),
            0
        ),
        IF(ROUNDUP(Simulador!$I$10+(Simulador!$I$12-Simulador!$I$10)/(Simulador!$I$8-Simulador!$I$11)*(DA$2-Simulador!$I$11),0)&lt;=Simulador!$I$12,
            IF(DA$2&lt;=Simulador!$I$8,
                ROUNDUP(Simulador!$I$10+(Simulador!$I$12-Simulador!$I$10)/(Simulador!$I$8-Simulador!$I$11)*(DA$2-Simulador!$I$11),0),
                0
            ),
            0
        )
    )
)</f>
        <v>#DIV/0!</v>
      </c>
      <c r="DB7" s="61" t="e">
        <f>IF(Simulador!$I$10=Simulador!$I$12,
    IF(AND(DB$2&lt;=Simulador!$I$11,ROUNDUP(Simulador!$I$10/Simulador!$I$11*DB$2,0)&lt;=Simulador!$I$12),
        ROUNDUP(Simulador!$I$10/Simulador!$I$11*DB$2,0),
        IF(DB$2&lt;=Simulador!$I$8,Simulador!$I$12,0)
    ),
    IF(DB$2&lt;=Simulador!$I$11,
        IF(ROUNDUP(Simulador!$I$10/Simulador!$I$11*DB$2,0)&lt;=Simulador!$I$12,
            ROUNDUP(Simulador!$I$10/Simulador!$I$11*DB$2,0),
            0
        ),
        IF(ROUNDUP(Simulador!$I$10+(Simulador!$I$12-Simulador!$I$10)/(Simulador!$I$8-Simulador!$I$11)*(DB$2-Simulador!$I$11),0)&lt;=Simulador!$I$12,
            IF(DB$2&lt;=Simulador!$I$8,
                ROUNDUP(Simulador!$I$10+(Simulador!$I$12-Simulador!$I$10)/(Simulador!$I$8-Simulador!$I$11)*(DB$2-Simulador!$I$11),0),
                0
            ),
            0
        )
    )
)</f>
        <v>#DIV/0!</v>
      </c>
      <c r="DC7" s="61" t="e">
        <f>IF(Simulador!$I$10=Simulador!$I$12,
    IF(AND(DC$2&lt;=Simulador!$I$11,ROUNDUP(Simulador!$I$10/Simulador!$I$11*DC$2,0)&lt;=Simulador!$I$12),
        ROUNDUP(Simulador!$I$10/Simulador!$I$11*DC$2,0),
        IF(DC$2&lt;=Simulador!$I$8,Simulador!$I$12,0)
    ),
    IF(DC$2&lt;=Simulador!$I$11,
        IF(ROUNDUP(Simulador!$I$10/Simulador!$I$11*DC$2,0)&lt;=Simulador!$I$12,
            ROUNDUP(Simulador!$I$10/Simulador!$I$11*DC$2,0),
            0
        ),
        IF(ROUNDUP(Simulador!$I$10+(Simulador!$I$12-Simulador!$I$10)/(Simulador!$I$8-Simulador!$I$11)*(DC$2-Simulador!$I$11),0)&lt;=Simulador!$I$12,
            IF(DC$2&lt;=Simulador!$I$8,
                ROUNDUP(Simulador!$I$10+(Simulador!$I$12-Simulador!$I$10)/(Simulador!$I$8-Simulador!$I$11)*(DC$2-Simulador!$I$11),0),
                0
            ),
            0
        )
    )
)</f>
        <v>#DIV/0!</v>
      </c>
      <c r="DD7" s="61" t="e">
        <f>IF(Simulador!$I$10=Simulador!$I$12,
    IF(AND(DD$2&lt;=Simulador!$I$11,ROUNDUP(Simulador!$I$10/Simulador!$I$11*DD$2,0)&lt;=Simulador!$I$12),
        ROUNDUP(Simulador!$I$10/Simulador!$I$11*DD$2,0),
        IF(DD$2&lt;=Simulador!$I$8,Simulador!$I$12,0)
    ),
    IF(DD$2&lt;=Simulador!$I$11,
        IF(ROUNDUP(Simulador!$I$10/Simulador!$I$11*DD$2,0)&lt;=Simulador!$I$12,
            ROUNDUP(Simulador!$I$10/Simulador!$I$11*DD$2,0),
            0
        ),
        IF(ROUNDUP(Simulador!$I$10+(Simulador!$I$12-Simulador!$I$10)/(Simulador!$I$8-Simulador!$I$11)*(DD$2-Simulador!$I$11),0)&lt;=Simulador!$I$12,
            IF(DD$2&lt;=Simulador!$I$8,
                ROUNDUP(Simulador!$I$10+(Simulador!$I$12-Simulador!$I$10)/(Simulador!$I$8-Simulador!$I$11)*(DD$2-Simulador!$I$11),0),
                0
            ),
            0
        )
    )
)</f>
        <v>#DIV/0!</v>
      </c>
      <c r="DE7" s="61" t="e">
        <f>IF(Simulador!$I$10=Simulador!$I$12,
    IF(AND(DE$2&lt;=Simulador!$I$11,ROUNDUP(Simulador!$I$10/Simulador!$I$11*DE$2,0)&lt;=Simulador!$I$12),
        ROUNDUP(Simulador!$I$10/Simulador!$I$11*DE$2,0),
        IF(DE$2&lt;=Simulador!$I$8,Simulador!$I$12,0)
    ),
    IF(DE$2&lt;=Simulador!$I$11,
        IF(ROUNDUP(Simulador!$I$10/Simulador!$I$11*DE$2,0)&lt;=Simulador!$I$12,
            ROUNDUP(Simulador!$I$10/Simulador!$I$11*DE$2,0),
            0
        ),
        IF(ROUNDUP(Simulador!$I$10+(Simulador!$I$12-Simulador!$I$10)/(Simulador!$I$8-Simulador!$I$11)*(DE$2-Simulador!$I$11),0)&lt;=Simulador!$I$12,
            IF(DE$2&lt;=Simulador!$I$8,
                ROUNDUP(Simulador!$I$10+(Simulador!$I$12-Simulador!$I$10)/(Simulador!$I$8-Simulador!$I$11)*(DE$2-Simulador!$I$11),0),
                0
            ),
            0
        )
    )
)</f>
        <v>#DIV/0!</v>
      </c>
      <c r="DF7" s="61" t="e">
        <f>IF(Simulador!$I$10=Simulador!$I$12,
    IF(AND(DF$2&lt;=Simulador!$I$11,ROUNDUP(Simulador!$I$10/Simulador!$I$11*DF$2,0)&lt;=Simulador!$I$12),
        ROUNDUP(Simulador!$I$10/Simulador!$I$11*DF$2,0),
        IF(DF$2&lt;=Simulador!$I$8,Simulador!$I$12,0)
    ),
    IF(DF$2&lt;=Simulador!$I$11,
        IF(ROUNDUP(Simulador!$I$10/Simulador!$I$11*DF$2,0)&lt;=Simulador!$I$12,
            ROUNDUP(Simulador!$I$10/Simulador!$I$11*DF$2,0),
            0
        ),
        IF(ROUNDUP(Simulador!$I$10+(Simulador!$I$12-Simulador!$I$10)/(Simulador!$I$8-Simulador!$I$11)*(DF$2-Simulador!$I$11),0)&lt;=Simulador!$I$12,
            IF(DF$2&lt;=Simulador!$I$8,
                ROUNDUP(Simulador!$I$10+(Simulador!$I$12-Simulador!$I$10)/(Simulador!$I$8-Simulador!$I$11)*(DF$2-Simulador!$I$11),0),
                0
            ),
            0
        )
    )
)</f>
        <v>#DIV/0!</v>
      </c>
      <c r="DG7" s="61" t="e">
        <f>IF(Simulador!$I$10=Simulador!$I$12,
    IF(AND(DG$2&lt;=Simulador!$I$11,ROUNDUP(Simulador!$I$10/Simulador!$I$11*DG$2,0)&lt;=Simulador!$I$12),
        ROUNDUP(Simulador!$I$10/Simulador!$I$11*DG$2,0),
        IF(DG$2&lt;=Simulador!$I$8,Simulador!$I$12,0)
    ),
    IF(DG$2&lt;=Simulador!$I$11,
        IF(ROUNDUP(Simulador!$I$10/Simulador!$I$11*DG$2,0)&lt;=Simulador!$I$12,
            ROUNDUP(Simulador!$I$10/Simulador!$I$11*DG$2,0),
            0
        ),
        IF(ROUNDUP(Simulador!$I$10+(Simulador!$I$12-Simulador!$I$10)/(Simulador!$I$8-Simulador!$I$11)*(DG$2-Simulador!$I$11),0)&lt;=Simulador!$I$12,
            IF(DG$2&lt;=Simulador!$I$8,
                ROUNDUP(Simulador!$I$10+(Simulador!$I$12-Simulador!$I$10)/(Simulador!$I$8-Simulador!$I$11)*(DG$2-Simulador!$I$11),0),
                0
            ),
            0
        )
    )
)</f>
        <v>#DIV/0!</v>
      </c>
      <c r="DH7" s="61" t="e">
        <f>IF(Simulador!$I$10=Simulador!$I$12,
    IF(AND(DH$2&lt;=Simulador!$I$11,ROUNDUP(Simulador!$I$10/Simulador!$I$11*DH$2,0)&lt;=Simulador!$I$12),
        ROUNDUP(Simulador!$I$10/Simulador!$I$11*DH$2,0),
        IF(DH$2&lt;=Simulador!$I$8,Simulador!$I$12,0)
    ),
    IF(DH$2&lt;=Simulador!$I$11,
        IF(ROUNDUP(Simulador!$I$10/Simulador!$I$11*DH$2,0)&lt;=Simulador!$I$12,
            ROUNDUP(Simulador!$I$10/Simulador!$I$11*DH$2,0),
            0
        ),
        IF(ROUNDUP(Simulador!$I$10+(Simulador!$I$12-Simulador!$I$10)/(Simulador!$I$8-Simulador!$I$11)*(DH$2-Simulador!$I$11),0)&lt;=Simulador!$I$12,
            IF(DH$2&lt;=Simulador!$I$8,
                ROUNDUP(Simulador!$I$10+(Simulador!$I$12-Simulador!$I$10)/(Simulador!$I$8-Simulador!$I$11)*(DH$2-Simulador!$I$11),0),
                0
            ),
            0
        )
    )
)</f>
        <v>#DIV/0!</v>
      </c>
      <c r="DI7" s="61" t="e">
        <f>IF(Simulador!$I$10=Simulador!$I$12,
    IF(AND(DI$2&lt;=Simulador!$I$11,ROUNDUP(Simulador!$I$10/Simulador!$I$11*DI$2,0)&lt;=Simulador!$I$12),
        ROUNDUP(Simulador!$I$10/Simulador!$I$11*DI$2,0),
        IF(DI$2&lt;=Simulador!$I$8,Simulador!$I$12,0)
    ),
    IF(DI$2&lt;=Simulador!$I$11,
        IF(ROUNDUP(Simulador!$I$10/Simulador!$I$11*DI$2,0)&lt;=Simulador!$I$12,
            ROUNDUP(Simulador!$I$10/Simulador!$I$11*DI$2,0),
            0
        ),
        IF(ROUNDUP(Simulador!$I$10+(Simulador!$I$12-Simulador!$I$10)/(Simulador!$I$8-Simulador!$I$11)*(DI$2-Simulador!$I$11),0)&lt;=Simulador!$I$12,
            IF(DI$2&lt;=Simulador!$I$8,
                ROUNDUP(Simulador!$I$10+(Simulador!$I$12-Simulador!$I$10)/(Simulador!$I$8-Simulador!$I$11)*(DI$2-Simulador!$I$11),0),
                0
            ),
            0
        )
    )
)</f>
        <v>#DIV/0!</v>
      </c>
      <c r="DJ7" s="61" t="e">
        <f>IF(Simulador!$I$10=Simulador!$I$12,
    IF(AND(DJ$2&lt;=Simulador!$I$11,ROUNDUP(Simulador!$I$10/Simulador!$I$11*DJ$2,0)&lt;=Simulador!$I$12),
        ROUNDUP(Simulador!$I$10/Simulador!$I$11*DJ$2,0),
        IF(DJ$2&lt;=Simulador!$I$8,Simulador!$I$12,0)
    ),
    IF(DJ$2&lt;=Simulador!$I$11,
        IF(ROUNDUP(Simulador!$I$10/Simulador!$I$11*DJ$2,0)&lt;=Simulador!$I$12,
            ROUNDUP(Simulador!$I$10/Simulador!$I$11*DJ$2,0),
            0
        ),
        IF(ROUNDUP(Simulador!$I$10+(Simulador!$I$12-Simulador!$I$10)/(Simulador!$I$8-Simulador!$I$11)*(DJ$2-Simulador!$I$11),0)&lt;=Simulador!$I$12,
            IF(DJ$2&lt;=Simulador!$I$8,
                ROUNDUP(Simulador!$I$10+(Simulador!$I$12-Simulador!$I$10)/(Simulador!$I$8-Simulador!$I$11)*(DJ$2-Simulador!$I$11),0),
                0
            ),
            0
        )
    )
)</f>
        <v>#DIV/0!</v>
      </c>
      <c r="DK7" s="61" t="e">
        <f>IF(Simulador!$I$10=Simulador!$I$12,
    IF(AND(DK$2&lt;=Simulador!$I$11,ROUNDUP(Simulador!$I$10/Simulador!$I$11*DK$2,0)&lt;=Simulador!$I$12),
        ROUNDUP(Simulador!$I$10/Simulador!$I$11*DK$2,0),
        IF(DK$2&lt;=Simulador!$I$8,Simulador!$I$12,0)
    ),
    IF(DK$2&lt;=Simulador!$I$11,
        IF(ROUNDUP(Simulador!$I$10/Simulador!$I$11*DK$2,0)&lt;=Simulador!$I$12,
            ROUNDUP(Simulador!$I$10/Simulador!$I$11*DK$2,0),
            0
        ),
        IF(ROUNDUP(Simulador!$I$10+(Simulador!$I$12-Simulador!$I$10)/(Simulador!$I$8-Simulador!$I$11)*(DK$2-Simulador!$I$11),0)&lt;=Simulador!$I$12,
            IF(DK$2&lt;=Simulador!$I$8,
                ROUNDUP(Simulador!$I$10+(Simulador!$I$12-Simulador!$I$10)/(Simulador!$I$8-Simulador!$I$11)*(DK$2-Simulador!$I$11),0),
                0
            ),
            0
        )
    )
)</f>
        <v>#DIV/0!</v>
      </c>
      <c r="DL7" s="61" t="e">
        <f>IF(Simulador!$I$10=Simulador!$I$12,
    IF(AND(DL$2&lt;=Simulador!$I$11,ROUNDUP(Simulador!$I$10/Simulador!$I$11*DL$2,0)&lt;=Simulador!$I$12),
        ROUNDUP(Simulador!$I$10/Simulador!$I$11*DL$2,0),
        IF(DL$2&lt;=Simulador!$I$8,Simulador!$I$12,0)
    ),
    IF(DL$2&lt;=Simulador!$I$11,
        IF(ROUNDUP(Simulador!$I$10/Simulador!$I$11*DL$2,0)&lt;=Simulador!$I$12,
            ROUNDUP(Simulador!$I$10/Simulador!$I$11*DL$2,0),
            0
        ),
        IF(ROUNDUP(Simulador!$I$10+(Simulador!$I$12-Simulador!$I$10)/(Simulador!$I$8-Simulador!$I$11)*(DL$2-Simulador!$I$11),0)&lt;=Simulador!$I$12,
            IF(DL$2&lt;=Simulador!$I$8,
                ROUNDUP(Simulador!$I$10+(Simulador!$I$12-Simulador!$I$10)/(Simulador!$I$8-Simulador!$I$11)*(DL$2-Simulador!$I$11),0),
                0
            ),
            0
        )
    )
)</f>
        <v>#DIV/0!</v>
      </c>
      <c r="DM7" s="61" t="e">
        <f>IF(Simulador!$I$10=Simulador!$I$12,
    IF(AND(DM$2&lt;=Simulador!$I$11,ROUNDUP(Simulador!$I$10/Simulador!$I$11*DM$2,0)&lt;=Simulador!$I$12),
        ROUNDUP(Simulador!$I$10/Simulador!$I$11*DM$2,0),
        IF(DM$2&lt;=Simulador!$I$8,Simulador!$I$12,0)
    ),
    IF(DM$2&lt;=Simulador!$I$11,
        IF(ROUNDUP(Simulador!$I$10/Simulador!$I$11*DM$2,0)&lt;=Simulador!$I$12,
            ROUNDUP(Simulador!$I$10/Simulador!$I$11*DM$2,0),
            0
        ),
        IF(ROUNDUP(Simulador!$I$10+(Simulador!$I$12-Simulador!$I$10)/(Simulador!$I$8-Simulador!$I$11)*(DM$2-Simulador!$I$11),0)&lt;=Simulador!$I$12,
            IF(DM$2&lt;=Simulador!$I$8,
                ROUNDUP(Simulador!$I$10+(Simulador!$I$12-Simulador!$I$10)/(Simulador!$I$8-Simulador!$I$11)*(DM$2-Simulador!$I$11),0),
                0
            ),
            0
        )
    )
)</f>
        <v>#DIV/0!</v>
      </c>
      <c r="DN7" s="61" t="e">
        <f>IF(Simulador!$I$10=Simulador!$I$12,
    IF(AND(DN$2&lt;=Simulador!$I$11,ROUNDUP(Simulador!$I$10/Simulador!$I$11*DN$2,0)&lt;=Simulador!$I$12),
        ROUNDUP(Simulador!$I$10/Simulador!$I$11*DN$2,0),
        IF(DN$2&lt;=Simulador!$I$8,Simulador!$I$12,0)
    ),
    IF(DN$2&lt;=Simulador!$I$11,
        IF(ROUNDUP(Simulador!$I$10/Simulador!$I$11*DN$2,0)&lt;=Simulador!$I$12,
            ROUNDUP(Simulador!$I$10/Simulador!$I$11*DN$2,0),
            0
        ),
        IF(ROUNDUP(Simulador!$I$10+(Simulador!$I$12-Simulador!$I$10)/(Simulador!$I$8-Simulador!$I$11)*(DN$2-Simulador!$I$11),0)&lt;=Simulador!$I$12,
            IF(DN$2&lt;=Simulador!$I$8,
                ROUNDUP(Simulador!$I$10+(Simulador!$I$12-Simulador!$I$10)/(Simulador!$I$8-Simulador!$I$11)*(DN$2-Simulador!$I$11),0),
                0
            ),
            0
        )
    )
)</f>
        <v>#DIV/0!</v>
      </c>
      <c r="DO7" s="61" t="e">
        <f>IF(Simulador!$I$10=Simulador!$I$12,
    IF(AND(DO$2&lt;=Simulador!$I$11,ROUNDUP(Simulador!$I$10/Simulador!$I$11*DO$2,0)&lt;=Simulador!$I$12),
        ROUNDUP(Simulador!$I$10/Simulador!$I$11*DO$2,0),
        IF(DO$2&lt;=Simulador!$I$8,Simulador!$I$12,0)
    ),
    IF(DO$2&lt;=Simulador!$I$11,
        IF(ROUNDUP(Simulador!$I$10/Simulador!$I$11*DO$2,0)&lt;=Simulador!$I$12,
            ROUNDUP(Simulador!$I$10/Simulador!$I$11*DO$2,0),
            0
        ),
        IF(ROUNDUP(Simulador!$I$10+(Simulador!$I$12-Simulador!$I$10)/(Simulador!$I$8-Simulador!$I$11)*(DO$2-Simulador!$I$11),0)&lt;=Simulador!$I$12,
            IF(DO$2&lt;=Simulador!$I$8,
                ROUNDUP(Simulador!$I$10+(Simulador!$I$12-Simulador!$I$10)/(Simulador!$I$8-Simulador!$I$11)*(DO$2-Simulador!$I$11),0),
                0
            ),
            0
        )
    )
)</f>
        <v>#DIV/0!</v>
      </c>
      <c r="DP7" s="61" t="e">
        <f>IF(Simulador!$I$10=Simulador!$I$12,
    IF(AND(DP$2&lt;=Simulador!$I$11,ROUNDUP(Simulador!$I$10/Simulador!$I$11*DP$2,0)&lt;=Simulador!$I$12),
        ROUNDUP(Simulador!$I$10/Simulador!$I$11*DP$2,0),
        IF(DP$2&lt;=Simulador!$I$8,Simulador!$I$12,0)
    ),
    IF(DP$2&lt;=Simulador!$I$11,
        IF(ROUNDUP(Simulador!$I$10/Simulador!$I$11*DP$2,0)&lt;=Simulador!$I$12,
            ROUNDUP(Simulador!$I$10/Simulador!$I$11*DP$2,0),
            0
        ),
        IF(ROUNDUP(Simulador!$I$10+(Simulador!$I$12-Simulador!$I$10)/(Simulador!$I$8-Simulador!$I$11)*(DP$2-Simulador!$I$11),0)&lt;=Simulador!$I$12,
            IF(DP$2&lt;=Simulador!$I$8,
                ROUNDUP(Simulador!$I$10+(Simulador!$I$12-Simulador!$I$10)/(Simulador!$I$8-Simulador!$I$11)*(DP$2-Simulador!$I$11),0),
                0
            ),
            0
        )
    )
)</f>
        <v>#DIV/0!</v>
      </c>
      <c r="DQ7" s="61" t="e">
        <f>IF(Simulador!$I$10=Simulador!$I$12,
    IF(AND(DQ$2&lt;=Simulador!$I$11,ROUNDUP(Simulador!$I$10/Simulador!$I$11*DQ$2,0)&lt;=Simulador!$I$12),
        ROUNDUP(Simulador!$I$10/Simulador!$I$11*DQ$2,0),
        IF(DQ$2&lt;=Simulador!$I$8,Simulador!$I$12,0)
    ),
    IF(DQ$2&lt;=Simulador!$I$11,
        IF(ROUNDUP(Simulador!$I$10/Simulador!$I$11*DQ$2,0)&lt;=Simulador!$I$12,
            ROUNDUP(Simulador!$I$10/Simulador!$I$11*DQ$2,0),
            0
        ),
        IF(ROUNDUP(Simulador!$I$10+(Simulador!$I$12-Simulador!$I$10)/(Simulador!$I$8-Simulador!$I$11)*(DQ$2-Simulador!$I$11),0)&lt;=Simulador!$I$12,
            IF(DQ$2&lt;=Simulador!$I$8,
                ROUNDUP(Simulador!$I$10+(Simulador!$I$12-Simulador!$I$10)/(Simulador!$I$8-Simulador!$I$11)*(DQ$2-Simulador!$I$11),0),
                0
            ),
            0
        )
    )
)</f>
        <v>#DIV/0!</v>
      </c>
      <c r="DR7" s="61" t="e">
        <f>IF(Simulador!$I$10=Simulador!$I$12,
    IF(AND(DR$2&lt;=Simulador!$I$11,ROUNDUP(Simulador!$I$10/Simulador!$I$11*DR$2,0)&lt;=Simulador!$I$12),
        ROUNDUP(Simulador!$I$10/Simulador!$I$11*DR$2,0),
        IF(DR$2&lt;=Simulador!$I$8,Simulador!$I$12,0)
    ),
    IF(DR$2&lt;=Simulador!$I$11,
        IF(ROUNDUP(Simulador!$I$10/Simulador!$I$11*DR$2,0)&lt;=Simulador!$I$12,
            ROUNDUP(Simulador!$I$10/Simulador!$I$11*DR$2,0),
            0
        ),
        IF(ROUNDUP(Simulador!$I$10+(Simulador!$I$12-Simulador!$I$10)/(Simulador!$I$8-Simulador!$I$11)*(DR$2-Simulador!$I$11),0)&lt;=Simulador!$I$12,
            IF(DR$2&lt;=Simulador!$I$8,
                ROUNDUP(Simulador!$I$10+(Simulador!$I$12-Simulador!$I$10)/(Simulador!$I$8-Simulador!$I$11)*(DR$2-Simulador!$I$11),0),
                0
            ),
            0
        )
    )
)</f>
        <v>#DIV/0!</v>
      </c>
      <c r="DS7" s="61" t="e">
        <f>IF(Simulador!$I$10=Simulador!$I$12,
    IF(AND(DS$2&lt;=Simulador!$I$11,ROUNDUP(Simulador!$I$10/Simulador!$I$11*DS$2,0)&lt;=Simulador!$I$12),
        ROUNDUP(Simulador!$I$10/Simulador!$I$11*DS$2,0),
        IF(DS$2&lt;=Simulador!$I$8,Simulador!$I$12,0)
    ),
    IF(DS$2&lt;=Simulador!$I$11,
        IF(ROUNDUP(Simulador!$I$10/Simulador!$I$11*DS$2,0)&lt;=Simulador!$I$12,
            ROUNDUP(Simulador!$I$10/Simulador!$I$11*DS$2,0),
            0
        ),
        IF(ROUNDUP(Simulador!$I$10+(Simulador!$I$12-Simulador!$I$10)/(Simulador!$I$8-Simulador!$I$11)*(DS$2-Simulador!$I$11),0)&lt;=Simulador!$I$12,
            IF(DS$2&lt;=Simulador!$I$8,
                ROUNDUP(Simulador!$I$10+(Simulador!$I$12-Simulador!$I$10)/(Simulador!$I$8-Simulador!$I$11)*(DS$2-Simulador!$I$11),0),
                0
            ),
            0
        )
    )
)</f>
        <v>#DIV/0!</v>
      </c>
      <c r="DT7" s="61" t="e">
        <f>IF(Simulador!$I$10=Simulador!$I$12,
    IF(AND(DT$2&lt;=Simulador!$I$11,ROUNDUP(Simulador!$I$10/Simulador!$I$11*DT$2,0)&lt;=Simulador!$I$12),
        ROUNDUP(Simulador!$I$10/Simulador!$I$11*DT$2,0),
        IF(DT$2&lt;=Simulador!$I$8,Simulador!$I$12,0)
    ),
    IF(DT$2&lt;=Simulador!$I$11,
        IF(ROUNDUP(Simulador!$I$10/Simulador!$I$11*DT$2,0)&lt;=Simulador!$I$12,
            ROUNDUP(Simulador!$I$10/Simulador!$I$11*DT$2,0),
            0
        ),
        IF(ROUNDUP(Simulador!$I$10+(Simulador!$I$12-Simulador!$I$10)/(Simulador!$I$8-Simulador!$I$11)*(DT$2-Simulador!$I$11),0)&lt;=Simulador!$I$12,
            IF(DT$2&lt;=Simulador!$I$8,
                ROUNDUP(Simulador!$I$10+(Simulador!$I$12-Simulador!$I$10)/(Simulador!$I$8-Simulador!$I$11)*(DT$2-Simulador!$I$11),0),
                0
            ),
            0
        )
    )
)</f>
        <v>#DIV/0!</v>
      </c>
      <c r="DU7" s="61" t="e">
        <f>IF(Simulador!$I$10=Simulador!$I$12,
    IF(AND(DU$2&lt;=Simulador!$I$11,ROUNDUP(Simulador!$I$10/Simulador!$I$11*DU$2,0)&lt;=Simulador!$I$12),
        ROUNDUP(Simulador!$I$10/Simulador!$I$11*DU$2,0),
        IF(DU$2&lt;=Simulador!$I$8,Simulador!$I$12,0)
    ),
    IF(DU$2&lt;=Simulador!$I$11,
        IF(ROUNDUP(Simulador!$I$10/Simulador!$I$11*DU$2,0)&lt;=Simulador!$I$12,
            ROUNDUP(Simulador!$I$10/Simulador!$I$11*DU$2,0),
            0
        ),
        IF(ROUNDUP(Simulador!$I$10+(Simulador!$I$12-Simulador!$I$10)/(Simulador!$I$8-Simulador!$I$11)*(DU$2-Simulador!$I$11),0)&lt;=Simulador!$I$12,
            IF(DU$2&lt;=Simulador!$I$8,
                ROUNDUP(Simulador!$I$10+(Simulador!$I$12-Simulador!$I$10)/(Simulador!$I$8-Simulador!$I$11)*(DU$2-Simulador!$I$11),0),
                0
            ),
            0
        )
    )
)</f>
        <v>#DIV/0!</v>
      </c>
      <c r="DV7" s="61" t="e">
        <f>IF(Simulador!$I$10=Simulador!$I$12,
    IF(AND(DV$2&lt;=Simulador!$I$11,ROUNDUP(Simulador!$I$10/Simulador!$I$11*DV$2,0)&lt;=Simulador!$I$12),
        ROUNDUP(Simulador!$I$10/Simulador!$I$11*DV$2,0),
        IF(DV$2&lt;=Simulador!$I$8,Simulador!$I$12,0)
    ),
    IF(DV$2&lt;=Simulador!$I$11,
        IF(ROUNDUP(Simulador!$I$10/Simulador!$I$11*DV$2,0)&lt;=Simulador!$I$12,
            ROUNDUP(Simulador!$I$10/Simulador!$I$11*DV$2,0),
            0
        ),
        IF(ROUNDUP(Simulador!$I$10+(Simulador!$I$12-Simulador!$I$10)/(Simulador!$I$8-Simulador!$I$11)*(DV$2-Simulador!$I$11),0)&lt;=Simulador!$I$12,
            IF(DV$2&lt;=Simulador!$I$8,
                ROUNDUP(Simulador!$I$10+(Simulador!$I$12-Simulador!$I$10)/(Simulador!$I$8-Simulador!$I$11)*(DV$2-Simulador!$I$11),0),
                0
            ),
            0
        )
    )
)</f>
        <v>#DIV/0!</v>
      </c>
      <c r="DW7" s="61" t="e">
        <f>IF(Simulador!$I$10=Simulador!$I$12,
    IF(AND(DW$2&lt;=Simulador!$I$11,ROUNDUP(Simulador!$I$10/Simulador!$I$11*DW$2,0)&lt;=Simulador!$I$12),
        ROUNDUP(Simulador!$I$10/Simulador!$I$11*DW$2,0),
        IF(DW$2&lt;=Simulador!$I$8,Simulador!$I$12,0)
    ),
    IF(DW$2&lt;=Simulador!$I$11,
        IF(ROUNDUP(Simulador!$I$10/Simulador!$I$11*DW$2,0)&lt;=Simulador!$I$12,
            ROUNDUP(Simulador!$I$10/Simulador!$I$11*DW$2,0),
            0
        ),
        IF(ROUNDUP(Simulador!$I$10+(Simulador!$I$12-Simulador!$I$10)/(Simulador!$I$8-Simulador!$I$11)*(DW$2-Simulador!$I$11),0)&lt;=Simulador!$I$12,
            IF(DW$2&lt;=Simulador!$I$8,
                ROUNDUP(Simulador!$I$10+(Simulador!$I$12-Simulador!$I$10)/(Simulador!$I$8-Simulador!$I$11)*(DW$2-Simulador!$I$11),0),
                0
            ),
            0
        )
    )
)</f>
        <v>#DIV/0!</v>
      </c>
      <c r="DX7" s="61" t="e">
        <f>IF(Simulador!$I$10=Simulador!$I$12,
    IF(AND(DX$2&lt;=Simulador!$I$11,ROUNDUP(Simulador!$I$10/Simulador!$I$11*DX$2,0)&lt;=Simulador!$I$12),
        ROUNDUP(Simulador!$I$10/Simulador!$I$11*DX$2,0),
        IF(DX$2&lt;=Simulador!$I$8,Simulador!$I$12,0)
    ),
    IF(DX$2&lt;=Simulador!$I$11,
        IF(ROUNDUP(Simulador!$I$10/Simulador!$I$11*DX$2,0)&lt;=Simulador!$I$12,
            ROUNDUP(Simulador!$I$10/Simulador!$I$11*DX$2,0),
            0
        ),
        IF(ROUNDUP(Simulador!$I$10+(Simulador!$I$12-Simulador!$I$10)/(Simulador!$I$8-Simulador!$I$11)*(DX$2-Simulador!$I$11),0)&lt;=Simulador!$I$12,
            IF(DX$2&lt;=Simulador!$I$8,
                ROUNDUP(Simulador!$I$10+(Simulador!$I$12-Simulador!$I$10)/(Simulador!$I$8-Simulador!$I$11)*(DX$2-Simulador!$I$11),0),
                0
            ),
            0
        )
    )
)</f>
        <v>#DIV/0!</v>
      </c>
      <c r="DY7" s="61" t="e">
        <f>IF(Simulador!$I$10=Simulador!$I$12,
    IF(AND(DY$2&lt;=Simulador!$I$11,ROUNDUP(Simulador!$I$10/Simulador!$I$11*DY$2,0)&lt;=Simulador!$I$12),
        ROUNDUP(Simulador!$I$10/Simulador!$I$11*DY$2,0),
        IF(DY$2&lt;=Simulador!$I$8,Simulador!$I$12,0)
    ),
    IF(DY$2&lt;=Simulador!$I$11,
        IF(ROUNDUP(Simulador!$I$10/Simulador!$I$11*DY$2,0)&lt;=Simulador!$I$12,
            ROUNDUP(Simulador!$I$10/Simulador!$I$11*DY$2,0),
            0
        ),
        IF(ROUNDUP(Simulador!$I$10+(Simulador!$I$12-Simulador!$I$10)/(Simulador!$I$8-Simulador!$I$11)*(DY$2-Simulador!$I$11),0)&lt;=Simulador!$I$12,
            IF(DY$2&lt;=Simulador!$I$8,
                ROUNDUP(Simulador!$I$10+(Simulador!$I$12-Simulador!$I$10)/(Simulador!$I$8-Simulador!$I$11)*(DY$2-Simulador!$I$11),0),
                0
            ),
            0
        )
    )
)</f>
        <v>#DIV/0!</v>
      </c>
      <c r="DZ7" s="61" t="e">
        <f>IF(Simulador!$I$10=Simulador!$I$12,
    IF(AND(DZ$2&lt;=Simulador!$I$11,ROUNDUP(Simulador!$I$10/Simulador!$I$11*DZ$2,0)&lt;=Simulador!$I$12),
        ROUNDUP(Simulador!$I$10/Simulador!$I$11*DZ$2,0),
        IF(DZ$2&lt;=Simulador!$I$8,Simulador!$I$12,0)
    ),
    IF(DZ$2&lt;=Simulador!$I$11,
        IF(ROUNDUP(Simulador!$I$10/Simulador!$I$11*DZ$2,0)&lt;=Simulador!$I$12,
            ROUNDUP(Simulador!$I$10/Simulador!$I$11*DZ$2,0),
            0
        ),
        IF(ROUNDUP(Simulador!$I$10+(Simulador!$I$12-Simulador!$I$10)/(Simulador!$I$8-Simulador!$I$11)*(DZ$2-Simulador!$I$11),0)&lt;=Simulador!$I$12,
            IF(DZ$2&lt;=Simulador!$I$8,
                ROUNDUP(Simulador!$I$10+(Simulador!$I$12-Simulador!$I$10)/(Simulador!$I$8-Simulador!$I$11)*(DZ$2-Simulador!$I$11),0),
                0
            ),
            0
        )
    )
)</f>
        <v>#DIV/0!</v>
      </c>
      <c r="EA7" s="61" t="e">
        <f>IF(Simulador!$I$10=Simulador!$I$12,
    IF(AND(EA$2&lt;=Simulador!$I$11,ROUNDUP(Simulador!$I$10/Simulador!$I$11*EA$2,0)&lt;=Simulador!$I$12),
        ROUNDUP(Simulador!$I$10/Simulador!$I$11*EA$2,0),
        IF(EA$2&lt;=Simulador!$I$8,Simulador!$I$12,0)
    ),
    IF(EA$2&lt;=Simulador!$I$11,
        IF(ROUNDUP(Simulador!$I$10/Simulador!$I$11*EA$2,0)&lt;=Simulador!$I$12,
            ROUNDUP(Simulador!$I$10/Simulador!$I$11*EA$2,0),
            0
        ),
        IF(ROUNDUP(Simulador!$I$10+(Simulador!$I$12-Simulador!$I$10)/(Simulador!$I$8-Simulador!$I$11)*(EA$2-Simulador!$I$11),0)&lt;=Simulador!$I$12,
            IF(EA$2&lt;=Simulador!$I$8,
                ROUNDUP(Simulador!$I$10+(Simulador!$I$12-Simulador!$I$10)/(Simulador!$I$8-Simulador!$I$11)*(EA$2-Simulador!$I$11),0),
                0
            ),
            0
        )
    )
)</f>
        <v>#DIV/0!</v>
      </c>
      <c r="EB7" s="61" t="e">
        <f>IF(Simulador!$I$10=Simulador!$I$12,
    IF(AND(EB$2&lt;=Simulador!$I$11,ROUNDUP(Simulador!$I$10/Simulador!$I$11*EB$2,0)&lt;=Simulador!$I$12),
        ROUNDUP(Simulador!$I$10/Simulador!$I$11*EB$2,0),
        IF(EB$2&lt;=Simulador!$I$8,Simulador!$I$12,0)
    ),
    IF(EB$2&lt;=Simulador!$I$11,
        IF(ROUNDUP(Simulador!$I$10/Simulador!$I$11*EB$2,0)&lt;=Simulador!$I$12,
            ROUNDUP(Simulador!$I$10/Simulador!$I$11*EB$2,0),
            0
        ),
        IF(ROUNDUP(Simulador!$I$10+(Simulador!$I$12-Simulador!$I$10)/(Simulador!$I$8-Simulador!$I$11)*(EB$2-Simulador!$I$11),0)&lt;=Simulador!$I$12,
            IF(EB$2&lt;=Simulador!$I$8,
                ROUNDUP(Simulador!$I$10+(Simulador!$I$12-Simulador!$I$10)/(Simulador!$I$8-Simulador!$I$11)*(EB$2-Simulador!$I$11),0),
                0
            ),
            0
        )
    )
)</f>
        <v>#DIV/0!</v>
      </c>
      <c r="EC7" s="61" t="e">
        <f>IF(Simulador!$I$10=Simulador!$I$12,
    IF(AND(EC$2&lt;=Simulador!$I$11,ROUNDUP(Simulador!$I$10/Simulador!$I$11*EC$2,0)&lt;=Simulador!$I$12),
        ROUNDUP(Simulador!$I$10/Simulador!$I$11*EC$2,0),
        IF(EC$2&lt;=Simulador!$I$8,Simulador!$I$12,0)
    ),
    IF(EC$2&lt;=Simulador!$I$11,
        IF(ROUNDUP(Simulador!$I$10/Simulador!$I$11*EC$2,0)&lt;=Simulador!$I$12,
            ROUNDUP(Simulador!$I$10/Simulador!$I$11*EC$2,0),
            0
        ),
        IF(ROUNDUP(Simulador!$I$10+(Simulador!$I$12-Simulador!$I$10)/(Simulador!$I$8-Simulador!$I$11)*(EC$2-Simulador!$I$11),0)&lt;=Simulador!$I$12,
            IF(EC$2&lt;=Simulador!$I$8,
                ROUNDUP(Simulador!$I$10+(Simulador!$I$12-Simulador!$I$10)/(Simulador!$I$8-Simulador!$I$11)*(EC$2-Simulador!$I$11),0),
                0
            ),
            0
        )
    )
)</f>
        <v>#DIV/0!</v>
      </c>
      <c r="ED7" s="61" t="e">
        <f>IF(Simulador!$I$10=Simulador!$I$12,
    IF(AND(ED$2&lt;=Simulador!$I$11,ROUNDUP(Simulador!$I$10/Simulador!$I$11*ED$2,0)&lt;=Simulador!$I$12),
        ROUNDUP(Simulador!$I$10/Simulador!$I$11*ED$2,0),
        IF(ED$2&lt;=Simulador!$I$8,Simulador!$I$12,0)
    ),
    IF(ED$2&lt;=Simulador!$I$11,
        IF(ROUNDUP(Simulador!$I$10/Simulador!$I$11*ED$2,0)&lt;=Simulador!$I$12,
            ROUNDUP(Simulador!$I$10/Simulador!$I$11*ED$2,0),
            0
        ),
        IF(ROUNDUP(Simulador!$I$10+(Simulador!$I$12-Simulador!$I$10)/(Simulador!$I$8-Simulador!$I$11)*(ED$2-Simulador!$I$11),0)&lt;=Simulador!$I$12,
            IF(ED$2&lt;=Simulador!$I$8,
                ROUNDUP(Simulador!$I$10+(Simulador!$I$12-Simulador!$I$10)/(Simulador!$I$8-Simulador!$I$11)*(ED$2-Simulador!$I$11),0),
                0
            ),
            0
        )
    )
)</f>
        <v>#DIV/0!</v>
      </c>
    </row>
    <row r="8" spans="2:135" ht="13" x14ac:dyDescent="0.3">
      <c r="B8" s="38"/>
      <c r="C8" s="53"/>
      <c r="D8" s="38"/>
      <c r="E8" s="38"/>
      <c r="F8" s="38"/>
      <c r="G8" s="38"/>
      <c r="H8" s="38"/>
      <c r="I8" s="38"/>
      <c r="J8" s="38"/>
      <c r="K8" s="38"/>
      <c r="L8" s="38"/>
      <c r="M8" s="38"/>
      <c r="N8" s="53"/>
    </row>
    <row r="9" spans="2:135" ht="13" x14ac:dyDescent="0.3">
      <c r="B9" s="38" t="s">
        <v>28</v>
      </c>
      <c r="D9" s="38" t="e">
        <f>IF(AND(SUMIFS($O9:$BV9,$O$3:$BV$3,D$4)=0,D$11&lt;&gt;0),MAX(O9:BV9),SUMIFS($O9:$BV9,$O$3:$BV$3,D$4))</f>
        <v>#DIV/0!</v>
      </c>
      <c r="E9" s="38" t="e">
        <f t="shared" ref="E9:H9" si="4">IF(AND(SUMIFS($O9:$BV9,$O$3:$BV$3,E$4)=0,E$11&lt;&gt;0),MAX(P9:EE9),SUMIFS($O9:$BV9,$O$3:$BV$3,E$4))</f>
        <v>#DIV/0!</v>
      </c>
      <c r="F9" s="38" t="e">
        <f t="shared" si="4"/>
        <v>#DIV/0!</v>
      </c>
      <c r="G9" s="38" t="e">
        <f t="shared" si="4"/>
        <v>#DIV/0!</v>
      </c>
      <c r="H9" s="38" t="e">
        <f t="shared" si="4"/>
        <v>#DIV/0!</v>
      </c>
      <c r="I9" s="38" t="e">
        <f t="shared" ref="I9:M9" si="5">IF(AND(SUMIFS($O9:$ED9,$O$3:$ED$3,I$4)=0,I$11&lt;&gt;0),MAX(T9:EI9),SUMIFS($O9:$ED9,$O$3:$ED$3,I$4))</f>
        <v>#DIV/0!</v>
      </c>
      <c r="J9" s="38" t="e">
        <f t="shared" si="5"/>
        <v>#DIV/0!</v>
      </c>
      <c r="K9" s="38" t="e">
        <f t="shared" si="5"/>
        <v>#DIV/0!</v>
      </c>
      <c r="L9" s="38" t="e">
        <f t="shared" si="5"/>
        <v>#DIV/0!</v>
      </c>
      <c r="M9" s="38" t="e">
        <f t="shared" si="5"/>
        <v>#DIV/0!</v>
      </c>
      <c r="O9" s="46" t="e">
        <f>O7*Simulador!$I$22</f>
        <v>#DIV/0!</v>
      </c>
      <c r="P9" s="46" t="e">
        <f>P7*Simulador!$I$22</f>
        <v>#DIV/0!</v>
      </c>
      <c r="Q9" s="46" t="e">
        <f>Q7*Simulador!$I$22</f>
        <v>#DIV/0!</v>
      </c>
      <c r="R9" s="46" t="e">
        <f>R7*Simulador!$I$22</f>
        <v>#DIV/0!</v>
      </c>
      <c r="S9" s="46" t="e">
        <f>S7*Simulador!$I$22</f>
        <v>#DIV/0!</v>
      </c>
      <c r="T9" s="46" t="e">
        <f>T7*Simulador!$I$22</f>
        <v>#DIV/0!</v>
      </c>
      <c r="U9" s="46" t="e">
        <f>U7*Simulador!$I$22</f>
        <v>#DIV/0!</v>
      </c>
      <c r="V9" s="46" t="e">
        <f>V7*Simulador!$I$22</f>
        <v>#DIV/0!</v>
      </c>
      <c r="W9" s="46" t="e">
        <f>W7*Simulador!$I$22</f>
        <v>#DIV/0!</v>
      </c>
      <c r="X9" s="46" t="e">
        <f>X7*Simulador!$I$22</f>
        <v>#DIV/0!</v>
      </c>
      <c r="Y9" s="46" t="e">
        <f>Y7*Simulador!$I$22</f>
        <v>#DIV/0!</v>
      </c>
      <c r="Z9" s="46" t="e">
        <f>Z7*Simulador!$I$22</f>
        <v>#DIV/0!</v>
      </c>
      <c r="AA9" s="46" t="e">
        <f>AA7*Simulador!$I$22</f>
        <v>#DIV/0!</v>
      </c>
      <c r="AB9" s="46" t="e">
        <f>AB7*Simulador!$I$22</f>
        <v>#DIV/0!</v>
      </c>
      <c r="AC9" s="46" t="e">
        <f>AC7*Simulador!$I$22</f>
        <v>#DIV/0!</v>
      </c>
      <c r="AD9" s="46" t="e">
        <f>AD7*Simulador!$I$22</f>
        <v>#DIV/0!</v>
      </c>
      <c r="AE9" s="46" t="e">
        <f>AE7*Simulador!$I$22</f>
        <v>#DIV/0!</v>
      </c>
      <c r="AF9" s="46" t="e">
        <f>AF7*Simulador!$I$22</f>
        <v>#DIV/0!</v>
      </c>
      <c r="AG9" s="46" t="e">
        <f>AG7*Simulador!$I$22</f>
        <v>#DIV/0!</v>
      </c>
      <c r="AH9" s="46" t="e">
        <f>AH7*Simulador!$I$22</f>
        <v>#DIV/0!</v>
      </c>
      <c r="AI9" s="46" t="e">
        <f>AI7*Simulador!$I$22</f>
        <v>#DIV/0!</v>
      </c>
      <c r="AJ9" s="46" t="e">
        <f>AJ7*Simulador!$I$22</f>
        <v>#DIV/0!</v>
      </c>
      <c r="AK9" s="46" t="e">
        <f>AK7*Simulador!$I$22</f>
        <v>#DIV/0!</v>
      </c>
      <c r="AL9" s="46" t="e">
        <f>AL7*Simulador!$I$22</f>
        <v>#DIV/0!</v>
      </c>
      <c r="AM9" s="46" t="e">
        <f>AM7*Simulador!$I$22</f>
        <v>#DIV/0!</v>
      </c>
      <c r="AN9" s="46" t="e">
        <f>AN7*Simulador!$I$22</f>
        <v>#DIV/0!</v>
      </c>
      <c r="AO9" s="46" t="e">
        <f>AO7*Simulador!$I$22</f>
        <v>#DIV/0!</v>
      </c>
      <c r="AP9" s="46" t="e">
        <f>AP7*Simulador!$I$22</f>
        <v>#DIV/0!</v>
      </c>
      <c r="AQ9" s="46" t="e">
        <f>AQ7*Simulador!$I$22</f>
        <v>#DIV/0!</v>
      </c>
      <c r="AR9" s="46" t="e">
        <f>AR7*Simulador!$I$22</f>
        <v>#DIV/0!</v>
      </c>
      <c r="AS9" s="46" t="e">
        <f>AS7*Simulador!$I$22</f>
        <v>#DIV/0!</v>
      </c>
      <c r="AT9" s="46" t="e">
        <f>AT7*Simulador!$I$22</f>
        <v>#DIV/0!</v>
      </c>
      <c r="AU9" s="46" t="e">
        <f>AU7*Simulador!$I$22</f>
        <v>#DIV/0!</v>
      </c>
      <c r="AV9" s="46" t="e">
        <f>AV7*Simulador!$I$22</f>
        <v>#DIV/0!</v>
      </c>
      <c r="AW9" s="46" t="e">
        <f>AW7*Simulador!$I$22</f>
        <v>#DIV/0!</v>
      </c>
      <c r="AX9" s="46" t="e">
        <f>AX7*Simulador!$I$22</f>
        <v>#DIV/0!</v>
      </c>
      <c r="AY9" s="46" t="e">
        <f>AY7*Simulador!$I$22</f>
        <v>#DIV/0!</v>
      </c>
      <c r="AZ9" s="46" t="e">
        <f>AZ7*Simulador!$I$22</f>
        <v>#DIV/0!</v>
      </c>
      <c r="BA9" s="46" t="e">
        <f>BA7*Simulador!$I$22</f>
        <v>#DIV/0!</v>
      </c>
      <c r="BB9" s="46" t="e">
        <f>BB7*Simulador!$I$22</f>
        <v>#DIV/0!</v>
      </c>
      <c r="BC9" s="46" t="e">
        <f>BC7*Simulador!$I$22</f>
        <v>#DIV/0!</v>
      </c>
      <c r="BD9" s="46" t="e">
        <f>BD7*Simulador!$I$22</f>
        <v>#DIV/0!</v>
      </c>
      <c r="BE9" s="46" t="e">
        <f>BE7*Simulador!$I$22</f>
        <v>#DIV/0!</v>
      </c>
      <c r="BF9" s="46" t="e">
        <f>BF7*Simulador!$I$22</f>
        <v>#DIV/0!</v>
      </c>
      <c r="BG9" s="46" t="e">
        <f>BG7*Simulador!$I$22</f>
        <v>#DIV/0!</v>
      </c>
      <c r="BH9" s="46" t="e">
        <f>BH7*Simulador!$I$22</f>
        <v>#DIV/0!</v>
      </c>
      <c r="BI9" s="46" t="e">
        <f>BI7*Simulador!$I$22</f>
        <v>#DIV/0!</v>
      </c>
      <c r="BJ9" s="46" t="e">
        <f>BJ7*Simulador!$I$22</f>
        <v>#DIV/0!</v>
      </c>
      <c r="BK9" s="46" t="e">
        <f>BK7*Simulador!$I$22</f>
        <v>#DIV/0!</v>
      </c>
      <c r="BL9" s="46" t="e">
        <f>BL7*Simulador!$I$22</f>
        <v>#DIV/0!</v>
      </c>
      <c r="BM9" s="46" t="e">
        <f>BM7*Simulador!$I$22</f>
        <v>#DIV/0!</v>
      </c>
      <c r="BN9" s="46" t="e">
        <f>BN7*Simulador!$I$22</f>
        <v>#DIV/0!</v>
      </c>
      <c r="BO9" s="46" t="e">
        <f>BO7*Simulador!$I$22</f>
        <v>#DIV/0!</v>
      </c>
      <c r="BP9" s="46" t="e">
        <f>BP7*Simulador!$I$22</f>
        <v>#DIV/0!</v>
      </c>
      <c r="BQ9" s="46" t="e">
        <f>BQ7*Simulador!$I$22</f>
        <v>#DIV/0!</v>
      </c>
      <c r="BR9" s="46" t="e">
        <f>BR7*Simulador!$I$22</f>
        <v>#DIV/0!</v>
      </c>
      <c r="BS9" s="46" t="e">
        <f>BS7*Simulador!$I$22</f>
        <v>#DIV/0!</v>
      </c>
      <c r="BT9" s="46" t="e">
        <f>BT7*Simulador!$I$22</f>
        <v>#DIV/0!</v>
      </c>
      <c r="BU9" s="46" t="e">
        <f>BU7*Simulador!$I$22</f>
        <v>#DIV/0!</v>
      </c>
      <c r="BV9" s="46" t="e">
        <f>BV7*Simulador!$I$22</f>
        <v>#DIV/0!</v>
      </c>
      <c r="BW9" s="46" t="e">
        <f>BW7*Simulador!$I$22</f>
        <v>#DIV/0!</v>
      </c>
      <c r="BX9" s="46" t="e">
        <f>BX7*Simulador!$I$22</f>
        <v>#DIV/0!</v>
      </c>
      <c r="BY9" s="46" t="e">
        <f>BY7*Simulador!$I$22</f>
        <v>#DIV/0!</v>
      </c>
      <c r="BZ9" s="46" t="e">
        <f>BZ7*Simulador!$I$22</f>
        <v>#DIV/0!</v>
      </c>
      <c r="CA9" s="46" t="e">
        <f>CA7*Simulador!$I$22</f>
        <v>#DIV/0!</v>
      </c>
      <c r="CB9" s="46" t="e">
        <f>CB7*Simulador!$I$22</f>
        <v>#DIV/0!</v>
      </c>
      <c r="CC9" s="46" t="e">
        <f>CC7*Simulador!$I$22</f>
        <v>#DIV/0!</v>
      </c>
      <c r="CD9" s="46" t="e">
        <f>CD7*Simulador!$I$22</f>
        <v>#DIV/0!</v>
      </c>
      <c r="CE9" s="46" t="e">
        <f>CE7*Simulador!$I$22</f>
        <v>#DIV/0!</v>
      </c>
      <c r="CF9" s="46" t="e">
        <f>CF7*Simulador!$I$22</f>
        <v>#DIV/0!</v>
      </c>
      <c r="CG9" s="46" t="e">
        <f>CG7*Simulador!$I$22</f>
        <v>#DIV/0!</v>
      </c>
      <c r="CH9" s="46" t="e">
        <f>CH7*Simulador!$I$22</f>
        <v>#DIV/0!</v>
      </c>
      <c r="CI9" s="46" t="e">
        <f>CI7*Simulador!$I$22</f>
        <v>#DIV/0!</v>
      </c>
      <c r="CJ9" s="46" t="e">
        <f>CJ7*Simulador!$I$22</f>
        <v>#DIV/0!</v>
      </c>
      <c r="CK9" s="46" t="e">
        <f>CK7*Simulador!$I$22</f>
        <v>#DIV/0!</v>
      </c>
      <c r="CL9" s="46" t="e">
        <f>CL7*Simulador!$I$22</f>
        <v>#DIV/0!</v>
      </c>
      <c r="CM9" s="46" t="e">
        <f>CM7*Simulador!$I$22</f>
        <v>#DIV/0!</v>
      </c>
      <c r="CN9" s="46" t="e">
        <f>CN7*Simulador!$I$22</f>
        <v>#DIV/0!</v>
      </c>
      <c r="CO9" s="46" t="e">
        <f>CO7*Simulador!$I$22</f>
        <v>#DIV/0!</v>
      </c>
      <c r="CP9" s="46" t="e">
        <f>CP7*Simulador!$I$22</f>
        <v>#DIV/0!</v>
      </c>
      <c r="CQ9" s="46" t="e">
        <f>CQ7*Simulador!$I$22</f>
        <v>#DIV/0!</v>
      </c>
      <c r="CR9" s="46" t="e">
        <f>CR7*Simulador!$I$22</f>
        <v>#DIV/0!</v>
      </c>
      <c r="CS9" s="46" t="e">
        <f>CS7*Simulador!$I$22</f>
        <v>#DIV/0!</v>
      </c>
      <c r="CT9" s="46" t="e">
        <f>CT7*Simulador!$I$22</f>
        <v>#DIV/0!</v>
      </c>
      <c r="CU9" s="46" t="e">
        <f>CU7*Simulador!$I$22</f>
        <v>#DIV/0!</v>
      </c>
      <c r="CV9" s="46" t="e">
        <f>CV7*Simulador!$I$22</f>
        <v>#DIV/0!</v>
      </c>
      <c r="CW9" s="46" t="e">
        <f>CW7*Simulador!$I$22</f>
        <v>#DIV/0!</v>
      </c>
      <c r="CX9" s="46" t="e">
        <f>CX7*Simulador!$I$22</f>
        <v>#DIV/0!</v>
      </c>
      <c r="CY9" s="46" t="e">
        <f>CY7*Simulador!$I$22</f>
        <v>#DIV/0!</v>
      </c>
      <c r="CZ9" s="46" t="e">
        <f>CZ7*Simulador!$I$22</f>
        <v>#DIV/0!</v>
      </c>
      <c r="DA9" s="46" t="e">
        <f>DA7*Simulador!$I$22</f>
        <v>#DIV/0!</v>
      </c>
      <c r="DB9" s="46" t="e">
        <f>DB7*Simulador!$I$22</f>
        <v>#DIV/0!</v>
      </c>
      <c r="DC9" s="46" t="e">
        <f>DC7*Simulador!$I$22</f>
        <v>#DIV/0!</v>
      </c>
      <c r="DD9" s="46" t="e">
        <f>DD7*Simulador!$I$22</f>
        <v>#DIV/0!</v>
      </c>
      <c r="DE9" s="46" t="e">
        <f>DE7*Simulador!$I$22</f>
        <v>#DIV/0!</v>
      </c>
      <c r="DF9" s="46" t="e">
        <f>DF7*Simulador!$I$22</f>
        <v>#DIV/0!</v>
      </c>
      <c r="DG9" s="46" t="e">
        <f>DG7*Simulador!$I$22</f>
        <v>#DIV/0!</v>
      </c>
      <c r="DH9" s="46" t="e">
        <f>DH7*Simulador!$I$22</f>
        <v>#DIV/0!</v>
      </c>
      <c r="DI9" s="46" t="e">
        <f>DI7*Simulador!$I$22</f>
        <v>#DIV/0!</v>
      </c>
      <c r="DJ9" s="46" t="e">
        <f>DJ7*Simulador!$I$22</f>
        <v>#DIV/0!</v>
      </c>
      <c r="DK9" s="46" t="e">
        <f>DK7*Simulador!$I$22</f>
        <v>#DIV/0!</v>
      </c>
      <c r="DL9" s="46" t="e">
        <f>DL7*Simulador!$I$22</f>
        <v>#DIV/0!</v>
      </c>
      <c r="DM9" s="46" t="e">
        <f>DM7*Simulador!$I$22</f>
        <v>#DIV/0!</v>
      </c>
      <c r="DN9" s="46" t="e">
        <f>DN7*Simulador!$I$22</f>
        <v>#DIV/0!</v>
      </c>
      <c r="DO9" s="46" t="e">
        <f>DO7*Simulador!$I$22</f>
        <v>#DIV/0!</v>
      </c>
      <c r="DP9" s="46" t="e">
        <f>DP7*Simulador!$I$22</f>
        <v>#DIV/0!</v>
      </c>
      <c r="DQ9" s="46" t="e">
        <f>DQ7*Simulador!$I$22</f>
        <v>#DIV/0!</v>
      </c>
      <c r="DR9" s="46" t="e">
        <f>DR7*Simulador!$I$22</f>
        <v>#DIV/0!</v>
      </c>
      <c r="DS9" s="46" t="e">
        <f>DS7*Simulador!$I$22</f>
        <v>#DIV/0!</v>
      </c>
      <c r="DT9" s="46" t="e">
        <f>DT7*Simulador!$I$22</f>
        <v>#DIV/0!</v>
      </c>
      <c r="DU9" s="46" t="e">
        <f>DU7*Simulador!$I$22</f>
        <v>#DIV/0!</v>
      </c>
      <c r="DV9" s="46" t="e">
        <f>DV7*Simulador!$I$22</f>
        <v>#DIV/0!</v>
      </c>
      <c r="DW9" s="46" t="e">
        <f>DW7*Simulador!$I$22</f>
        <v>#DIV/0!</v>
      </c>
      <c r="DX9" s="46" t="e">
        <f>DX7*Simulador!$I$22</f>
        <v>#DIV/0!</v>
      </c>
      <c r="DY9" s="46" t="e">
        <f>DY7*Simulador!$I$22</f>
        <v>#DIV/0!</v>
      </c>
      <c r="DZ9" s="46" t="e">
        <f>DZ7*Simulador!$I$22</f>
        <v>#DIV/0!</v>
      </c>
      <c r="EA9" s="46" t="e">
        <f>EA7*Simulador!$I$22</f>
        <v>#DIV/0!</v>
      </c>
      <c r="EB9" s="46" t="e">
        <f>EB7*Simulador!$I$22</f>
        <v>#DIV/0!</v>
      </c>
      <c r="EC9" s="46" t="e">
        <f>EC7*Simulador!$I$22</f>
        <v>#DIV/0!</v>
      </c>
      <c r="ED9" s="46" t="e">
        <f>ED7*Simulador!$I$22</f>
        <v>#DIV/0!</v>
      </c>
    </row>
    <row r="11" spans="2:135" ht="13" x14ac:dyDescent="0.3">
      <c r="B11" s="38" t="s">
        <v>63</v>
      </c>
      <c r="C11" s="53"/>
      <c r="D11" s="67" t="e">
        <f t="shared" ref="D11:H11" si="6">SUMIFS($O11:$BV11,$O$4:$BV$4,D$3)</f>
        <v>#DIV/0!</v>
      </c>
      <c r="E11" s="67" t="e">
        <f t="shared" si="6"/>
        <v>#DIV/0!</v>
      </c>
      <c r="F11" s="67" t="e">
        <f t="shared" si="6"/>
        <v>#DIV/0!</v>
      </c>
      <c r="G11" s="67" t="e">
        <f t="shared" si="6"/>
        <v>#DIV/0!</v>
      </c>
      <c r="H11" s="67" t="e">
        <f t="shared" si="6"/>
        <v>#DIV/0!</v>
      </c>
      <c r="I11" s="67" t="e">
        <f t="shared" ref="I11:M11" si="7">SUMIFS($O11:$ED11,$O$4:$ED$4,I$3)</f>
        <v>#DIV/0!</v>
      </c>
      <c r="J11" s="67" t="e">
        <f t="shared" si="7"/>
        <v>#DIV/0!</v>
      </c>
      <c r="K11" s="67" t="e">
        <f t="shared" si="7"/>
        <v>#DIV/0!</v>
      </c>
      <c r="L11" s="67" t="e">
        <f t="shared" si="7"/>
        <v>#DIV/0!</v>
      </c>
      <c r="M11" s="67" t="e">
        <f t="shared" si="7"/>
        <v>#DIV/0!</v>
      </c>
      <c r="N11" s="53"/>
      <c r="O11" s="62" t="e">
        <f>O9*Simulador!$I$14</f>
        <v>#DIV/0!</v>
      </c>
      <c r="P11" s="62" t="e">
        <f>P9*Simulador!$I$14</f>
        <v>#DIV/0!</v>
      </c>
      <c r="Q11" s="62" t="e">
        <f>Q9*Simulador!$I$14</f>
        <v>#DIV/0!</v>
      </c>
      <c r="R11" s="62" t="e">
        <f>R9*Simulador!$I$14</f>
        <v>#DIV/0!</v>
      </c>
      <c r="S11" s="62" t="e">
        <f>S9*Simulador!$I$14</f>
        <v>#DIV/0!</v>
      </c>
      <c r="T11" s="62" t="e">
        <f>T9*Simulador!$I$14</f>
        <v>#DIV/0!</v>
      </c>
      <c r="U11" s="62" t="e">
        <f>U9*Simulador!$I$14</f>
        <v>#DIV/0!</v>
      </c>
      <c r="V11" s="62" t="e">
        <f>V9*Simulador!$I$14</f>
        <v>#DIV/0!</v>
      </c>
      <c r="W11" s="62" t="e">
        <f>W9*Simulador!$I$14</f>
        <v>#DIV/0!</v>
      </c>
      <c r="X11" s="62" t="e">
        <f>X9*Simulador!$I$14</f>
        <v>#DIV/0!</v>
      </c>
      <c r="Y11" s="62" t="e">
        <f>Y9*Simulador!$I$14</f>
        <v>#DIV/0!</v>
      </c>
      <c r="Z11" s="62" t="e">
        <f>Z9*Simulador!$I$14</f>
        <v>#DIV/0!</v>
      </c>
      <c r="AA11" s="62" t="e">
        <f>AA9*Simulador!$I$14</f>
        <v>#DIV/0!</v>
      </c>
      <c r="AB11" s="62" t="e">
        <f>AB9*Simulador!$I$14</f>
        <v>#DIV/0!</v>
      </c>
      <c r="AC11" s="62" t="e">
        <f>AC9*Simulador!$I$14</f>
        <v>#DIV/0!</v>
      </c>
      <c r="AD11" s="62" t="e">
        <f>AD9*Simulador!$I$14</f>
        <v>#DIV/0!</v>
      </c>
      <c r="AE11" s="62" t="e">
        <f>AE9*Simulador!$I$14</f>
        <v>#DIV/0!</v>
      </c>
      <c r="AF11" s="62" t="e">
        <f>AF9*Simulador!$I$14</f>
        <v>#DIV/0!</v>
      </c>
      <c r="AG11" s="62" t="e">
        <f>AG9*Simulador!$I$14</f>
        <v>#DIV/0!</v>
      </c>
      <c r="AH11" s="62" t="e">
        <f>AH9*Simulador!$I$14</f>
        <v>#DIV/0!</v>
      </c>
      <c r="AI11" s="62" t="e">
        <f>AI9*Simulador!$I$14</f>
        <v>#DIV/0!</v>
      </c>
      <c r="AJ11" s="62" t="e">
        <f>AJ9*Simulador!$I$14</f>
        <v>#DIV/0!</v>
      </c>
      <c r="AK11" s="62" t="e">
        <f>AK9*Simulador!$I$14</f>
        <v>#DIV/0!</v>
      </c>
      <c r="AL11" s="62" t="e">
        <f>AL9*Simulador!$I$14</f>
        <v>#DIV/0!</v>
      </c>
      <c r="AM11" s="62" t="e">
        <f>AM9*Simulador!$I$14</f>
        <v>#DIV/0!</v>
      </c>
      <c r="AN11" s="62" t="e">
        <f>AN9*Simulador!$I$14</f>
        <v>#DIV/0!</v>
      </c>
      <c r="AO11" s="62" t="e">
        <f>AO9*Simulador!$I$14</f>
        <v>#DIV/0!</v>
      </c>
      <c r="AP11" s="62" t="e">
        <f>AP9*Simulador!$I$14</f>
        <v>#DIV/0!</v>
      </c>
      <c r="AQ11" s="62" t="e">
        <f>AQ9*Simulador!$I$14</f>
        <v>#DIV/0!</v>
      </c>
      <c r="AR11" s="62" t="e">
        <f>AR9*Simulador!$I$14</f>
        <v>#DIV/0!</v>
      </c>
      <c r="AS11" s="62" t="e">
        <f>AS9*Simulador!$I$14</f>
        <v>#DIV/0!</v>
      </c>
      <c r="AT11" s="62" t="e">
        <f>AT9*Simulador!$I$14</f>
        <v>#DIV/0!</v>
      </c>
      <c r="AU11" s="62" t="e">
        <f>AU9*Simulador!$I$14</f>
        <v>#DIV/0!</v>
      </c>
      <c r="AV11" s="62" t="e">
        <f>AV9*Simulador!$I$14</f>
        <v>#DIV/0!</v>
      </c>
      <c r="AW11" s="62" t="e">
        <f>AW9*Simulador!$I$14</f>
        <v>#DIV/0!</v>
      </c>
      <c r="AX11" s="62" t="e">
        <f>AX9*Simulador!$I$14</f>
        <v>#DIV/0!</v>
      </c>
      <c r="AY11" s="62" t="e">
        <f>AY9*Simulador!$I$14</f>
        <v>#DIV/0!</v>
      </c>
      <c r="AZ11" s="62" t="e">
        <f>AZ9*Simulador!$I$14</f>
        <v>#DIV/0!</v>
      </c>
      <c r="BA11" s="62" t="e">
        <f>BA9*Simulador!$I$14</f>
        <v>#DIV/0!</v>
      </c>
      <c r="BB11" s="62" t="e">
        <f>BB9*Simulador!$I$14</f>
        <v>#DIV/0!</v>
      </c>
      <c r="BC11" s="62" t="e">
        <f>BC9*Simulador!$I$14</f>
        <v>#DIV/0!</v>
      </c>
      <c r="BD11" s="62" t="e">
        <f>BD9*Simulador!$I$14</f>
        <v>#DIV/0!</v>
      </c>
      <c r="BE11" s="62" t="e">
        <f>BE9*Simulador!$I$14</f>
        <v>#DIV/0!</v>
      </c>
      <c r="BF11" s="62" t="e">
        <f>BF9*Simulador!$I$14</f>
        <v>#DIV/0!</v>
      </c>
      <c r="BG11" s="62" t="e">
        <f>BG9*Simulador!$I$14</f>
        <v>#DIV/0!</v>
      </c>
      <c r="BH11" s="62" t="e">
        <f>BH9*Simulador!$I$14</f>
        <v>#DIV/0!</v>
      </c>
      <c r="BI11" s="62" t="e">
        <f>BI9*Simulador!$I$14</f>
        <v>#DIV/0!</v>
      </c>
      <c r="BJ11" s="62" t="e">
        <f>BJ9*Simulador!$I$14</f>
        <v>#DIV/0!</v>
      </c>
      <c r="BK11" s="62" t="e">
        <f>BK9*Simulador!$I$14</f>
        <v>#DIV/0!</v>
      </c>
      <c r="BL11" s="62" t="e">
        <f>BL9*Simulador!$I$14</f>
        <v>#DIV/0!</v>
      </c>
      <c r="BM11" s="62" t="e">
        <f>BM9*Simulador!$I$14</f>
        <v>#DIV/0!</v>
      </c>
      <c r="BN11" s="62" t="e">
        <f>BN9*Simulador!$I$14</f>
        <v>#DIV/0!</v>
      </c>
      <c r="BO11" s="62" t="e">
        <f>BO9*Simulador!$I$14</f>
        <v>#DIV/0!</v>
      </c>
      <c r="BP11" s="62" t="e">
        <f>BP9*Simulador!$I$14</f>
        <v>#DIV/0!</v>
      </c>
      <c r="BQ11" s="62" t="e">
        <f>BQ9*Simulador!$I$14</f>
        <v>#DIV/0!</v>
      </c>
      <c r="BR11" s="62" t="e">
        <f>BR9*Simulador!$I$14</f>
        <v>#DIV/0!</v>
      </c>
      <c r="BS11" s="62" t="e">
        <f>BS9*Simulador!$I$14</f>
        <v>#DIV/0!</v>
      </c>
      <c r="BT11" s="62" t="e">
        <f>BT9*Simulador!$I$14</f>
        <v>#DIV/0!</v>
      </c>
      <c r="BU11" s="62" t="e">
        <f>BU9*Simulador!$I$14</f>
        <v>#DIV/0!</v>
      </c>
      <c r="BV11" s="62" t="e">
        <f>BV9*Simulador!$I$14</f>
        <v>#DIV/0!</v>
      </c>
      <c r="BW11" s="62" t="e">
        <f>BW9*Simulador!$I$14</f>
        <v>#DIV/0!</v>
      </c>
      <c r="BX11" s="62" t="e">
        <f>BX9*Simulador!$I$14</f>
        <v>#DIV/0!</v>
      </c>
      <c r="BY11" s="62" t="e">
        <f>BY9*Simulador!$I$14</f>
        <v>#DIV/0!</v>
      </c>
      <c r="BZ11" s="62" t="e">
        <f>BZ9*Simulador!$I$14</f>
        <v>#DIV/0!</v>
      </c>
      <c r="CA11" s="62" t="e">
        <f>CA9*Simulador!$I$14</f>
        <v>#DIV/0!</v>
      </c>
      <c r="CB11" s="62" t="e">
        <f>CB9*Simulador!$I$14</f>
        <v>#DIV/0!</v>
      </c>
      <c r="CC11" s="62" t="e">
        <f>CC9*Simulador!$I$14</f>
        <v>#DIV/0!</v>
      </c>
      <c r="CD11" s="62" t="e">
        <f>CD9*Simulador!$I$14</f>
        <v>#DIV/0!</v>
      </c>
      <c r="CE11" s="62" t="e">
        <f>CE9*Simulador!$I$14</f>
        <v>#DIV/0!</v>
      </c>
      <c r="CF11" s="62" t="e">
        <f>CF9*Simulador!$I$14</f>
        <v>#DIV/0!</v>
      </c>
      <c r="CG11" s="62" t="e">
        <f>CG9*Simulador!$I$14</f>
        <v>#DIV/0!</v>
      </c>
      <c r="CH11" s="62" t="e">
        <f>CH9*Simulador!$I$14</f>
        <v>#DIV/0!</v>
      </c>
      <c r="CI11" s="62" t="e">
        <f>CI9*Simulador!$I$14</f>
        <v>#DIV/0!</v>
      </c>
      <c r="CJ11" s="62" t="e">
        <f>CJ9*Simulador!$I$14</f>
        <v>#DIV/0!</v>
      </c>
      <c r="CK11" s="62" t="e">
        <f>CK9*Simulador!$I$14</f>
        <v>#DIV/0!</v>
      </c>
      <c r="CL11" s="62" t="e">
        <f>CL9*Simulador!$I$14</f>
        <v>#DIV/0!</v>
      </c>
      <c r="CM11" s="62" t="e">
        <f>CM9*Simulador!$I$14</f>
        <v>#DIV/0!</v>
      </c>
      <c r="CN11" s="62" t="e">
        <f>CN9*Simulador!$I$14</f>
        <v>#DIV/0!</v>
      </c>
      <c r="CO11" s="62" t="e">
        <f>CO9*Simulador!$I$14</f>
        <v>#DIV/0!</v>
      </c>
      <c r="CP11" s="62" t="e">
        <f>CP9*Simulador!$I$14</f>
        <v>#DIV/0!</v>
      </c>
      <c r="CQ11" s="62" t="e">
        <f>CQ9*Simulador!$I$14</f>
        <v>#DIV/0!</v>
      </c>
      <c r="CR11" s="62" t="e">
        <f>CR9*Simulador!$I$14</f>
        <v>#DIV/0!</v>
      </c>
      <c r="CS11" s="62" t="e">
        <f>CS9*Simulador!$I$14</f>
        <v>#DIV/0!</v>
      </c>
      <c r="CT11" s="62" t="e">
        <f>CT9*Simulador!$I$14</f>
        <v>#DIV/0!</v>
      </c>
      <c r="CU11" s="62" t="e">
        <f>CU9*Simulador!$I$14</f>
        <v>#DIV/0!</v>
      </c>
      <c r="CV11" s="62" t="e">
        <f>CV9*Simulador!$I$14</f>
        <v>#DIV/0!</v>
      </c>
      <c r="CW11" s="62" t="e">
        <f>CW9*Simulador!$I$14</f>
        <v>#DIV/0!</v>
      </c>
      <c r="CX11" s="62" t="e">
        <f>CX9*Simulador!$I$14</f>
        <v>#DIV/0!</v>
      </c>
      <c r="CY11" s="62" t="e">
        <f>CY9*Simulador!$I$14</f>
        <v>#DIV/0!</v>
      </c>
      <c r="CZ11" s="62" t="e">
        <f>CZ9*Simulador!$I$14</f>
        <v>#DIV/0!</v>
      </c>
      <c r="DA11" s="62" t="e">
        <f>DA9*Simulador!$I$14</f>
        <v>#DIV/0!</v>
      </c>
      <c r="DB11" s="62" t="e">
        <f>DB9*Simulador!$I$14</f>
        <v>#DIV/0!</v>
      </c>
      <c r="DC11" s="62" t="e">
        <f>DC9*Simulador!$I$14</f>
        <v>#DIV/0!</v>
      </c>
      <c r="DD11" s="62" t="e">
        <f>DD9*Simulador!$I$14</f>
        <v>#DIV/0!</v>
      </c>
      <c r="DE11" s="62" t="e">
        <f>DE9*Simulador!$I$14</f>
        <v>#DIV/0!</v>
      </c>
      <c r="DF11" s="62" t="e">
        <f>DF9*Simulador!$I$14</f>
        <v>#DIV/0!</v>
      </c>
      <c r="DG11" s="62" t="e">
        <f>DG9*Simulador!$I$14</f>
        <v>#DIV/0!</v>
      </c>
      <c r="DH11" s="62" t="e">
        <f>DH9*Simulador!$I$14</f>
        <v>#DIV/0!</v>
      </c>
      <c r="DI11" s="62" t="e">
        <f>DI9*Simulador!$I$14</f>
        <v>#DIV/0!</v>
      </c>
      <c r="DJ11" s="62" t="e">
        <f>DJ9*Simulador!$I$14</f>
        <v>#DIV/0!</v>
      </c>
      <c r="DK11" s="62" t="e">
        <f>DK9*Simulador!$I$14</f>
        <v>#DIV/0!</v>
      </c>
      <c r="DL11" s="62" t="e">
        <f>DL9*Simulador!$I$14</f>
        <v>#DIV/0!</v>
      </c>
      <c r="DM11" s="62" t="e">
        <f>DM9*Simulador!$I$14</f>
        <v>#DIV/0!</v>
      </c>
      <c r="DN11" s="62" t="e">
        <f>DN9*Simulador!$I$14</f>
        <v>#DIV/0!</v>
      </c>
      <c r="DO11" s="62" t="e">
        <f>DO9*Simulador!$I$14</f>
        <v>#DIV/0!</v>
      </c>
      <c r="DP11" s="62" t="e">
        <f>DP9*Simulador!$I$14</f>
        <v>#DIV/0!</v>
      </c>
      <c r="DQ11" s="62" t="e">
        <f>DQ9*Simulador!$I$14</f>
        <v>#DIV/0!</v>
      </c>
      <c r="DR11" s="62" t="e">
        <f>DR9*Simulador!$I$14</f>
        <v>#DIV/0!</v>
      </c>
      <c r="DS11" s="62" t="e">
        <f>DS9*Simulador!$I$14</f>
        <v>#DIV/0!</v>
      </c>
      <c r="DT11" s="62" t="e">
        <f>DT9*Simulador!$I$14</f>
        <v>#DIV/0!</v>
      </c>
      <c r="DU11" s="62" t="e">
        <f>DU9*Simulador!$I$14</f>
        <v>#DIV/0!</v>
      </c>
      <c r="DV11" s="62" t="e">
        <f>DV9*Simulador!$I$14</f>
        <v>#DIV/0!</v>
      </c>
      <c r="DW11" s="62" t="e">
        <f>DW9*Simulador!$I$14</f>
        <v>#DIV/0!</v>
      </c>
      <c r="DX11" s="62" t="e">
        <f>DX9*Simulador!$I$14</f>
        <v>#DIV/0!</v>
      </c>
      <c r="DY11" s="62" t="e">
        <f>DY9*Simulador!$I$14</f>
        <v>#DIV/0!</v>
      </c>
      <c r="DZ11" s="62" t="e">
        <f>DZ9*Simulador!$I$14</f>
        <v>#DIV/0!</v>
      </c>
      <c r="EA11" s="62" t="e">
        <f>EA9*Simulador!$I$14</f>
        <v>#DIV/0!</v>
      </c>
      <c r="EB11" s="62" t="e">
        <f>EB9*Simulador!$I$14</f>
        <v>#DIV/0!</v>
      </c>
      <c r="EC11" s="62" t="e">
        <f>EC9*Simulador!$I$14</f>
        <v>#DIV/0!</v>
      </c>
      <c r="ED11" s="62" t="e">
        <f>ED9*Simulador!$I$14</f>
        <v>#DIV/0!</v>
      </c>
    </row>
    <row r="12" spans="2:135" ht="13" x14ac:dyDescent="0.3">
      <c r="B12" s="38"/>
      <c r="C12" s="53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53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</row>
    <row r="13" spans="2:135" ht="13" x14ac:dyDescent="0.3">
      <c r="B13" s="38" t="s">
        <v>64</v>
      </c>
      <c r="C13" s="53"/>
      <c r="D13" s="67" t="e">
        <f t="shared" ref="D13:H13" si="8">SUMIFS($O13:$BV13,$O$4:$BV$4,D$3)</f>
        <v>#DIV/0!</v>
      </c>
      <c r="E13" s="67" t="e">
        <f t="shared" si="8"/>
        <v>#DIV/0!</v>
      </c>
      <c r="F13" s="67" t="e">
        <f t="shared" si="8"/>
        <v>#DIV/0!</v>
      </c>
      <c r="G13" s="67" t="e">
        <f t="shared" si="8"/>
        <v>#DIV/0!</v>
      </c>
      <c r="H13" s="67" t="e">
        <f t="shared" si="8"/>
        <v>#DIV/0!</v>
      </c>
      <c r="I13" s="67" t="e">
        <f t="shared" ref="I13:M13" si="9">SUMIFS($O13:$ED13,$O$4:$ED$4,I$3)</f>
        <v>#DIV/0!</v>
      </c>
      <c r="J13" s="67" t="e">
        <f t="shared" si="9"/>
        <v>#DIV/0!</v>
      </c>
      <c r="K13" s="67" t="e">
        <f t="shared" si="9"/>
        <v>#DIV/0!</v>
      </c>
      <c r="L13" s="67" t="e">
        <f t="shared" si="9"/>
        <v>#DIV/0!</v>
      </c>
      <c r="M13" s="67" t="e">
        <f t="shared" si="9"/>
        <v>#DIV/0!</v>
      </c>
      <c r="N13" s="53"/>
      <c r="O13" s="62" t="e">
        <f>O11*Simulador!$I$16</f>
        <v>#DIV/0!</v>
      </c>
      <c r="P13" s="62" t="e">
        <f>P11*Simulador!$I$16</f>
        <v>#DIV/0!</v>
      </c>
      <c r="Q13" s="62" t="e">
        <f>Q11*Simulador!$I$16</f>
        <v>#DIV/0!</v>
      </c>
      <c r="R13" s="62" t="e">
        <f>R11*Simulador!$I$16</f>
        <v>#DIV/0!</v>
      </c>
      <c r="S13" s="62" t="e">
        <f>S11*Simulador!$I$16</f>
        <v>#DIV/0!</v>
      </c>
      <c r="T13" s="62" t="e">
        <f>T11*Simulador!$I$16</f>
        <v>#DIV/0!</v>
      </c>
      <c r="U13" s="62" t="e">
        <f>U11*Simulador!$I$16</f>
        <v>#DIV/0!</v>
      </c>
      <c r="V13" s="62" t="e">
        <f>V11*Simulador!$I$16</f>
        <v>#DIV/0!</v>
      </c>
      <c r="W13" s="62" t="e">
        <f>W11*Simulador!$I$16</f>
        <v>#DIV/0!</v>
      </c>
      <c r="X13" s="62" t="e">
        <f>X11*Simulador!$I$16</f>
        <v>#DIV/0!</v>
      </c>
      <c r="Y13" s="62" t="e">
        <f>Y11*Simulador!$I$16</f>
        <v>#DIV/0!</v>
      </c>
      <c r="Z13" s="62" t="e">
        <f>Z11*Simulador!$I$16</f>
        <v>#DIV/0!</v>
      </c>
      <c r="AA13" s="62" t="e">
        <f>AA11*Simulador!$I$16</f>
        <v>#DIV/0!</v>
      </c>
      <c r="AB13" s="62" t="e">
        <f>AB11*Simulador!$I$16</f>
        <v>#DIV/0!</v>
      </c>
      <c r="AC13" s="62" t="e">
        <f>AC11*Simulador!$I$16</f>
        <v>#DIV/0!</v>
      </c>
      <c r="AD13" s="62" t="e">
        <f>AD11*Simulador!$I$16</f>
        <v>#DIV/0!</v>
      </c>
      <c r="AE13" s="62" t="e">
        <f>AE11*Simulador!$I$16</f>
        <v>#DIV/0!</v>
      </c>
      <c r="AF13" s="62" t="e">
        <f>AF11*Simulador!$I$16</f>
        <v>#DIV/0!</v>
      </c>
      <c r="AG13" s="62" t="e">
        <f>AG11*Simulador!$I$16</f>
        <v>#DIV/0!</v>
      </c>
      <c r="AH13" s="62" t="e">
        <f>AH11*Simulador!$I$16</f>
        <v>#DIV/0!</v>
      </c>
      <c r="AI13" s="62" t="e">
        <f>AI11*Simulador!$I$16</f>
        <v>#DIV/0!</v>
      </c>
      <c r="AJ13" s="62" t="e">
        <f>AJ11*Simulador!$I$16</f>
        <v>#DIV/0!</v>
      </c>
      <c r="AK13" s="62" t="e">
        <f>AK11*Simulador!$I$16</f>
        <v>#DIV/0!</v>
      </c>
      <c r="AL13" s="62" t="e">
        <f>AL11*Simulador!$I$16</f>
        <v>#DIV/0!</v>
      </c>
      <c r="AM13" s="62" t="e">
        <f>AM11*Simulador!$I$16</f>
        <v>#DIV/0!</v>
      </c>
      <c r="AN13" s="62" t="e">
        <f>AN11*Simulador!$I$16</f>
        <v>#DIV/0!</v>
      </c>
      <c r="AO13" s="62" t="e">
        <f>AO11*Simulador!$I$16</f>
        <v>#DIV/0!</v>
      </c>
      <c r="AP13" s="62" t="e">
        <f>AP11*Simulador!$I$16</f>
        <v>#DIV/0!</v>
      </c>
      <c r="AQ13" s="62" t="e">
        <f>AQ11*Simulador!$I$16</f>
        <v>#DIV/0!</v>
      </c>
      <c r="AR13" s="62" t="e">
        <f>AR11*Simulador!$I$16</f>
        <v>#DIV/0!</v>
      </c>
      <c r="AS13" s="62" t="e">
        <f>AS11*Simulador!$I$16</f>
        <v>#DIV/0!</v>
      </c>
      <c r="AT13" s="62" t="e">
        <f>AT11*Simulador!$I$16</f>
        <v>#DIV/0!</v>
      </c>
      <c r="AU13" s="62" t="e">
        <f>AU11*Simulador!$I$16</f>
        <v>#DIV/0!</v>
      </c>
      <c r="AV13" s="62" t="e">
        <f>AV11*Simulador!$I$16</f>
        <v>#DIV/0!</v>
      </c>
      <c r="AW13" s="62" t="e">
        <f>AW11*Simulador!$I$16</f>
        <v>#DIV/0!</v>
      </c>
      <c r="AX13" s="62" t="e">
        <f>AX11*Simulador!$I$16</f>
        <v>#DIV/0!</v>
      </c>
      <c r="AY13" s="62" t="e">
        <f>AY11*Simulador!$I$16</f>
        <v>#DIV/0!</v>
      </c>
      <c r="AZ13" s="62" t="e">
        <f>AZ11*Simulador!$I$16</f>
        <v>#DIV/0!</v>
      </c>
      <c r="BA13" s="62" t="e">
        <f>BA11*Simulador!$I$16</f>
        <v>#DIV/0!</v>
      </c>
      <c r="BB13" s="62" t="e">
        <f>BB11*Simulador!$I$16</f>
        <v>#DIV/0!</v>
      </c>
      <c r="BC13" s="62" t="e">
        <f>BC11*Simulador!$I$16</f>
        <v>#DIV/0!</v>
      </c>
      <c r="BD13" s="62" t="e">
        <f>BD11*Simulador!$I$16</f>
        <v>#DIV/0!</v>
      </c>
      <c r="BE13" s="62" t="e">
        <f>BE11*Simulador!$I$16</f>
        <v>#DIV/0!</v>
      </c>
      <c r="BF13" s="62" t="e">
        <f>BF11*Simulador!$I$16</f>
        <v>#DIV/0!</v>
      </c>
      <c r="BG13" s="62" t="e">
        <f>BG11*Simulador!$I$16</f>
        <v>#DIV/0!</v>
      </c>
      <c r="BH13" s="62" t="e">
        <f>BH11*Simulador!$I$16</f>
        <v>#DIV/0!</v>
      </c>
      <c r="BI13" s="62" t="e">
        <f>BI11*Simulador!$I$16</f>
        <v>#DIV/0!</v>
      </c>
      <c r="BJ13" s="62" t="e">
        <f>BJ11*Simulador!$I$16</f>
        <v>#DIV/0!</v>
      </c>
      <c r="BK13" s="62" t="e">
        <f>BK11*Simulador!$I$16</f>
        <v>#DIV/0!</v>
      </c>
      <c r="BL13" s="62" t="e">
        <f>BL11*Simulador!$I$16</f>
        <v>#DIV/0!</v>
      </c>
      <c r="BM13" s="62" t="e">
        <f>BM11*Simulador!$I$16</f>
        <v>#DIV/0!</v>
      </c>
      <c r="BN13" s="62" t="e">
        <f>BN11*Simulador!$I$16</f>
        <v>#DIV/0!</v>
      </c>
      <c r="BO13" s="62" t="e">
        <f>BO11*Simulador!$I$16</f>
        <v>#DIV/0!</v>
      </c>
      <c r="BP13" s="62" t="e">
        <f>BP11*Simulador!$I$16</f>
        <v>#DIV/0!</v>
      </c>
      <c r="BQ13" s="62" t="e">
        <f>BQ11*Simulador!$I$16</f>
        <v>#DIV/0!</v>
      </c>
      <c r="BR13" s="62" t="e">
        <f>BR11*Simulador!$I$16</f>
        <v>#DIV/0!</v>
      </c>
      <c r="BS13" s="62" t="e">
        <f>BS11*Simulador!$I$16</f>
        <v>#DIV/0!</v>
      </c>
      <c r="BT13" s="62" t="e">
        <f>BT11*Simulador!$I$16</f>
        <v>#DIV/0!</v>
      </c>
      <c r="BU13" s="62" t="e">
        <f>BU11*Simulador!$I$16</f>
        <v>#DIV/0!</v>
      </c>
      <c r="BV13" s="62" t="e">
        <f>BV11*Simulador!$I$16</f>
        <v>#DIV/0!</v>
      </c>
      <c r="BW13" s="62" t="e">
        <f>BW11*Simulador!$I$16</f>
        <v>#DIV/0!</v>
      </c>
      <c r="BX13" s="62" t="e">
        <f>BX11*Simulador!$I$16</f>
        <v>#DIV/0!</v>
      </c>
      <c r="BY13" s="62" t="e">
        <f>BY11*Simulador!$I$16</f>
        <v>#DIV/0!</v>
      </c>
      <c r="BZ13" s="62" t="e">
        <f>BZ11*Simulador!$I$16</f>
        <v>#DIV/0!</v>
      </c>
      <c r="CA13" s="62" t="e">
        <f>CA11*Simulador!$I$16</f>
        <v>#DIV/0!</v>
      </c>
      <c r="CB13" s="62" t="e">
        <f>CB11*Simulador!$I$16</f>
        <v>#DIV/0!</v>
      </c>
      <c r="CC13" s="62" t="e">
        <f>CC11*Simulador!$I$16</f>
        <v>#DIV/0!</v>
      </c>
      <c r="CD13" s="62" t="e">
        <f>CD11*Simulador!$I$16</f>
        <v>#DIV/0!</v>
      </c>
      <c r="CE13" s="62" t="e">
        <f>CE11*Simulador!$I$16</f>
        <v>#DIV/0!</v>
      </c>
      <c r="CF13" s="62" t="e">
        <f>CF11*Simulador!$I$16</f>
        <v>#DIV/0!</v>
      </c>
      <c r="CG13" s="62" t="e">
        <f>CG11*Simulador!$I$16</f>
        <v>#DIV/0!</v>
      </c>
      <c r="CH13" s="62" t="e">
        <f>CH11*Simulador!$I$16</f>
        <v>#DIV/0!</v>
      </c>
      <c r="CI13" s="62" t="e">
        <f>CI11*Simulador!$I$16</f>
        <v>#DIV/0!</v>
      </c>
      <c r="CJ13" s="62" t="e">
        <f>CJ11*Simulador!$I$16</f>
        <v>#DIV/0!</v>
      </c>
      <c r="CK13" s="62" t="e">
        <f>CK11*Simulador!$I$16</f>
        <v>#DIV/0!</v>
      </c>
      <c r="CL13" s="62" t="e">
        <f>CL11*Simulador!$I$16</f>
        <v>#DIV/0!</v>
      </c>
      <c r="CM13" s="62" t="e">
        <f>CM11*Simulador!$I$16</f>
        <v>#DIV/0!</v>
      </c>
      <c r="CN13" s="62" t="e">
        <f>CN11*Simulador!$I$16</f>
        <v>#DIV/0!</v>
      </c>
      <c r="CO13" s="62" t="e">
        <f>CO11*Simulador!$I$16</f>
        <v>#DIV/0!</v>
      </c>
      <c r="CP13" s="62" t="e">
        <f>CP11*Simulador!$I$16</f>
        <v>#DIV/0!</v>
      </c>
      <c r="CQ13" s="62" t="e">
        <f>CQ11*Simulador!$I$16</f>
        <v>#DIV/0!</v>
      </c>
      <c r="CR13" s="62" t="e">
        <f>CR11*Simulador!$I$16</f>
        <v>#DIV/0!</v>
      </c>
      <c r="CS13" s="62" t="e">
        <f>CS11*Simulador!$I$16</f>
        <v>#DIV/0!</v>
      </c>
      <c r="CT13" s="62" t="e">
        <f>CT11*Simulador!$I$16</f>
        <v>#DIV/0!</v>
      </c>
      <c r="CU13" s="62" t="e">
        <f>CU11*Simulador!$I$16</f>
        <v>#DIV/0!</v>
      </c>
      <c r="CV13" s="62" t="e">
        <f>CV11*Simulador!$I$16</f>
        <v>#DIV/0!</v>
      </c>
      <c r="CW13" s="62" t="e">
        <f>CW11*Simulador!$I$16</f>
        <v>#DIV/0!</v>
      </c>
      <c r="CX13" s="62" t="e">
        <f>CX11*Simulador!$I$16</f>
        <v>#DIV/0!</v>
      </c>
      <c r="CY13" s="62" t="e">
        <f>CY11*Simulador!$I$16</f>
        <v>#DIV/0!</v>
      </c>
      <c r="CZ13" s="62" t="e">
        <f>CZ11*Simulador!$I$16</f>
        <v>#DIV/0!</v>
      </c>
      <c r="DA13" s="62" t="e">
        <f>DA11*Simulador!$I$16</f>
        <v>#DIV/0!</v>
      </c>
      <c r="DB13" s="62" t="e">
        <f>DB11*Simulador!$I$16</f>
        <v>#DIV/0!</v>
      </c>
      <c r="DC13" s="62" t="e">
        <f>DC11*Simulador!$I$16</f>
        <v>#DIV/0!</v>
      </c>
      <c r="DD13" s="62" t="e">
        <f>DD11*Simulador!$I$16</f>
        <v>#DIV/0!</v>
      </c>
      <c r="DE13" s="62" t="e">
        <f>DE11*Simulador!$I$16</f>
        <v>#DIV/0!</v>
      </c>
      <c r="DF13" s="62" t="e">
        <f>DF11*Simulador!$I$16</f>
        <v>#DIV/0!</v>
      </c>
      <c r="DG13" s="62" t="e">
        <f>DG11*Simulador!$I$16</f>
        <v>#DIV/0!</v>
      </c>
      <c r="DH13" s="62" t="e">
        <f>DH11*Simulador!$I$16</f>
        <v>#DIV/0!</v>
      </c>
      <c r="DI13" s="62" t="e">
        <f>DI11*Simulador!$I$16</f>
        <v>#DIV/0!</v>
      </c>
      <c r="DJ13" s="62" t="e">
        <f>DJ11*Simulador!$I$16</f>
        <v>#DIV/0!</v>
      </c>
      <c r="DK13" s="62" t="e">
        <f>DK11*Simulador!$I$16</f>
        <v>#DIV/0!</v>
      </c>
      <c r="DL13" s="62" t="e">
        <f>DL11*Simulador!$I$16</f>
        <v>#DIV/0!</v>
      </c>
      <c r="DM13" s="62" t="e">
        <f>DM11*Simulador!$I$16</f>
        <v>#DIV/0!</v>
      </c>
      <c r="DN13" s="62" t="e">
        <f>DN11*Simulador!$I$16</f>
        <v>#DIV/0!</v>
      </c>
      <c r="DO13" s="62" t="e">
        <f>DO11*Simulador!$I$16</f>
        <v>#DIV/0!</v>
      </c>
      <c r="DP13" s="62" t="e">
        <f>DP11*Simulador!$I$16</f>
        <v>#DIV/0!</v>
      </c>
      <c r="DQ13" s="62" t="e">
        <f>DQ11*Simulador!$I$16</f>
        <v>#DIV/0!</v>
      </c>
      <c r="DR13" s="62" t="e">
        <f>DR11*Simulador!$I$16</f>
        <v>#DIV/0!</v>
      </c>
      <c r="DS13" s="62" t="e">
        <f>DS11*Simulador!$I$16</f>
        <v>#DIV/0!</v>
      </c>
      <c r="DT13" s="62" t="e">
        <f>DT11*Simulador!$I$16</f>
        <v>#DIV/0!</v>
      </c>
      <c r="DU13" s="62" t="e">
        <f>DU11*Simulador!$I$16</f>
        <v>#DIV/0!</v>
      </c>
      <c r="DV13" s="62" t="e">
        <f>DV11*Simulador!$I$16</f>
        <v>#DIV/0!</v>
      </c>
      <c r="DW13" s="62" t="e">
        <f>DW11*Simulador!$I$16</f>
        <v>#DIV/0!</v>
      </c>
      <c r="DX13" s="62" t="e">
        <f>DX11*Simulador!$I$16</f>
        <v>#DIV/0!</v>
      </c>
      <c r="DY13" s="62" t="e">
        <f>DY11*Simulador!$I$16</f>
        <v>#DIV/0!</v>
      </c>
      <c r="DZ13" s="62" t="e">
        <f>DZ11*Simulador!$I$16</f>
        <v>#DIV/0!</v>
      </c>
      <c r="EA13" s="62" t="e">
        <f>EA11*Simulador!$I$16</f>
        <v>#DIV/0!</v>
      </c>
      <c r="EB13" s="62" t="e">
        <f>EB11*Simulador!$I$16</f>
        <v>#DIV/0!</v>
      </c>
      <c r="EC13" s="62" t="e">
        <f>EC11*Simulador!$I$16</f>
        <v>#DIV/0!</v>
      </c>
      <c r="ED13" s="62" t="e">
        <f>ED11*Simulador!$I$16</f>
        <v>#DIV/0!</v>
      </c>
    </row>
    <row r="14" spans="2:135" ht="13" x14ac:dyDescent="0.3">
      <c r="B14" s="38"/>
      <c r="C14" s="53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53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</row>
    <row r="15" spans="2:135" ht="13" x14ac:dyDescent="0.3">
      <c r="B15" s="38" t="s">
        <v>190</v>
      </c>
      <c r="C15" s="53"/>
      <c r="D15" s="67">
        <f t="shared" ref="D15:H15" si="10">SUMIFS($O15:$BV15,$O$4:$BV$4,D$3)</f>
        <v>0</v>
      </c>
      <c r="E15" s="67">
        <f t="shared" si="10"/>
        <v>0</v>
      </c>
      <c r="F15" s="67">
        <f t="shared" si="10"/>
        <v>0</v>
      </c>
      <c r="G15" s="67">
        <f t="shared" si="10"/>
        <v>0</v>
      </c>
      <c r="H15" s="67">
        <f t="shared" si="10"/>
        <v>0</v>
      </c>
      <c r="I15" s="67">
        <f t="shared" ref="I15:M15" si="11">SUMIFS($O15:$ED15,$O$4:$ED$4,I$3)</f>
        <v>0</v>
      </c>
      <c r="J15" s="67">
        <f t="shared" si="11"/>
        <v>0</v>
      </c>
      <c r="K15" s="67">
        <f t="shared" si="11"/>
        <v>0</v>
      </c>
      <c r="L15" s="67">
        <f t="shared" si="11"/>
        <v>0</v>
      </c>
      <c r="M15" s="67">
        <f t="shared" si="11"/>
        <v>0</v>
      </c>
      <c r="N15" s="53"/>
      <c r="O15" s="62">
        <f>IF(Simulador!$I$18=TRUE,O13,0)</f>
        <v>0</v>
      </c>
      <c r="P15" s="62">
        <f>IF(Simulador!$I$18=TRUE,P13,0)</f>
        <v>0</v>
      </c>
      <c r="Q15" s="62">
        <f>IF(Simulador!$I$18=TRUE,Q13,0)</f>
        <v>0</v>
      </c>
      <c r="R15" s="62">
        <f>IF(Simulador!$I$18=TRUE,R13,0)</f>
        <v>0</v>
      </c>
      <c r="S15" s="62">
        <f>IF(Simulador!$I$18=TRUE,S13,0)</f>
        <v>0</v>
      </c>
      <c r="T15" s="62">
        <f>IF(Simulador!$I$18=TRUE,T13,0)</f>
        <v>0</v>
      </c>
      <c r="U15" s="62">
        <f>IF(Simulador!$I$18=TRUE,U13,0)</f>
        <v>0</v>
      </c>
      <c r="V15" s="62">
        <f>IF(Simulador!$I$18=TRUE,V13,0)</f>
        <v>0</v>
      </c>
      <c r="W15" s="62">
        <f>IF(Simulador!$I$18=TRUE,W13,0)</f>
        <v>0</v>
      </c>
      <c r="X15" s="62">
        <f>IF(Simulador!$I$18=TRUE,X13,0)</f>
        <v>0</v>
      </c>
      <c r="Y15" s="62">
        <f>IF(Simulador!$I$18=TRUE,Y13,0)</f>
        <v>0</v>
      </c>
      <c r="Z15" s="62">
        <f>IF(Simulador!$I$18=TRUE,Z13,0)</f>
        <v>0</v>
      </c>
      <c r="AA15" s="62">
        <f>IF(Simulador!$I$18=TRUE,AA13,0)</f>
        <v>0</v>
      </c>
      <c r="AB15" s="62">
        <f>IF(Simulador!$I$18=TRUE,AB13,0)</f>
        <v>0</v>
      </c>
      <c r="AC15" s="62">
        <f>IF(Simulador!$I$18=TRUE,AC13,0)</f>
        <v>0</v>
      </c>
      <c r="AD15" s="62">
        <f>IF(Simulador!$I$18=TRUE,AD13,0)</f>
        <v>0</v>
      </c>
      <c r="AE15" s="62">
        <f>IF(Simulador!$I$18=TRUE,AE13,0)</f>
        <v>0</v>
      </c>
      <c r="AF15" s="62">
        <f>IF(Simulador!$I$18=TRUE,AF13,0)</f>
        <v>0</v>
      </c>
      <c r="AG15" s="62">
        <f>IF(Simulador!$I$18=TRUE,AG13,0)</f>
        <v>0</v>
      </c>
      <c r="AH15" s="62">
        <f>IF(Simulador!$I$18=TRUE,AH13,0)</f>
        <v>0</v>
      </c>
      <c r="AI15" s="62">
        <f>IF(Simulador!$I$18=TRUE,AI13,0)</f>
        <v>0</v>
      </c>
      <c r="AJ15" s="62">
        <f>IF(Simulador!$I$18=TRUE,AJ13,0)</f>
        <v>0</v>
      </c>
      <c r="AK15" s="62">
        <f>IF(Simulador!$I$18=TRUE,AK13,0)</f>
        <v>0</v>
      </c>
      <c r="AL15" s="62">
        <f>IF(Simulador!$I$18=TRUE,AL13,0)</f>
        <v>0</v>
      </c>
      <c r="AM15" s="62">
        <f>IF(Simulador!$I$18=TRUE,AM13,0)</f>
        <v>0</v>
      </c>
      <c r="AN15" s="62">
        <f>IF(Simulador!$I$18=TRUE,AN13,0)</f>
        <v>0</v>
      </c>
      <c r="AO15" s="62">
        <f>IF(Simulador!$I$18=TRUE,AO13,0)</f>
        <v>0</v>
      </c>
      <c r="AP15" s="62">
        <f>IF(Simulador!$I$18=TRUE,AP13,0)</f>
        <v>0</v>
      </c>
      <c r="AQ15" s="62">
        <f>IF(Simulador!$I$18=TRUE,AQ13,0)</f>
        <v>0</v>
      </c>
      <c r="AR15" s="62">
        <f>IF(Simulador!$I$18=TRUE,AR13,0)</f>
        <v>0</v>
      </c>
      <c r="AS15" s="62">
        <f>IF(Simulador!$I$18=TRUE,AS13,0)</f>
        <v>0</v>
      </c>
      <c r="AT15" s="62">
        <f>IF(Simulador!$I$18=TRUE,AT13,0)</f>
        <v>0</v>
      </c>
      <c r="AU15" s="62">
        <f>IF(Simulador!$I$18=TRUE,AU13,0)</f>
        <v>0</v>
      </c>
      <c r="AV15" s="62">
        <f>IF(Simulador!$I$18=TRUE,AV13,0)</f>
        <v>0</v>
      </c>
      <c r="AW15" s="62">
        <f>IF(Simulador!$I$18=TRUE,AW13,0)</f>
        <v>0</v>
      </c>
      <c r="AX15" s="62">
        <f>IF(Simulador!$I$18=TRUE,AX13,0)</f>
        <v>0</v>
      </c>
      <c r="AY15" s="62">
        <f>IF(Simulador!$I$18=TRUE,AY13,0)</f>
        <v>0</v>
      </c>
      <c r="AZ15" s="62">
        <f>IF(Simulador!$I$18=TRUE,AZ13,0)</f>
        <v>0</v>
      </c>
      <c r="BA15" s="62">
        <f>IF(Simulador!$I$18=TRUE,BA13,0)</f>
        <v>0</v>
      </c>
      <c r="BB15" s="62">
        <f>IF(Simulador!$I$18=TRUE,BB13,0)</f>
        <v>0</v>
      </c>
      <c r="BC15" s="62">
        <f>IF(Simulador!$I$18=TRUE,BC13,0)</f>
        <v>0</v>
      </c>
      <c r="BD15" s="62">
        <f>IF(Simulador!$I$18=TRUE,BD13,0)</f>
        <v>0</v>
      </c>
      <c r="BE15" s="62">
        <f>IF(Simulador!$I$18=TRUE,BE13,0)</f>
        <v>0</v>
      </c>
      <c r="BF15" s="62">
        <f>IF(Simulador!$I$18=TRUE,BF13,0)</f>
        <v>0</v>
      </c>
      <c r="BG15" s="62">
        <f>IF(Simulador!$I$18=TRUE,BG13,0)</f>
        <v>0</v>
      </c>
      <c r="BH15" s="62">
        <f>IF(Simulador!$I$18=TRUE,BH13,0)</f>
        <v>0</v>
      </c>
      <c r="BI15" s="62">
        <f>IF(Simulador!$I$18=TRUE,BI13,0)</f>
        <v>0</v>
      </c>
      <c r="BJ15" s="62">
        <f>IF(Simulador!$I$18=TRUE,BJ13,0)</f>
        <v>0</v>
      </c>
      <c r="BK15" s="62">
        <f>IF(Simulador!$I$18=TRUE,BK13,0)</f>
        <v>0</v>
      </c>
      <c r="BL15" s="62">
        <f>IF(Simulador!$I$18=TRUE,BL13,0)</f>
        <v>0</v>
      </c>
      <c r="BM15" s="62">
        <f>IF(Simulador!$I$18=TRUE,BM13,0)</f>
        <v>0</v>
      </c>
      <c r="BN15" s="62">
        <f>IF(Simulador!$I$18=TRUE,BN13,0)</f>
        <v>0</v>
      </c>
      <c r="BO15" s="62">
        <f>IF(Simulador!$I$18=TRUE,BO13,0)</f>
        <v>0</v>
      </c>
      <c r="BP15" s="62">
        <f>IF(Simulador!$I$18=TRUE,BP13,0)</f>
        <v>0</v>
      </c>
      <c r="BQ15" s="62">
        <f>IF(Simulador!$I$18=TRUE,BQ13,0)</f>
        <v>0</v>
      </c>
      <c r="BR15" s="62">
        <f>IF(Simulador!$I$18=TRUE,BR13,0)</f>
        <v>0</v>
      </c>
      <c r="BS15" s="62">
        <f>IF(Simulador!$I$18=TRUE,BS13,0)</f>
        <v>0</v>
      </c>
      <c r="BT15" s="62">
        <f>IF(Simulador!$I$18=TRUE,BT13,0)</f>
        <v>0</v>
      </c>
      <c r="BU15" s="62">
        <f>IF(Simulador!$I$18=TRUE,BU13,0)</f>
        <v>0</v>
      </c>
      <c r="BV15" s="62">
        <f>IF(Simulador!$I$18=TRUE,BV13,0)</f>
        <v>0</v>
      </c>
      <c r="BW15" s="62">
        <f>IF(Simulador!$I$18=TRUE,BW13,0)</f>
        <v>0</v>
      </c>
      <c r="BX15" s="62">
        <f>IF(Simulador!$I$18=TRUE,BX13,0)</f>
        <v>0</v>
      </c>
      <c r="BY15" s="62">
        <f>IF(Simulador!$I$18=TRUE,BY13,0)</f>
        <v>0</v>
      </c>
      <c r="BZ15" s="62">
        <f>IF(Simulador!$I$18=TRUE,BZ13,0)</f>
        <v>0</v>
      </c>
      <c r="CA15" s="62">
        <f>IF(Simulador!$I$18=TRUE,CA13,0)</f>
        <v>0</v>
      </c>
      <c r="CB15" s="62">
        <f>IF(Simulador!$I$18=TRUE,CB13,0)</f>
        <v>0</v>
      </c>
      <c r="CC15" s="62">
        <f>IF(Simulador!$I$18=TRUE,CC13,0)</f>
        <v>0</v>
      </c>
      <c r="CD15" s="62">
        <f>IF(Simulador!$I$18=TRUE,CD13,0)</f>
        <v>0</v>
      </c>
      <c r="CE15" s="62">
        <f>IF(Simulador!$I$18=TRUE,CE13,0)</f>
        <v>0</v>
      </c>
      <c r="CF15" s="62">
        <f>IF(Simulador!$I$18=TRUE,CF13,0)</f>
        <v>0</v>
      </c>
      <c r="CG15" s="62">
        <f>IF(Simulador!$I$18=TRUE,CG13,0)</f>
        <v>0</v>
      </c>
      <c r="CH15" s="62">
        <f>IF(Simulador!$I$18=TRUE,CH13,0)</f>
        <v>0</v>
      </c>
      <c r="CI15" s="62">
        <f>IF(Simulador!$I$18=TRUE,CI13,0)</f>
        <v>0</v>
      </c>
      <c r="CJ15" s="62">
        <f>IF(Simulador!$I$18=TRUE,CJ13,0)</f>
        <v>0</v>
      </c>
      <c r="CK15" s="62">
        <f>IF(Simulador!$I$18=TRUE,CK13,0)</f>
        <v>0</v>
      </c>
      <c r="CL15" s="62">
        <f>IF(Simulador!$I$18=TRUE,CL13,0)</f>
        <v>0</v>
      </c>
      <c r="CM15" s="62">
        <f>IF(Simulador!$I$18=TRUE,CM13,0)</f>
        <v>0</v>
      </c>
      <c r="CN15" s="62">
        <f>IF(Simulador!$I$18=TRUE,CN13,0)</f>
        <v>0</v>
      </c>
      <c r="CO15" s="62">
        <f>IF(Simulador!$I$18=TRUE,CO13,0)</f>
        <v>0</v>
      </c>
      <c r="CP15" s="62">
        <f>IF(Simulador!$I$18=TRUE,CP13,0)</f>
        <v>0</v>
      </c>
      <c r="CQ15" s="62">
        <f>IF(Simulador!$I$18=TRUE,CQ13,0)</f>
        <v>0</v>
      </c>
      <c r="CR15" s="62">
        <f>IF(Simulador!$I$18=TRUE,CR13,0)</f>
        <v>0</v>
      </c>
      <c r="CS15" s="62">
        <f>IF(Simulador!$I$18=TRUE,CS13,0)</f>
        <v>0</v>
      </c>
      <c r="CT15" s="62">
        <f>IF(Simulador!$I$18=TRUE,CT13,0)</f>
        <v>0</v>
      </c>
      <c r="CU15" s="62">
        <f>IF(Simulador!$I$18=TRUE,CU13,0)</f>
        <v>0</v>
      </c>
      <c r="CV15" s="62">
        <f>IF(Simulador!$I$18=TRUE,CV13,0)</f>
        <v>0</v>
      </c>
      <c r="CW15" s="62">
        <f>IF(Simulador!$I$18=TRUE,CW13,0)</f>
        <v>0</v>
      </c>
      <c r="CX15" s="62">
        <f>IF(Simulador!$I$18=TRUE,CX13,0)</f>
        <v>0</v>
      </c>
      <c r="CY15" s="62">
        <f>IF(Simulador!$I$18=TRUE,CY13,0)</f>
        <v>0</v>
      </c>
      <c r="CZ15" s="62">
        <f>IF(Simulador!$I$18=TRUE,CZ13,0)</f>
        <v>0</v>
      </c>
      <c r="DA15" s="62">
        <f>IF(Simulador!$I$18=TRUE,DA13,0)</f>
        <v>0</v>
      </c>
      <c r="DB15" s="62">
        <f>IF(Simulador!$I$18=TRUE,DB13,0)</f>
        <v>0</v>
      </c>
      <c r="DC15" s="62">
        <f>IF(Simulador!$I$18=TRUE,DC13,0)</f>
        <v>0</v>
      </c>
      <c r="DD15" s="62">
        <f>IF(Simulador!$I$18=TRUE,DD13,0)</f>
        <v>0</v>
      </c>
      <c r="DE15" s="62">
        <f>IF(Simulador!$I$18=TRUE,DE13,0)</f>
        <v>0</v>
      </c>
      <c r="DF15" s="62">
        <f>IF(Simulador!$I$18=TRUE,DF13,0)</f>
        <v>0</v>
      </c>
      <c r="DG15" s="62">
        <f>IF(Simulador!$I$18=TRUE,DG13,0)</f>
        <v>0</v>
      </c>
      <c r="DH15" s="62">
        <f>IF(Simulador!$I$18=TRUE,DH13,0)</f>
        <v>0</v>
      </c>
      <c r="DI15" s="62">
        <f>IF(Simulador!$I$18=TRUE,DI13,0)</f>
        <v>0</v>
      </c>
      <c r="DJ15" s="62">
        <f>IF(Simulador!$I$18=TRUE,DJ13,0)</f>
        <v>0</v>
      </c>
      <c r="DK15" s="62">
        <f>IF(Simulador!$I$18=TRUE,DK13,0)</f>
        <v>0</v>
      </c>
      <c r="DL15" s="62">
        <f>IF(Simulador!$I$18=TRUE,DL13,0)</f>
        <v>0</v>
      </c>
      <c r="DM15" s="62">
        <f>IF(Simulador!$I$18=TRUE,DM13,0)</f>
        <v>0</v>
      </c>
      <c r="DN15" s="62">
        <f>IF(Simulador!$I$18=TRUE,DN13,0)</f>
        <v>0</v>
      </c>
      <c r="DO15" s="62">
        <f>IF(Simulador!$I$18=TRUE,DO13,0)</f>
        <v>0</v>
      </c>
      <c r="DP15" s="62">
        <f>IF(Simulador!$I$18=TRUE,DP13,0)</f>
        <v>0</v>
      </c>
      <c r="DQ15" s="62">
        <f>IF(Simulador!$I$18=TRUE,DQ13,0)</f>
        <v>0</v>
      </c>
      <c r="DR15" s="62">
        <f>IF(Simulador!$I$18=TRUE,DR13,0)</f>
        <v>0</v>
      </c>
      <c r="DS15" s="62">
        <f>IF(Simulador!$I$18=TRUE,DS13,0)</f>
        <v>0</v>
      </c>
      <c r="DT15" s="62">
        <f>IF(Simulador!$I$18=TRUE,DT13,0)</f>
        <v>0</v>
      </c>
      <c r="DU15" s="62">
        <f>IF(Simulador!$I$18=TRUE,DU13,0)</f>
        <v>0</v>
      </c>
      <c r="DV15" s="62">
        <f>IF(Simulador!$I$18=TRUE,DV13,0)</f>
        <v>0</v>
      </c>
      <c r="DW15" s="62">
        <f>IF(Simulador!$I$18=TRUE,DW13,0)</f>
        <v>0</v>
      </c>
      <c r="DX15" s="62">
        <f>IF(Simulador!$I$18=TRUE,DX13,0)</f>
        <v>0</v>
      </c>
      <c r="DY15" s="62">
        <f>IF(Simulador!$I$18=TRUE,DY13,0)</f>
        <v>0</v>
      </c>
      <c r="DZ15" s="62">
        <f>IF(Simulador!$I$18=TRUE,DZ13,0)</f>
        <v>0</v>
      </c>
      <c r="EA15" s="62">
        <f>IF(Simulador!$I$18=TRUE,EA13,0)</f>
        <v>0</v>
      </c>
      <c r="EB15" s="62">
        <f>IF(Simulador!$I$18=TRUE,EB13,0)</f>
        <v>0</v>
      </c>
      <c r="EC15" s="62">
        <f>IF(Simulador!$I$18=TRUE,EC13,0)</f>
        <v>0</v>
      </c>
      <c r="ED15" s="62">
        <f>IF(Simulador!$I$18=TRUE,ED13,0)</f>
        <v>0</v>
      </c>
    </row>
    <row r="16" spans="2:135" ht="12.5" x14ac:dyDescent="0.25">
      <c r="C16" s="53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53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</row>
    <row r="18" spans="1:135" ht="13" x14ac:dyDescent="0.3">
      <c r="B18" s="38" t="s">
        <v>191</v>
      </c>
      <c r="C18" s="53"/>
      <c r="D18" s="67" t="e">
        <f t="shared" ref="D18:M18" si="12">SUM(D19:D23)</f>
        <v>#DIV/0!</v>
      </c>
      <c r="E18" s="67" t="e">
        <f t="shared" si="12"/>
        <v>#DIV/0!</v>
      </c>
      <c r="F18" s="67" t="e">
        <f t="shared" si="12"/>
        <v>#DIV/0!</v>
      </c>
      <c r="G18" s="67" t="e">
        <f t="shared" si="12"/>
        <v>#DIV/0!</v>
      </c>
      <c r="H18" s="67" t="e">
        <f t="shared" si="12"/>
        <v>#DIV/0!</v>
      </c>
      <c r="I18" s="67" t="e">
        <f t="shared" si="12"/>
        <v>#DIV/0!</v>
      </c>
      <c r="J18" s="67" t="e">
        <f t="shared" si="12"/>
        <v>#DIV/0!</v>
      </c>
      <c r="K18" s="67" t="e">
        <f t="shared" si="12"/>
        <v>#DIV/0!</v>
      </c>
      <c r="L18" s="67" t="e">
        <f t="shared" si="12"/>
        <v>#DIV/0!</v>
      </c>
      <c r="M18" s="67" t="e">
        <f t="shared" si="12"/>
        <v>#DIV/0!</v>
      </c>
      <c r="N18" s="53"/>
      <c r="O18" s="67" t="e">
        <f t="shared" ref="O18:ED18" si="13">SUM(O19:O23)</f>
        <v>#DIV/0!</v>
      </c>
      <c r="P18" s="67" t="e">
        <f t="shared" si="13"/>
        <v>#DIV/0!</v>
      </c>
      <c r="Q18" s="67" t="e">
        <f t="shared" si="13"/>
        <v>#DIV/0!</v>
      </c>
      <c r="R18" s="67" t="e">
        <f t="shared" si="13"/>
        <v>#DIV/0!</v>
      </c>
      <c r="S18" s="67" t="e">
        <f t="shared" si="13"/>
        <v>#DIV/0!</v>
      </c>
      <c r="T18" s="67" t="e">
        <f t="shared" si="13"/>
        <v>#DIV/0!</v>
      </c>
      <c r="U18" s="67" t="e">
        <f t="shared" si="13"/>
        <v>#DIV/0!</v>
      </c>
      <c r="V18" s="67" t="e">
        <f t="shared" si="13"/>
        <v>#DIV/0!</v>
      </c>
      <c r="W18" s="67" t="e">
        <f t="shared" si="13"/>
        <v>#DIV/0!</v>
      </c>
      <c r="X18" s="67" t="e">
        <f t="shared" si="13"/>
        <v>#DIV/0!</v>
      </c>
      <c r="Y18" s="67" t="e">
        <f t="shared" si="13"/>
        <v>#DIV/0!</v>
      </c>
      <c r="Z18" s="67" t="e">
        <f t="shared" si="13"/>
        <v>#DIV/0!</v>
      </c>
      <c r="AA18" s="67" t="e">
        <f t="shared" si="13"/>
        <v>#DIV/0!</v>
      </c>
      <c r="AB18" s="67" t="e">
        <f t="shared" si="13"/>
        <v>#DIV/0!</v>
      </c>
      <c r="AC18" s="67" t="e">
        <f t="shared" si="13"/>
        <v>#DIV/0!</v>
      </c>
      <c r="AD18" s="67" t="e">
        <f t="shared" si="13"/>
        <v>#DIV/0!</v>
      </c>
      <c r="AE18" s="67" t="e">
        <f t="shared" si="13"/>
        <v>#DIV/0!</v>
      </c>
      <c r="AF18" s="67" t="e">
        <f t="shared" si="13"/>
        <v>#DIV/0!</v>
      </c>
      <c r="AG18" s="67" t="e">
        <f t="shared" si="13"/>
        <v>#DIV/0!</v>
      </c>
      <c r="AH18" s="67" t="e">
        <f t="shared" si="13"/>
        <v>#DIV/0!</v>
      </c>
      <c r="AI18" s="67" t="e">
        <f t="shared" si="13"/>
        <v>#DIV/0!</v>
      </c>
      <c r="AJ18" s="67" t="e">
        <f t="shared" si="13"/>
        <v>#DIV/0!</v>
      </c>
      <c r="AK18" s="67" t="e">
        <f t="shared" si="13"/>
        <v>#DIV/0!</v>
      </c>
      <c r="AL18" s="67" t="e">
        <f t="shared" si="13"/>
        <v>#DIV/0!</v>
      </c>
      <c r="AM18" s="67" t="e">
        <f t="shared" si="13"/>
        <v>#DIV/0!</v>
      </c>
      <c r="AN18" s="67" t="e">
        <f t="shared" si="13"/>
        <v>#DIV/0!</v>
      </c>
      <c r="AO18" s="67" t="e">
        <f t="shared" si="13"/>
        <v>#DIV/0!</v>
      </c>
      <c r="AP18" s="67" t="e">
        <f t="shared" si="13"/>
        <v>#DIV/0!</v>
      </c>
      <c r="AQ18" s="67" t="e">
        <f t="shared" si="13"/>
        <v>#DIV/0!</v>
      </c>
      <c r="AR18" s="67" t="e">
        <f t="shared" si="13"/>
        <v>#DIV/0!</v>
      </c>
      <c r="AS18" s="67" t="e">
        <f t="shared" si="13"/>
        <v>#DIV/0!</v>
      </c>
      <c r="AT18" s="67" t="e">
        <f t="shared" si="13"/>
        <v>#DIV/0!</v>
      </c>
      <c r="AU18" s="67" t="e">
        <f t="shared" si="13"/>
        <v>#DIV/0!</v>
      </c>
      <c r="AV18" s="67" t="e">
        <f t="shared" si="13"/>
        <v>#DIV/0!</v>
      </c>
      <c r="AW18" s="67" t="e">
        <f t="shared" si="13"/>
        <v>#DIV/0!</v>
      </c>
      <c r="AX18" s="67" t="e">
        <f t="shared" si="13"/>
        <v>#DIV/0!</v>
      </c>
      <c r="AY18" s="67" t="e">
        <f t="shared" si="13"/>
        <v>#DIV/0!</v>
      </c>
      <c r="AZ18" s="67" t="e">
        <f t="shared" si="13"/>
        <v>#DIV/0!</v>
      </c>
      <c r="BA18" s="67" t="e">
        <f t="shared" si="13"/>
        <v>#DIV/0!</v>
      </c>
      <c r="BB18" s="67" t="e">
        <f t="shared" si="13"/>
        <v>#DIV/0!</v>
      </c>
      <c r="BC18" s="67" t="e">
        <f t="shared" si="13"/>
        <v>#DIV/0!</v>
      </c>
      <c r="BD18" s="67" t="e">
        <f t="shared" si="13"/>
        <v>#DIV/0!</v>
      </c>
      <c r="BE18" s="67" t="e">
        <f t="shared" si="13"/>
        <v>#DIV/0!</v>
      </c>
      <c r="BF18" s="67" t="e">
        <f t="shared" si="13"/>
        <v>#DIV/0!</v>
      </c>
      <c r="BG18" s="67" t="e">
        <f t="shared" si="13"/>
        <v>#DIV/0!</v>
      </c>
      <c r="BH18" s="67" t="e">
        <f t="shared" si="13"/>
        <v>#DIV/0!</v>
      </c>
      <c r="BI18" s="67" t="e">
        <f t="shared" si="13"/>
        <v>#DIV/0!</v>
      </c>
      <c r="BJ18" s="67" t="e">
        <f t="shared" si="13"/>
        <v>#DIV/0!</v>
      </c>
      <c r="BK18" s="67" t="e">
        <f t="shared" si="13"/>
        <v>#DIV/0!</v>
      </c>
      <c r="BL18" s="67" t="e">
        <f t="shared" si="13"/>
        <v>#DIV/0!</v>
      </c>
      <c r="BM18" s="67" t="e">
        <f t="shared" si="13"/>
        <v>#DIV/0!</v>
      </c>
      <c r="BN18" s="67" t="e">
        <f t="shared" si="13"/>
        <v>#DIV/0!</v>
      </c>
      <c r="BO18" s="67" t="e">
        <f t="shared" si="13"/>
        <v>#DIV/0!</v>
      </c>
      <c r="BP18" s="67" t="e">
        <f t="shared" si="13"/>
        <v>#DIV/0!</v>
      </c>
      <c r="BQ18" s="67" t="e">
        <f t="shared" si="13"/>
        <v>#DIV/0!</v>
      </c>
      <c r="BR18" s="67" t="e">
        <f t="shared" si="13"/>
        <v>#DIV/0!</v>
      </c>
      <c r="BS18" s="67" t="e">
        <f t="shared" si="13"/>
        <v>#DIV/0!</v>
      </c>
      <c r="BT18" s="67" t="e">
        <f t="shared" si="13"/>
        <v>#DIV/0!</v>
      </c>
      <c r="BU18" s="67" t="e">
        <f t="shared" si="13"/>
        <v>#DIV/0!</v>
      </c>
      <c r="BV18" s="67" t="e">
        <f t="shared" si="13"/>
        <v>#DIV/0!</v>
      </c>
      <c r="BW18" s="67" t="e">
        <f t="shared" si="13"/>
        <v>#DIV/0!</v>
      </c>
      <c r="BX18" s="67" t="e">
        <f t="shared" si="13"/>
        <v>#DIV/0!</v>
      </c>
      <c r="BY18" s="67" t="e">
        <f t="shared" si="13"/>
        <v>#DIV/0!</v>
      </c>
      <c r="BZ18" s="67" t="e">
        <f t="shared" si="13"/>
        <v>#DIV/0!</v>
      </c>
      <c r="CA18" s="67" t="e">
        <f t="shared" si="13"/>
        <v>#DIV/0!</v>
      </c>
      <c r="CB18" s="67" t="e">
        <f t="shared" si="13"/>
        <v>#DIV/0!</v>
      </c>
      <c r="CC18" s="67" t="e">
        <f t="shared" si="13"/>
        <v>#DIV/0!</v>
      </c>
      <c r="CD18" s="67" t="e">
        <f t="shared" si="13"/>
        <v>#DIV/0!</v>
      </c>
      <c r="CE18" s="67" t="e">
        <f t="shared" si="13"/>
        <v>#DIV/0!</v>
      </c>
      <c r="CF18" s="67" t="e">
        <f t="shared" si="13"/>
        <v>#DIV/0!</v>
      </c>
      <c r="CG18" s="67" t="e">
        <f t="shared" si="13"/>
        <v>#DIV/0!</v>
      </c>
      <c r="CH18" s="67" t="e">
        <f t="shared" si="13"/>
        <v>#DIV/0!</v>
      </c>
      <c r="CI18" s="67" t="e">
        <f t="shared" si="13"/>
        <v>#DIV/0!</v>
      </c>
      <c r="CJ18" s="67" t="e">
        <f t="shared" si="13"/>
        <v>#DIV/0!</v>
      </c>
      <c r="CK18" s="67" t="e">
        <f t="shared" si="13"/>
        <v>#DIV/0!</v>
      </c>
      <c r="CL18" s="67" t="e">
        <f t="shared" si="13"/>
        <v>#DIV/0!</v>
      </c>
      <c r="CM18" s="67" t="e">
        <f t="shared" si="13"/>
        <v>#DIV/0!</v>
      </c>
      <c r="CN18" s="67" t="e">
        <f t="shared" si="13"/>
        <v>#DIV/0!</v>
      </c>
      <c r="CO18" s="67" t="e">
        <f t="shared" si="13"/>
        <v>#DIV/0!</v>
      </c>
      <c r="CP18" s="67" t="e">
        <f t="shared" si="13"/>
        <v>#DIV/0!</v>
      </c>
      <c r="CQ18" s="67" t="e">
        <f t="shared" si="13"/>
        <v>#DIV/0!</v>
      </c>
      <c r="CR18" s="67" t="e">
        <f t="shared" si="13"/>
        <v>#DIV/0!</v>
      </c>
      <c r="CS18" s="67" t="e">
        <f t="shared" si="13"/>
        <v>#DIV/0!</v>
      </c>
      <c r="CT18" s="67" t="e">
        <f t="shared" si="13"/>
        <v>#DIV/0!</v>
      </c>
      <c r="CU18" s="67" t="e">
        <f t="shared" si="13"/>
        <v>#DIV/0!</v>
      </c>
      <c r="CV18" s="67" t="e">
        <f t="shared" si="13"/>
        <v>#DIV/0!</v>
      </c>
      <c r="CW18" s="67" t="e">
        <f t="shared" si="13"/>
        <v>#DIV/0!</v>
      </c>
      <c r="CX18" s="67" t="e">
        <f t="shared" si="13"/>
        <v>#DIV/0!</v>
      </c>
      <c r="CY18" s="67" t="e">
        <f t="shared" si="13"/>
        <v>#DIV/0!</v>
      </c>
      <c r="CZ18" s="67" t="e">
        <f t="shared" si="13"/>
        <v>#DIV/0!</v>
      </c>
      <c r="DA18" s="67" t="e">
        <f t="shared" si="13"/>
        <v>#DIV/0!</v>
      </c>
      <c r="DB18" s="67" t="e">
        <f t="shared" si="13"/>
        <v>#DIV/0!</v>
      </c>
      <c r="DC18" s="67" t="e">
        <f t="shared" si="13"/>
        <v>#DIV/0!</v>
      </c>
      <c r="DD18" s="67" t="e">
        <f t="shared" si="13"/>
        <v>#DIV/0!</v>
      </c>
      <c r="DE18" s="67" t="e">
        <f t="shared" si="13"/>
        <v>#DIV/0!</v>
      </c>
      <c r="DF18" s="67" t="e">
        <f t="shared" si="13"/>
        <v>#DIV/0!</v>
      </c>
      <c r="DG18" s="67" t="e">
        <f t="shared" si="13"/>
        <v>#DIV/0!</v>
      </c>
      <c r="DH18" s="67" t="e">
        <f t="shared" si="13"/>
        <v>#DIV/0!</v>
      </c>
      <c r="DI18" s="67" t="e">
        <f t="shared" si="13"/>
        <v>#DIV/0!</v>
      </c>
      <c r="DJ18" s="67" t="e">
        <f t="shared" si="13"/>
        <v>#DIV/0!</v>
      </c>
      <c r="DK18" s="67" t="e">
        <f t="shared" si="13"/>
        <v>#DIV/0!</v>
      </c>
      <c r="DL18" s="67" t="e">
        <f t="shared" si="13"/>
        <v>#DIV/0!</v>
      </c>
      <c r="DM18" s="67" t="e">
        <f t="shared" si="13"/>
        <v>#DIV/0!</v>
      </c>
      <c r="DN18" s="67" t="e">
        <f t="shared" si="13"/>
        <v>#DIV/0!</v>
      </c>
      <c r="DO18" s="67" t="e">
        <f t="shared" si="13"/>
        <v>#DIV/0!</v>
      </c>
      <c r="DP18" s="67" t="e">
        <f t="shared" si="13"/>
        <v>#DIV/0!</v>
      </c>
      <c r="DQ18" s="67" t="e">
        <f t="shared" si="13"/>
        <v>#DIV/0!</v>
      </c>
      <c r="DR18" s="67" t="e">
        <f t="shared" si="13"/>
        <v>#DIV/0!</v>
      </c>
      <c r="DS18" s="67" t="e">
        <f t="shared" si="13"/>
        <v>#DIV/0!</v>
      </c>
      <c r="DT18" s="67" t="e">
        <f t="shared" si="13"/>
        <v>#DIV/0!</v>
      </c>
      <c r="DU18" s="67" t="e">
        <f t="shared" si="13"/>
        <v>#DIV/0!</v>
      </c>
      <c r="DV18" s="67" t="e">
        <f t="shared" si="13"/>
        <v>#DIV/0!</v>
      </c>
      <c r="DW18" s="67" t="e">
        <f t="shared" si="13"/>
        <v>#DIV/0!</v>
      </c>
      <c r="DX18" s="67" t="e">
        <f t="shared" si="13"/>
        <v>#DIV/0!</v>
      </c>
      <c r="DY18" s="67" t="e">
        <f t="shared" si="13"/>
        <v>#DIV/0!</v>
      </c>
      <c r="DZ18" s="67" t="e">
        <f t="shared" si="13"/>
        <v>#DIV/0!</v>
      </c>
      <c r="EA18" s="67" t="e">
        <f t="shared" si="13"/>
        <v>#DIV/0!</v>
      </c>
      <c r="EB18" s="67" t="e">
        <f t="shared" si="13"/>
        <v>#DIV/0!</v>
      </c>
      <c r="EC18" s="67" t="e">
        <f t="shared" si="13"/>
        <v>#DIV/0!</v>
      </c>
      <c r="ED18" s="67" t="e">
        <f t="shared" si="13"/>
        <v>#DIV/0!</v>
      </c>
    </row>
    <row r="19" spans="1:135" ht="12.5" x14ac:dyDescent="0.25">
      <c r="B19" s="46" t="s">
        <v>192</v>
      </c>
      <c r="C19" s="53"/>
      <c r="D19" s="62" t="e">
        <f t="shared" ref="D19:H19" si="14">SUMIFS($O19:$BV19,$O$4:$BV$4,D$3)</f>
        <v>#DIV/0!</v>
      </c>
      <c r="E19" s="62" t="e">
        <f t="shared" si="14"/>
        <v>#DIV/0!</v>
      </c>
      <c r="F19" s="62" t="e">
        <f t="shared" si="14"/>
        <v>#DIV/0!</v>
      </c>
      <c r="G19" s="62" t="e">
        <f t="shared" si="14"/>
        <v>#DIV/0!</v>
      </c>
      <c r="H19" s="62" t="e">
        <f t="shared" si="14"/>
        <v>#DIV/0!</v>
      </c>
      <c r="I19" s="62" t="e">
        <f t="shared" ref="I19:M19" si="15">SUMIFS($O19:$ED19,$O$4:$ED$4,I$3)</f>
        <v>#DIV/0!</v>
      </c>
      <c r="J19" s="62" t="e">
        <f t="shared" si="15"/>
        <v>#DIV/0!</v>
      </c>
      <c r="K19" s="62" t="e">
        <f t="shared" si="15"/>
        <v>#DIV/0!</v>
      </c>
      <c r="L19" s="62" t="e">
        <f t="shared" si="15"/>
        <v>#DIV/0!</v>
      </c>
      <c r="M19" s="62" t="e">
        <f t="shared" si="15"/>
        <v>#DIV/0!</v>
      </c>
      <c r="N19" s="53"/>
      <c r="O19" s="62">
        <f>IF(O$1&lt;=Simulador!$I$37,0,O9*Simulador!$I$23)</f>
        <v>0</v>
      </c>
      <c r="P19" s="62" t="e">
        <f>IF(P$1&lt;=Simulador!$I$37,0,P9*Simulador!$I$23)</f>
        <v>#DIV/0!</v>
      </c>
      <c r="Q19" s="62" t="e">
        <f>IF(Q$1&lt;=Simulador!$I$37,0,Q9*Simulador!$I$23)</f>
        <v>#DIV/0!</v>
      </c>
      <c r="R19" s="62" t="e">
        <f>IF(R$1&lt;=Simulador!$I$37,0,R9*Simulador!$I$23)</f>
        <v>#DIV/0!</v>
      </c>
      <c r="S19" s="62" t="e">
        <f>IF(S$1&lt;=Simulador!$I$37,0,S9*Simulador!$I$23)</f>
        <v>#DIV/0!</v>
      </c>
      <c r="T19" s="62" t="e">
        <f>IF(T$1&lt;=Simulador!$I$37,0,T9*Simulador!$I$23)</f>
        <v>#DIV/0!</v>
      </c>
      <c r="U19" s="62" t="e">
        <f>IF(U$1&lt;=Simulador!$I$37,0,U9*Simulador!$I$23)</f>
        <v>#DIV/0!</v>
      </c>
      <c r="V19" s="62" t="e">
        <f>IF(V$1&lt;=Simulador!$I$37,0,V9*Simulador!$I$23)</f>
        <v>#DIV/0!</v>
      </c>
      <c r="W19" s="62" t="e">
        <f>IF(W$1&lt;=Simulador!$I$37,0,W9*Simulador!$I$23)</f>
        <v>#DIV/0!</v>
      </c>
      <c r="X19" s="62" t="e">
        <f>IF(X$1&lt;=Simulador!$I$37,0,X9*Simulador!$I$23)</f>
        <v>#DIV/0!</v>
      </c>
      <c r="Y19" s="62" t="e">
        <f>IF(Y$1&lt;=Simulador!$I$37,0,Y9*Simulador!$I$23)</f>
        <v>#DIV/0!</v>
      </c>
      <c r="Z19" s="62" t="e">
        <f>IF(Z$1&lt;=Simulador!$I$37,0,Z9*Simulador!$I$23)</f>
        <v>#DIV/0!</v>
      </c>
      <c r="AA19" s="62" t="e">
        <f>IF(AA$1&lt;=Simulador!$I$37,0,AA9*Simulador!$I$23)</f>
        <v>#DIV/0!</v>
      </c>
      <c r="AB19" s="62" t="e">
        <f>IF(AB$1&lt;=Simulador!$I$37,0,AB9*Simulador!$I$23)</f>
        <v>#DIV/0!</v>
      </c>
      <c r="AC19" s="62" t="e">
        <f>IF(AC$1&lt;=Simulador!$I$37,0,AC9*Simulador!$I$23)</f>
        <v>#DIV/0!</v>
      </c>
      <c r="AD19" s="62" t="e">
        <f>IF(AD$1&lt;=Simulador!$I$37,0,AD9*Simulador!$I$23)</f>
        <v>#DIV/0!</v>
      </c>
      <c r="AE19" s="62" t="e">
        <f>IF(AE$1&lt;=Simulador!$I$37,0,AE9*Simulador!$I$23)</f>
        <v>#DIV/0!</v>
      </c>
      <c r="AF19" s="62" t="e">
        <f>IF(AF$1&lt;=Simulador!$I$37,0,AF9*Simulador!$I$23)</f>
        <v>#DIV/0!</v>
      </c>
      <c r="AG19" s="62" t="e">
        <f>IF(AG$1&lt;=Simulador!$I$37,0,AG9*Simulador!$I$23)</f>
        <v>#DIV/0!</v>
      </c>
      <c r="AH19" s="62" t="e">
        <f>IF(AH$1&lt;=Simulador!$I$37,0,AH9*Simulador!$I$23)</f>
        <v>#DIV/0!</v>
      </c>
      <c r="AI19" s="62" t="e">
        <f>IF(AI$1&lt;=Simulador!$I$37,0,AI9*Simulador!$I$23)</f>
        <v>#DIV/0!</v>
      </c>
      <c r="AJ19" s="62" t="e">
        <f>IF(AJ$1&lt;=Simulador!$I$37,0,AJ9*Simulador!$I$23)</f>
        <v>#DIV/0!</v>
      </c>
      <c r="AK19" s="62" t="e">
        <f>IF(AK$1&lt;=Simulador!$I$37,0,AK9*Simulador!$I$23)</f>
        <v>#DIV/0!</v>
      </c>
      <c r="AL19" s="62" t="e">
        <f>IF(AL$1&lt;=Simulador!$I$37,0,AL9*Simulador!$I$23)</f>
        <v>#DIV/0!</v>
      </c>
      <c r="AM19" s="62" t="e">
        <f>IF(AM$1&lt;=Simulador!$I$37,0,AM9*Simulador!$I$23)</f>
        <v>#DIV/0!</v>
      </c>
      <c r="AN19" s="62" t="e">
        <f>IF(AN$1&lt;=Simulador!$I$37,0,AN9*Simulador!$I$23)</f>
        <v>#DIV/0!</v>
      </c>
      <c r="AO19" s="62" t="e">
        <f>IF(AO$1&lt;=Simulador!$I$37,0,AO9*Simulador!$I$23)</f>
        <v>#DIV/0!</v>
      </c>
      <c r="AP19" s="62" t="e">
        <f>IF(AP$1&lt;=Simulador!$I$37,0,AP9*Simulador!$I$23)</f>
        <v>#DIV/0!</v>
      </c>
      <c r="AQ19" s="62" t="e">
        <f>IF(AQ$1&lt;=Simulador!$I$37,0,AQ9*Simulador!$I$23)</f>
        <v>#DIV/0!</v>
      </c>
      <c r="AR19" s="62" t="e">
        <f>IF(AR$1&lt;=Simulador!$I$37,0,AR9*Simulador!$I$23)</f>
        <v>#DIV/0!</v>
      </c>
      <c r="AS19" s="62" t="e">
        <f>IF(AS$1&lt;=Simulador!$I$37,0,AS9*Simulador!$I$23)</f>
        <v>#DIV/0!</v>
      </c>
      <c r="AT19" s="62" t="e">
        <f>IF(AT$1&lt;=Simulador!$I$37,0,AT9*Simulador!$I$23)</f>
        <v>#DIV/0!</v>
      </c>
      <c r="AU19" s="62" t="e">
        <f>IF(AU$1&lt;=Simulador!$I$37,0,AU9*Simulador!$I$23)</f>
        <v>#DIV/0!</v>
      </c>
      <c r="AV19" s="62" t="e">
        <f>IF(AV$1&lt;=Simulador!$I$37,0,AV9*Simulador!$I$23)</f>
        <v>#DIV/0!</v>
      </c>
      <c r="AW19" s="62" t="e">
        <f>IF(AW$1&lt;=Simulador!$I$37,0,AW9*Simulador!$I$23)</f>
        <v>#DIV/0!</v>
      </c>
      <c r="AX19" s="62" t="e">
        <f>IF(AX$1&lt;=Simulador!$I$37,0,AX9*Simulador!$I$23)</f>
        <v>#DIV/0!</v>
      </c>
      <c r="AY19" s="62" t="e">
        <f>IF(AY$1&lt;=Simulador!$I$37,0,AY9*Simulador!$I$23)</f>
        <v>#DIV/0!</v>
      </c>
      <c r="AZ19" s="62" t="e">
        <f>IF(AZ$1&lt;=Simulador!$I$37,0,AZ9*Simulador!$I$23)</f>
        <v>#DIV/0!</v>
      </c>
      <c r="BA19" s="62" t="e">
        <f>IF(BA$1&lt;=Simulador!$I$37,0,BA9*Simulador!$I$23)</f>
        <v>#DIV/0!</v>
      </c>
      <c r="BB19" s="62" t="e">
        <f>IF(BB$1&lt;=Simulador!$I$37,0,BB9*Simulador!$I$23)</f>
        <v>#DIV/0!</v>
      </c>
      <c r="BC19" s="62" t="e">
        <f>IF(BC$1&lt;=Simulador!$I$37,0,BC9*Simulador!$I$23)</f>
        <v>#DIV/0!</v>
      </c>
      <c r="BD19" s="62" t="e">
        <f>IF(BD$1&lt;=Simulador!$I$37,0,BD9*Simulador!$I$23)</f>
        <v>#DIV/0!</v>
      </c>
      <c r="BE19" s="62" t="e">
        <f>IF(BE$1&lt;=Simulador!$I$37,0,BE9*Simulador!$I$23)</f>
        <v>#DIV/0!</v>
      </c>
      <c r="BF19" s="62" t="e">
        <f>IF(BF$1&lt;=Simulador!$I$37,0,BF9*Simulador!$I$23)</f>
        <v>#DIV/0!</v>
      </c>
      <c r="BG19" s="62" t="e">
        <f>IF(BG$1&lt;=Simulador!$I$37,0,BG9*Simulador!$I$23)</f>
        <v>#DIV/0!</v>
      </c>
      <c r="BH19" s="62" t="e">
        <f>IF(BH$1&lt;=Simulador!$I$37,0,BH9*Simulador!$I$23)</f>
        <v>#DIV/0!</v>
      </c>
      <c r="BI19" s="62" t="e">
        <f>IF(BI$1&lt;=Simulador!$I$37,0,BI9*Simulador!$I$23)</f>
        <v>#DIV/0!</v>
      </c>
      <c r="BJ19" s="62" t="e">
        <f>IF(BJ$1&lt;=Simulador!$I$37,0,BJ9*Simulador!$I$23)</f>
        <v>#DIV/0!</v>
      </c>
      <c r="BK19" s="62" t="e">
        <f>IF(BK$1&lt;=Simulador!$I$37,0,BK9*Simulador!$I$23)</f>
        <v>#DIV/0!</v>
      </c>
      <c r="BL19" s="62" t="e">
        <f>IF(BL$1&lt;=Simulador!$I$37,0,BL9*Simulador!$I$23)</f>
        <v>#DIV/0!</v>
      </c>
      <c r="BM19" s="62" t="e">
        <f>IF(BM$1&lt;=Simulador!$I$37,0,BM9*Simulador!$I$23)</f>
        <v>#DIV/0!</v>
      </c>
      <c r="BN19" s="62" t="e">
        <f>IF(BN$1&lt;=Simulador!$I$37,0,BN9*Simulador!$I$23)</f>
        <v>#DIV/0!</v>
      </c>
      <c r="BO19" s="62" t="e">
        <f>IF(BO$1&lt;=Simulador!$I$37,0,BO9*Simulador!$I$23)</f>
        <v>#DIV/0!</v>
      </c>
      <c r="BP19" s="62" t="e">
        <f>IF(BP$1&lt;=Simulador!$I$37,0,BP9*Simulador!$I$23)</f>
        <v>#DIV/0!</v>
      </c>
      <c r="BQ19" s="62" t="e">
        <f>IF(BQ$1&lt;=Simulador!$I$37,0,BQ9*Simulador!$I$23)</f>
        <v>#DIV/0!</v>
      </c>
      <c r="BR19" s="62" t="e">
        <f>IF(BR$1&lt;=Simulador!$I$37,0,BR9*Simulador!$I$23)</f>
        <v>#DIV/0!</v>
      </c>
      <c r="BS19" s="62" t="e">
        <f>IF(BS$1&lt;=Simulador!$I$37,0,BS9*Simulador!$I$23)</f>
        <v>#DIV/0!</v>
      </c>
      <c r="BT19" s="62" t="e">
        <f>IF(BT$1&lt;=Simulador!$I$37,0,BT9*Simulador!$I$23)</f>
        <v>#DIV/0!</v>
      </c>
      <c r="BU19" s="62" t="e">
        <f>IF(BU$1&lt;=Simulador!$I$37,0,BU9*Simulador!$I$23)</f>
        <v>#DIV/0!</v>
      </c>
      <c r="BV19" s="62" t="e">
        <f>IF(BV$1&lt;=Simulador!$I$37,0,BV9*Simulador!$I$23)</f>
        <v>#DIV/0!</v>
      </c>
      <c r="BW19" s="62" t="e">
        <f>IF(BW$1&lt;=Simulador!$I$37,0,BW9*Simulador!$I$23)</f>
        <v>#DIV/0!</v>
      </c>
      <c r="BX19" s="62" t="e">
        <f>IF(BX$1&lt;=Simulador!$I$37,0,BX9*Simulador!$I$23)</f>
        <v>#DIV/0!</v>
      </c>
      <c r="BY19" s="62" t="e">
        <f>IF(BY$1&lt;=Simulador!$I$37,0,BY9*Simulador!$I$23)</f>
        <v>#DIV/0!</v>
      </c>
      <c r="BZ19" s="62" t="e">
        <f>IF(BZ$1&lt;=Simulador!$I$37,0,BZ9*Simulador!$I$23)</f>
        <v>#DIV/0!</v>
      </c>
      <c r="CA19" s="62" t="e">
        <f>IF(CA$1&lt;=Simulador!$I$37,0,CA9*Simulador!$I$23)</f>
        <v>#DIV/0!</v>
      </c>
      <c r="CB19" s="62" t="e">
        <f>IF(CB$1&lt;=Simulador!$I$37,0,CB9*Simulador!$I$23)</f>
        <v>#DIV/0!</v>
      </c>
      <c r="CC19" s="62" t="e">
        <f>IF(CC$1&lt;=Simulador!$I$37,0,CC9*Simulador!$I$23)</f>
        <v>#DIV/0!</v>
      </c>
      <c r="CD19" s="62" t="e">
        <f>IF(CD$1&lt;=Simulador!$I$37,0,CD9*Simulador!$I$23)</f>
        <v>#DIV/0!</v>
      </c>
      <c r="CE19" s="62" t="e">
        <f>IF(CE$1&lt;=Simulador!$I$37,0,CE9*Simulador!$I$23)</f>
        <v>#DIV/0!</v>
      </c>
      <c r="CF19" s="62" t="e">
        <f>IF(CF$1&lt;=Simulador!$I$37,0,CF9*Simulador!$I$23)</f>
        <v>#DIV/0!</v>
      </c>
      <c r="CG19" s="62" t="e">
        <f>IF(CG$1&lt;=Simulador!$I$37,0,CG9*Simulador!$I$23)</f>
        <v>#DIV/0!</v>
      </c>
      <c r="CH19" s="62" t="e">
        <f>IF(CH$1&lt;=Simulador!$I$37,0,CH9*Simulador!$I$23)</f>
        <v>#DIV/0!</v>
      </c>
      <c r="CI19" s="62" t="e">
        <f>IF(CI$1&lt;=Simulador!$I$37,0,CI9*Simulador!$I$23)</f>
        <v>#DIV/0!</v>
      </c>
      <c r="CJ19" s="62" t="e">
        <f>IF(CJ$1&lt;=Simulador!$I$37,0,CJ9*Simulador!$I$23)</f>
        <v>#DIV/0!</v>
      </c>
      <c r="CK19" s="62" t="e">
        <f>IF(CK$1&lt;=Simulador!$I$37,0,CK9*Simulador!$I$23)</f>
        <v>#DIV/0!</v>
      </c>
      <c r="CL19" s="62" t="e">
        <f>IF(CL$1&lt;=Simulador!$I$37,0,CL9*Simulador!$I$23)</f>
        <v>#DIV/0!</v>
      </c>
      <c r="CM19" s="62" t="e">
        <f>IF(CM$1&lt;=Simulador!$I$37,0,CM9*Simulador!$I$23)</f>
        <v>#DIV/0!</v>
      </c>
      <c r="CN19" s="62" t="e">
        <f>IF(CN$1&lt;=Simulador!$I$37,0,CN9*Simulador!$I$23)</f>
        <v>#DIV/0!</v>
      </c>
      <c r="CO19" s="62" t="e">
        <f>IF(CO$1&lt;=Simulador!$I$37,0,CO9*Simulador!$I$23)</f>
        <v>#DIV/0!</v>
      </c>
      <c r="CP19" s="62" t="e">
        <f>IF(CP$1&lt;=Simulador!$I$37,0,CP9*Simulador!$I$23)</f>
        <v>#DIV/0!</v>
      </c>
      <c r="CQ19" s="62" t="e">
        <f>IF(CQ$1&lt;=Simulador!$I$37,0,CQ9*Simulador!$I$23)</f>
        <v>#DIV/0!</v>
      </c>
      <c r="CR19" s="62" t="e">
        <f>IF(CR$1&lt;=Simulador!$I$37,0,CR9*Simulador!$I$23)</f>
        <v>#DIV/0!</v>
      </c>
      <c r="CS19" s="62" t="e">
        <f>IF(CS$1&lt;=Simulador!$I$37,0,CS9*Simulador!$I$23)</f>
        <v>#DIV/0!</v>
      </c>
      <c r="CT19" s="62" t="e">
        <f>IF(CT$1&lt;=Simulador!$I$37,0,CT9*Simulador!$I$23)</f>
        <v>#DIV/0!</v>
      </c>
      <c r="CU19" s="62" t="e">
        <f>IF(CU$1&lt;=Simulador!$I$37,0,CU9*Simulador!$I$23)</f>
        <v>#DIV/0!</v>
      </c>
      <c r="CV19" s="62" t="e">
        <f>IF(CV$1&lt;=Simulador!$I$37,0,CV9*Simulador!$I$23)</f>
        <v>#DIV/0!</v>
      </c>
      <c r="CW19" s="62" t="e">
        <f>IF(CW$1&lt;=Simulador!$I$37,0,CW9*Simulador!$I$23)</f>
        <v>#DIV/0!</v>
      </c>
      <c r="CX19" s="62" t="e">
        <f>IF(CX$1&lt;=Simulador!$I$37,0,CX9*Simulador!$I$23)</f>
        <v>#DIV/0!</v>
      </c>
      <c r="CY19" s="62" t="e">
        <f>IF(CY$1&lt;=Simulador!$I$37,0,CY9*Simulador!$I$23)</f>
        <v>#DIV/0!</v>
      </c>
      <c r="CZ19" s="62" t="e">
        <f>IF(CZ$1&lt;=Simulador!$I$37,0,CZ9*Simulador!$I$23)</f>
        <v>#DIV/0!</v>
      </c>
      <c r="DA19" s="62" t="e">
        <f>IF(DA$1&lt;=Simulador!$I$37,0,DA9*Simulador!$I$23)</f>
        <v>#DIV/0!</v>
      </c>
      <c r="DB19" s="62" t="e">
        <f>IF(DB$1&lt;=Simulador!$I$37,0,DB9*Simulador!$I$23)</f>
        <v>#DIV/0!</v>
      </c>
      <c r="DC19" s="62" t="e">
        <f>IF(DC$1&lt;=Simulador!$I$37,0,DC9*Simulador!$I$23)</f>
        <v>#DIV/0!</v>
      </c>
      <c r="DD19" s="62" t="e">
        <f>IF(DD$1&lt;=Simulador!$I$37,0,DD9*Simulador!$I$23)</f>
        <v>#DIV/0!</v>
      </c>
      <c r="DE19" s="62" t="e">
        <f>IF(DE$1&lt;=Simulador!$I$37,0,DE9*Simulador!$I$23)</f>
        <v>#DIV/0!</v>
      </c>
      <c r="DF19" s="62" t="e">
        <f>IF(DF$1&lt;=Simulador!$I$37,0,DF9*Simulador!$I$23)</f>
        <v>#DIV/0!</v>
      </c>
      <c r="DG19" s="62" t="e">
        <f>IF(DG$1&lt;=Simulador!$I$37,0,DG9*Simulador!$I$23)</f>
        <v>#DIV/0!</v>
      </c>
      <c r="DH19" s="62" t="e">
        <f>IF(DH$1&lt;=Simulador!$I$37,0,DH9*Simulador!$I$23)</f>
        <v>#DIV/0!</v>
      </c>
      <c r="DI19" s="62" t="e">
        <f>IF(DI$1&lt;=Simulador!$I$37,0,DI9*Simulador!$I$23)</f>
        <v>#DIV/0!</v>
      </c>
      <c r="DJ19" s="62" t="e">
        <f>IF(DJ$1&lt;=Simulador!$I$37,0,DJ9*Simulador!$I$23)</f>
        <v>#DIV/0!</v>
      </c>
      <c r="DK19" s="62" t="e">
        <f>IF(DK$1&lt;=Simulador!$I$37,0,DK9*Simulador!$I$23)</f>
        <v>#DIV/0!</v>
      </c>
      <c r="DL19" s="62" t="e">
        <f>IF(DL$1&lt;=Simulador!$I$37,0,DL9*Simulador!$I$23)</f>
        <v>#DIV/0!</v>
      </c>
      <c r="DM19" s="62" t="e">
        <f>IF(DM$1&lt;=Simulador!$I$37,0,DM9*Simulador!$I$23)</f>
        <v>#DIV/0!</v>
      </c>
      <c r="DN19" s="62" t="e">
        <f>IF(DN$1&lt;=Simulador!$I$37,0,DN9*Simulador!$I$23)</f>
        <v>#DIV/0!</v>
      </c>
      <c r="DO19" s="62" t="e">
        <f>IF(DO$1&lt;=Simulador!$I$37,0,DO9*Simulador!$I$23)</f>
        <v>#DIV/0!</v>
      </c>
      <c r="DP19" s="62" t="e">
        <f>IF(DP$1&lt;=Simulador!$I$37,0,DP9*Simulador!$I$23)</f>
        <v>#DIV/0!</v>
      </c>
      <c r="DQ19" s="62" t="e">
        <f>IF(DQ$1&lt;=Simulador!$I$37,0,DQ9*Simulador!$I$23)</f>
        <v>#DIV/0!</v>
      </c>
      <c r="DR19" s="62" t="e">
        <f>IF(DR$1&lt;=Simulador!$I$37,0,DR9*Simulador!$I$23)</f>
        <v>#DIV/0!</v>
      </c>
      <c r="DS19" s="62" t="e">
        <f>IF(DS$1&lt;=Simulador!$I$37,0,DS9*Simulador!$I$23)</f>
        <v>#DIV/0!</v>
      </c>
      <c r="DT19" s="62" t="e">
        <f>IF(DT$1&lt;=Simulador!$I$37,0,DT9*Simulador!$I$23)</f>
        <v>#DIV/0!</v>
      </c>
      <c r="DU19" s="62" t="e">
        <f>IF(DU$1&lt;=Simulador!$I$37,0,DU9*Simulador!$I$23)</f>
        <v>#DIV/0!</v>
      </c>
      <c r="DV19" s="62" t="e">
        <f>IF(DV$1&lt;=Simulador!$I$37,0,DV9*Simulador!$I$23)</f>
        <v>#DIV/0!</v>
      </c>
      <c r="DW19" s="62" t="e">
        <f>IF(DW$1&lt;=Simulador!$I$37,0,DW9*Simulador!$I$23)</f>
        <v>#DIV/0!</v>
      </c>
      <c r="DX19" s="62" t="e">
        <f>IF(DX$1&lt;=Simulador!$I$37,0,DX9*Simulador!$I$23)</f>
        <v>#DIV/0!</v>
      </c>
      <c r="DY19" s="62" t="e">
        <f>IF(DY$1&lt;=Simulador!$I$37,0,DY9*Simulador!$I$23)</f>
        <v>#DIV/0!</v>
      </c>
      <c r="DZ19" s="62" t="e">
        <f>IF(DZ$1&lt;=Simulador!$I$37,0,DZ9*Simulador!$I$23)</f>
        <v>#DIV/0!</v>
      </c>
      <c r="EA19" s="62" t="e">
        <f>IF(EA$1&lt;=Simulador!$I$37,0,EA9*Simulador!$I$23)</f>
        <v>#DIV/0!</v>
      </c>
      <c r="EB19" s="62" t="e">
        <f>IF(EB$1&lt;=Simulador!$I$37,0,EB9*Simulador!$I$23)</f>
        <v>#DIV/0!</v>
      </c>
      <c r="EC19" s="62" t="e">
        <f>IF(EC$1&lt;=Simulador!$I$37,0,EC9*Simulador!$I$23)</f>
        <v>#DIV/0!</v>
      </c>
      <c r="ED19" s="62" t="e">
        <f>IF(ED$1&lt;=Simulador!$I$37,0,ED9*Simulador!$I$23)</f>
        <v>#DIV/0!</v>
      </c>
    </row>
    <row r="20" spans="1:135" ht="13" x14ac:dyDescent="0.3">
      <c r="B20" s="37" t="s">
        <v>193</v>
      </c>
      <c r="D20" s="38" t="e">
        <f>IF(AND(SUMIFS($O20:$BV20,$O$3:$BV$3,D$4)=0,D$11&lt;&gt;0),MAX(O20:BV20),SUMIFS($O20:$BV20,$O$3:$BV$3,D$4))</f>
        <v>#DIV/0!</v>
      </c>
      <c r="E20" s="38" t="e">
        <f t="shared" ref="E20:H20" si="16">IF(AND(SUMIFS($O20:$BV20,$O$3:$BV$3,E$4)=0,E$11&lt;&gt;0),MAX(P20:EE20),SUMIFS($O20:$BV20,$O$3:$BV$3,E$4))</f>
        <v>#DIV/0!</v>
      </c>
      <c r="F20" s="38" t="e">
        <f t="shared" si="16"/>
        <v>#DIV/0!</v>
      </c>
      <c r="G20" s="38" t="e">
        <f t="shared" si="16"/>
        <v>#DIV/0!</v>
      </c>
      <c r="H20" s="38" t="e">
        <f t="shared" si="16"/>
        <v>#DIV/0!</v>
      </c>
      <c r="I20" s="38" t="e">
        <f t="shared" ref="I20:M20" si="17">IF(AND(SUMIFS($O20:$ED20,$O$3:$ED$3,I$4)=0,I$11&lt;&gt;0),MAX(T20:EI20),SUMIFS($O20:$ED20,$O$3:$ED$3,I$4))</f>
        <v>#DIV/0!</v>
      </c>
      <c r="J20" s="38" t="e">
        <f t="shared" si="17"/>
        <v>#DIV/0!</v>
      </c>
      <c r="K20" s="38" t="e">
        <f t="shared" si="17"/>
        <v>#DIV/0!</v>
      </c>
      <c r="L20" s="38" t="e">
        <f t="shared" si="17"/>
        <v>#DIV/0!</v>
      </c>
      <c r="M20" s="38" t="e">
        <f t="shared" si="17"/>
        <v>#DIV/0!</v>
      </c>
      <c r="O20" s="46" t="e">
        <f>O$7*Simulador!$I$26</f>
        <v>#DIV/0!</v>
      </c>
      <c r="P20" s="46" t="e">
        <f>P$7*Simulador!$I$26</f>
        <v>#DIV/0!</v>
      </c>
      <c r="Q20" s="46" t="e">
        <f>Q$7*Simulador!$I$26</f>
        <v>#DIV/0!</v>
      </c>
      <c r="R20" s="46" t="e">
        <f>R$7*Simulador!$I$26</f>
        <v>#DIV/0!</v>
      </c>
      <c r="S20" s="46" t="e">
        <f>S$7*Simulador!$I$26</f>
        <v>#DIV/0!</v>
      </c>
      <c r="T20" s="46" t="e">
        <f>T$7*Simulador!$I$26</f>
        <v>#DIV/0!</v>
      </c>
      <c r="U20" s="46" t="e">
        <f>U$7*Simulador!$I$26</f>
        <v>#DIV/0!</v>
      </c>
      <c r="V20" s="46" t="e">
        <f>V$7*Simulador!$I$26</f>
        <v>#DIV/0!</v>
      </c>
      <c r="W20" s="46" t="e">
        <f>W$7*Simulador!$I$26</f>
        <v>#DIV/0!</v>
      </c>
      <c r="X20" s="46" t="e">
        <f>X$7*Simulador!$I$26</f>
        <v>#DIV/0!</v>
      </c>
      <c r="Y20" s="46" t="e">
        <f>Y$7*Simulador!$I$26</f>
        <v>#DIV/0!</v>
      </c>
      <c r="Z20" s="46" t="e">
        <f>Z$7*Simulador!$I$26</f>
        <v>#DIV/0!</v>
      </c>
      <c r="AA20" s="46" t="e">
        <f>AA$7*Simulador!$I$26</f>
        <v>#DIV/0!</v>
      </c>
      <c r="AB20" s="46" t="e">
        <f>AB$7*Simulador!$I$26</f>
        <v>#DIV/0!</v>
      </c>
      <c r="AC20" s="46" t="e">
        <f>AC$7*Simulador!$I$26</f>
        <v>#DIV/0!</v>
      </c>
      <c r="AD20" s="46" t="e">
        <f>AD$7*Simulador!$I$26</f>
        <v>#DIV/0!</v>
      </c>
      <c r="AE20" s="46" t="e">
        <f>AE$7*Simulador!$I$26</f>
        <v>#DIV/0!</v>
      </c>
      <c r="AF20" s="46" t="e">
        <f>AF$7*Simulador!$I$26</f>
        <v>#DIV/0!</v>
      </c>
      <c r="AG20" s="46" t="e">
        <f>AG$7*Simulador!$I$26</f>
        <v>#DIV/0!</v>
      </c>
      <c r="AH20" s="46" t="e">
        <f>AH$7*Simulador!$I$26</f>
        <v>#DIV/0!</v>
      </c>
      <c r="AI20" s="46" t="e">
        <f>AI$7*Simulador!$I$26</f>
        <v>#DIV/0!</v>
      </c>
      <c r="AJ20" s="46" t="e">
        <f>AJ$7*Simulador!$I$26</f>
        <v>#DIV/0!</v>
      </c>
      <c r="AK20" s="46" t="e">
        <f>AK$7*Simulador!$I$26</f>
        <v>#DIV/0!</v>
      </c>
      <c r="AL20" s="46" t="e">
        <f>AL$7*Simulador!$I$26</f>
        <v>#DIV/0!</v>
      </c>
      <c r="AM20" s="46" t="e">
        <f>AM$7*Simulador!$I$26</f>
        <v>#DIV/0!</v>
      </c>
      <c r="AN20" s="46" t="e">
        <f>AN$7*Simulador!$I$26</f>
        <v>#DIV/0!</v>
      </c>
      <c r="AO20" s="46" t="e">
        <f>AO$7*Simulador!$I$26</f>
        <v>#DIV/0!</v>
      </c>
      <c r="AP20" s="46" t="e">
        <f>AP$7*Simulador!$I$26</f>
        <v>#DIV/0!</v>
      </c>
      <c r="AQ20" s="46" t="e">
        <f>AQ$7*Simulador!$I$26</f>
        <v>#DIV/0!</v>
      </c>
      <c r="AR20" s="46" t="e">
        <f>AR$7*Simulador!$I$26</f>
        <v>#DIV/0!</v>
      </c>
      <c r="AS20" s="46" t="e">
        <f>AS$7*Simulador!$I$26</f>
        <v>#DIV/0!</v>
      </c>
      <c r="AT20" s="46" t="e">
        <f>AT$7*Simulador!$I$26</f>
        <v>#DIV/0!</v>
      </c>
      <c r="AU20" s="46" t="e">
        <f>AU$7*Simulador!$I$26</f>
        <v>#DIV/0!</v>
      </c>
      <c r="AV20" s="46" t="e">
        <f>AV$7*Simulador!$I$26</f>
        <v>#DIV/0!</v>
      </c>
      <c r="AW20" s="46" t="e">
        <f>AW$7*Simulador!$I$26</f>
        <v>#DIV/0!</v>
      </c>
      <c r="AX20" s="46" t="e">
        <f>AX$7*Simulador!$I$26</f>
        <v>#DIV/0!</v>
      </c>
      <c r="AY20" s="46" t="e">
        <f>AY$7*Simulador!$I$26</f>
        <v>#DIV/0!</v>
      </c>
      <c r="AZ20" s="46" t="e">
        <f>AZ$7*Simulador!$I$26</f>
        <v>#DIV/0!</v>
      </c>
      <c r="BA20" s="46" t="e">
        <f>BA$7*Simulador!$I$26</f>
        <v>#DIV/0!</v>
      </c>
      <c r="BB20" s="46" t="e">
        <f>BB$7*Simulador!$I$26</f>
        <v>#DIV/0!</v>
      </c>
      <c r="BC20" s="46" t="e">
        <f>BC$7*Simulador!$I$26</f>
        <v>#DIV/0!</v>
      </c>
      <c r="BD20" s="46" t="e">
        <f>BD$7*Simulador!$I$26</f>
        <v>#DIV/0!</v>
      </c>
      <c r="BE20" s="46" t="e">
        <f>BE$7*Simulador!$I$26</f>
        <v>#DIV/0!</v>
      </c>
      <c r="BF20" s="46" t="e">
        <f>BF$7*Simulador!$I$26</f>
        <v>#DIV/0!</v>
      </c>
      <c r="BG20" s="46" t="e">
        <f>BG$7*Simulador!$I$26</f>
        <v>#DIV/0!</v>
      </c>
      <c r="BH20" s="46" t="e">
        <f>BH$7*Simulador!$I$26</f>
        <v>#DIV/0!</v>
      </c>
      <c r="BI20" s="46" t="e">
        <f>BI$7*Simulador!$I$26</f>
        <v>#DIV/0!</v>
      </c>
      <c r="BJ20" s="46" t="e">
        <f>BJ$7*Simulador!$I$26</f>
        <v>#DIV/0!</v>
      </c>
      <c r="BK20" s="46" t="e">
        <f>BK$7*Simulador!$I$26</f>
        <v>#DIV/0!</v>
      </c>
      <c r="BL20" s="46" t="e">
        <f>BL$7*Simulador!$I$26</f>
        <v>#DIV/0!</v>
      </c>
      <c r="BM20" s="46" t="e">
        <f>BM$7*Simulador!$I$26</f>
        <v>#DIV/0!</v>
      </c>
      <c r="BN20" s="46" t="e">
        <f>BN$7*Simulador!$I$26</f>
        <v>#DIV/0!</v>
      </c>
      <c r="BO20" s="46" t="e">
        <f>BO$7*Simulador!$I$26</f>
        <v>#DIV/0!</v>
      </c>
      <c r="BP20" s="46" t="e">
        <f>BP$7*Simulador!$I$26</f>
        <v>#DIV/0!</v>
      </c>
      <c r="BQ20" s="46" t="e">
        <f>BQ$7*Simulador!$I$26</f>
        <v>#DIV/0!</v>
      </c>
      <c r="BR20" s="46" t="e">
        <f>BR$7*Simulador!$I$26</f>
        <v>#DIV/0!</v>
      </c>
      <c r="BS20" s="46" t="e">
        <f>BS$7*Simulador!$I$26</f>
        <v>#DIV/0!</v>
      </c>
      <c r="BT20" s="46" t="e">
        <f>BT$7*Simulador!$I$26</f>
        <v>#DIV/0!</v>
      </c>
      <c r="BU20" s="46" t="e">
        <f>BU$7*Simulador!$I$26</f>
        <v>#DIV/0!</v>
      </c>
      <c r="BV20" s="46" t="e">
        <f>BV$7*Simulador!$I$26</f>
        <v>#DIV/0!</v>
      </c>
      <c r="BW20" s="46" t="e">
        <f>BW$7*Simulador!$I$26</f>
        <v>#DIV/0!</v>
      </c>
      <c r="BX20" s="46" t="e">
        <f>BX$7*Simulador!$I$26</f>
        <v>#DIV/0!</v>
      </c>
      <c r="BY20" s="46" t="e">
        <f>BY$7*Simulador!$I$26</f>
        <v>#DIV/0!</v>
      </c>
      <c r="BZ20" s="46" t="e">
        <f>BZ$7*Simulador!$I$26</f>
        <v>#DIV/0!</v>
      </c>
      <c r="CA20" s="46" t="e">
        <f>CA$7*Simulador!$I$26</f>
        <v>#DIV/0!</v>
      </c>
      <c r="CB20" s="46" t="e">
        <f>CB$7*Simulador!$I$26</f>
        <v>#DIV/0!</v>
      </c>
      <c r="CC20" s="46" t="e">
        <f>CC$7*Simulador!$I$26</f>
        <v>#DIV/0!</v>
      </c>
      <c r="CD20" s="46" t="e">
        <f>CD$7*Simulador!$I$26</f>
        <v>#DIV/0!</v>
      </c>
      <c r="CE20" s="46" t="e">
        <f>CE$7*Simulador!$I$26</f>
        <v>#DIV/0!</v>
      </c>
      <c r="CF20" s="46" t="e">
        <f>CF$7*Simulador!$I$26</f>
        <v>#DIV/0!</v>
      </c>
      <c r="CG20" s="46" t="e">
        <f>CG$7*Simulador!$I$26</f>
        <v>#DIV/0!</v>
      </c>
      <c r="CH20" s="46" t="e">
        <f>CH$7*Simulador!$I$26</f>
        <v>#DIV/0!</v>
      </c>
      <c r="CI20" s="46" t="e">
        <f>CI$7*Simulador!$I$26</f>
        <v>#DIV/0!</v>
      </c>
      <c r="CJ20" s="46" t="e">
        <f>CJ$7*Simulador!$I$26</f>
        <v>#DIV/0!</v>
      </c>
      <c r="CK20" s="46" t="e">
        <f>CK$7*Simulador!$I$26</f>
        <v>#DIV/0!</v>
      </c>
      <c r="CL20" s="46" t="e">
        <f>CL$7*Simulador!$I$26</f>
        <v>#DIV/0!</v>
      </c>
      <c r="CM20" s="46" t="e">
        <f>CM$7*Simulador!$I$26</f>
        <v>#DIV/0!</v>
      </c>
      <c r="CN20" s="46" t="e">
        <f>CN$7*Simulador!$I$26</f>
        <v>#DIV/0!</v>
      </c>
      <c r="CO20" s="46" t="e">
        <f>CO$7*Simulador!$I$26</f>
        <v>#DIV/0!</v>
      </c>
      <c r="CP20" s="46" t="e">
        <f>CP$7*Simulador!$I$26</f>
        <v>#DIV/0!</v>
      </c>
      <c r="CQ20" s="46" t="e">
        <f>CQ$7*Simulador!$I$26</f>
        <v>#DIV/0!</v>
      </c>
      <c r="CR20" s="46" t="e">
        <f>CR$7*Simulador!$I$26</f>
        <v>#DIV/0!</v>
      </c>
      <c r="CS20" s="46" t="e">
        <f>CS$7*Simulador!$I$26</f>
        <v>#DIV/0!</v>
      </c>
      <c r="CT20" s="46" t="e">
        <f>CT$7*Simulador!$I$26</f>
        <v>#DIV/0!</v>
      </c>
      <c r="CU20" s="46" t="e">
        <f>CU$7*Simulador!$I$26</f>
        <v>#DIV/0!</v>
      </c>
      <c r="CV20" s="46" t="e">
        <f>CV$7*Simulador!$I$26</f>
        <v>#DIV/0!</v>
      </c>
      <c r="CW20" s="46" t="e">
        <f>CW$7*Simulador!$I$26</f>
        <v>#DIV/0!</v>
      </c>
      <c r="CX20" s="46" t="e">
        <f>CX$7*Simulador!$I$26</f>
        <v>#DIV/0!</v>
      </c>
      <c r="CY20" s="46" t="e">
        <f>CY$7*Simulador!$I$26</f>
        <v>#DIV/0!</v>
      </c>
      <c r="CZ20" s="46" t="e">
        <f>CZ$7*Simulador!$I$26</f>
        <v>#DIV/0!</v>
      </c>
      <c r="DA20" s="46" t="e">
        <f>DA$7*Simulador!$I$26</f>
        <v>#DIV/0!</v>
      </c>
      <c r="DB20" s="46" t="e">
        <f>DB$7*Simulador!$I$26</f>
        <v>#DIV/0!</v>
      </c>
      <c r="DC20" s="46" t="e">
        <f>DC$7*Simulador!$I$26</f>
        <v>#DIV/0!</v>
      </c>
      <c r="DD20" s="46" t="e">
        <f>DD$7*Simulador!$I$26</f>
        <v>#DIV/0!</v>
      </c>
      <c r="DE20" s="46" t="e">
        <f>DE$7*Simulador!$I$26</f>
        <v>#DIV/0!</v>
      </c>
      <c r="DF20" s="46" t="e">
        <f>DF$7*Simulador!$I$26</f>
        <v>#DIV/0!</v>
      </c>
      <c r="DG20" s="46" t="e">
        <f>DG$7*Simulador!$I$26</f>
        <v>#DIV/0!</v>
      </c>
      <c r="DH20" s="46" t="e">
        <f>DH$7*Simulador!$I$26</f>
        <v>#DIV/0!</v>
      </c>
      <c r="DI20" s="46" t="e">
        <f>DI$7*Simulador!$I$26</f>
        <v>#DIV/0!</v>
      </c>
      <c r="DJ20" s="46" t="e">
        <f>DJ$7*Simulador!$I$26</f>
        <v>#DIV/0!</v>
      </c>
      <c r="DK20" s="46" t="e">
        <f>DK$7*Simulador!$I$26</f>
        <v>#DIV/0!</v>
      </c>
      <c r="DL20" s="46" t="e">
        <f>DL$7*Simulador!$I$26</f>
        <v>#DIV/0!</v>
      </c>
      <c r="DM20" s="46" t="e">
        <f>DM$7*Simulador!$I$26</f>
        <v>#DIV/0!</v>
      </c>
      <c r="DN20" s="46" t="e">
        <f>DN$7*Simulador!$I$26</f>
        <v>#DIV/0!</v>
      </c>
      <c r="DO20" s="46" t="e">
        <f>DO$7*Simulador!$I$26</f>
        <v>#DIV/0!</v>
      </c>
      <c r="DP20" s="46" t="e">
        <f>DP$7*Simulador!$I$26</f>
        <v>#DIV/0!</v>
      </c>
      <c r="DQ20" s="46" t="e">
        <f>DQ$7*Simulador!$I$26</f>
        <v>#DIV/0!</v>
      </c>
      <c r="DR20" s="46" t="e">
        <f>DR$7*Simulador!$I$26</f>
        <v>#DIV/0!</v>
      </c>
      <c r="DS20" s="46" t="e">
        <f>DS$7*Simulador!$I$26</f>
        <v>#DIV/0!</v>
      </c>
      <c r="DT20" s="46" t="e">
        <f>DT$7*Simulador!$I$26</f>
        <v>#DIV/0!</v>
      </c>
      <c r="DU20" s="46" t="e">
        <f>DU$7*Simulador!$I$26</f>
        <v>#DIV/0!</v>
      </c>
      <c r="DV20" s="46" t="e">
        <f>DV$7*Simulador!$I$26</f>
        <v>#DIV/0!</v>
      </c>
      <c r="DW20" s="46" t="e">
        <f>DW$7*Simulador!$I$26</f>
        <v>#DIV/0!</v>
      </c>
      <c r="DX20" s="46" t="e">
        <f>DX$7*Simulador!$I$26</f>
        <v>#DIV/0!</v>
      </c>
      <c r="DY20" s="46" t="e">
        <f>DY$7*Simulador!$I$26</f>
        <v>#DIV/0!</v>
      </c>
      <c r="DZ20" s="46" t="e">
        <f>DZ$7*Simulador!$I$26</f>
        <v>#DIV/0!</v>
      </c>
      <c r="EA20" s="46" t="e">
        <f>EA$7*Simulador!$I$26</f>
        <v>#DIV/0!</v>
      </c>
      <c r="EB20" s="46" t="e">
        <f>EB$7*Simulador!$I$26</f>
        <v>#DIV/0!</v>
      </c>
      <c r="EC20" s="46" t="e">
        <f>EC$7*Simulador!$I$26</f>
        <v>#DIV/0!</v>
      </c>
      <c r="ED20" s="46" t="e">
        <f>ED$7*Simulador!$I$26</f>
        <v>#DIV/0!</v>
      </c>
    </row>
    <row r="21" spans="1:135" ht="12.5" x14ac:dyDescent="0.25">
      <c r="B21" s="46" t="s">
        <v>194</v>
      </c>
      <c r="C21" s="53"/>
      <c r="D21" s="62">
        <f t="shared" ref="D21:H21" si="18">SUMIFS($O21:$BV21,$O$4:$BV$4,D$3)</f>
        <v>0</v>
      </c>
      <c r="E21" s="62">
        <f t="shared" si="18"/>
        <v>0</v>
      </c>
      <c r="F21" s="62">
        <f t="shared" si="18"/>
        <v>0</v>
      </c>
      <c r="G21" s="62">
        <f t="shared" si="18"/>
        <v>0</v>
      </c>
      <c r="H21" s="62">
        <f t="shared" si="18"/>
        <v>0</v>
      </c>
      <c r="I21" s="62">
        <f t="shared" ref="I21:M21" si="19">SUMIFS($O21:$ED21,$O$4:$ED$4,I$3)</f>
        <v>0</v>
      </c>
      <c r="J21" s="62">
        <f t="shared" si="19"/>
        <v>0</v>
      </c>
      <c r="K21" s="62">
        <f t="shared" si="19"/>
        <v>0</v>
      </c>
      <c r="L21" s="62">
        <f t="shared" si="19"/>
        <v>0</v>
      </c>
      <c r="M21" s="62">
        <f t="shared" si="19"/>
        <v>0</v>
      </c>
      <c r="N21" s="53"/>
      <c r="O21" s="62">
        <v>0</v>
      </c>
      <c r="P21" s="62">
        <f>P$15*Premissas!$C$3</f>
        <v>0</v>
      </c>
      <c r="Q21" s="62">
        <f>Q$15*Premissas!$C$3</f>
        <v>0</v>
      </c>
      <c r="R21" s="62">
        <f>R$15*Premissas!$C$3</f>
        <v>0</v>
      </c>
      <c r="S21" s="62">
        <f>S$15*Premissas!$C$3</f>
        <v>0</v>
      </c>
      <c r="T21" s="62">
        <f>T$15*Premissas!$C$3</f>
        <v>0</v>
      </c>
      <c r="U21" s="62">
        <f>U$15*Premissas!$C$3</f>
        <v>0</v>
      </c>
      <c r="V21" s="62">
        <f>V$15*Premissas!$C$3</f>
        <v>0</v>
      </c>
      <c r="W21" s="62">
        <f>W$15*Premissas!$C$3</f>
        <v>0</v>
      </c>
      <c r="X21" s="62">
        <f>X$15*Premissas!$C$3</f>
        <v>0</v>
      </c>
      <c r="Y21" s="62">
        <f>Y$15*Premissas!$C$3</f>
        <v>0</v>
      </c>
      <c r="Z21" s="62">
        <f>Z$15*Premissas!$C$3</f>
        <v>0</v>
      </c>
      <c r="AA21" s="62">
        <f>AA$15*Premissas!$C$3</f>
        <v>0</v>
      </c>
      <c r="AB21" s="62">
        <f>AB$15*Premissas!$C$3</f>
        <v>0</v>
      </c>
      <c r="AC21" s="62">
        <f>AC$15*Premissas!$C$3</f>
        <v>0</v>
      </c>
      <c r="AD21" s="62">
        <f>AD$15*Premissas!$C$3</f>
        <v>0</v>
      </c>
      <c r="AE21" s="62">
        <f>AE$15*Premissas!$C$3</f>
        <v>0</v>
      </c>
      <c r="AF21" s="62">
        <f>AF$15*Premissas!$C$3</f>
        <v>0</v>
      </c>
      <c r="AG21" s="62">
        <f>AG$15*Premissas!$C$3</f>
        <v>0</v>
      </c>
      <c r="AH21" s="62">
        <f>AH$15*Premissas!$C$3</f>
        <v>0</v>
      </c>
      <c r="AI21" s="62">
        <f>AI$15*Premissas!$C$3</f>
        <v>0</v>
      </c>
      <c r="AJ21" s="62">
        <f>AJ$15*Premissas!$C$3</f>
        <v>0</v>
      </c>
      <c r="AK21" s="62">
        <f>AK$15*Premissas!$C$3</f>
        <v>0</v>
      </c>
      <c r="AL21" s="62">
        <f>AL$15*Premissas!$C$3</f>
        <v>0</v>
      </c>
      <c r="AM21" s="62">
        <f>AM$15*Premissas!$C$3</f>
        <v>0</v>
      </c>
      <c r="AN21" s="62">
        <f>AN$15*Premissas!$C$3</f>
        <v>0</v>
      </c>
      <c r="AO21" s="62">
        <f>AO$15*Premissas!$C$3</f>
        <v>0</v>
      </c>
      <c r="AP21" s="62">
        <f>AP$15*Premissas!$C$3</f>
        <v>0</v>
      </c>
      <c r="AQ21" s="62">
        <f>AQ$15*Premissas!$C$3</f>
        <v>0</v>
      </c>
      <c r="AR21" s="62">
        <f>AR$15*Premissas!$C$3</f>
        <v>0</v>
      </c>
      <c r="AS21" s="62">
        <f>AS$15*Premissas!$C$3</f>
        <v>0</v>
      </c>
      <c r="AT21" s="62">
        <f>AT$15*Premissas!$C$3</f>
        <v>0</v>
      </c>
      <c r="AU21" s="62">
        <f>AU$15*Premissas!$C$3</f>
        <v>0</v>
      </c>
      <c r="AV21" s="62">
        <f>AV$15*Premissas!$C$3</f>
        <v>0</v>
      </c>
      <c r="AW21" s="62">
        <f>AW$15*Premissas!$C$3</f>
        <v>0</v>
      </c>
      <c r="AX21" s="62">
        <f>AX$15*Premissas!$C$3</f>
        <v>0</v>
      </c>
      <c r="AY21" s="62">
        <f>AY$15*Premissas!$C$3</f>
        <v>0</v>
      </c>
      <c r="AZ21" s="62">
        <f>AZ$15*Premissas!$C$3</f>
        <v>0</v>
      </c>
      <c r="BA21" s="62">
        <f>BA$15*Premissas!$C$3</f>
        <v>0</v>
      </c>
      <c r="BB21" s="62">
        <f>BB$15*Premissas!$C$3</f>
        <v>0</v>
      </c>
      <c r="BC21" s="62">
        <f>BC$15*Premissas!$C$3</f>
        <v>0</v>
      </c>
      <c r="BD21" s="62">
        <f>BD$15*Premissas!$C$3</f>
        <v>0</v>
      </c>
      <c r="BE21" s="62">
        <f>BE$15*Premissas!$C$3</f>
        <v>0</v>
      </c>
      <c r="BF21" s="62">
        <f>BF$15*Premissas!$C$3</f>
        <v>0</v>
      </c>
      <c r="BG21" s="62">
        <f>BG$15*Premissas!$C$3</f>
        <v>0</v>
      </c>
      <c r="BH21" s="62">
        <f>BH$15*Premissas!$C$3</f>
        <v>0</v>
      </c>
      <c r="BI21" s="62">
        <f>BI$15*Premissas!$C$3</f>
        <v>0</v>
      </c>
      <c r="BJ21" s="62">
        <f>BJ$15*Premissas!$C$3</f>
        <v>0</v>
      </c>
      <c r="BK21" s="62">
        <f>BK$15*Premissas!$C$3</f>
        <v>0</v>
      </c>
      <c r="BL21" s="62">
        <f>BL$15*Premissas!$C$3</f>
        <v>0</v>
      </c>
      <c r="BM21" s="62">
        <f>BM$15*Premissas!$C$3</f>
        <v>0</v>
      </c>
      <c r="BN21" s="62">
        <f>BN$15*Premissas!$C$3</f>
        <v>0</v>
      </c>
      <c r="BO21" s="62">
        <f>BO$15*Premissas!$C$3</f>
        <v>0</v>
      </c>
      <c r="BP21" s="62">
        <f>BP$15*Premissas!$C$3</f>
        <v>0</v>
      </c>
      <c r="BQ21" s="62">
        <f>BQ$15*Premissas!$C$3</f>
        <v>0</v>
      </c>
      <c r="BR21" s="62">
        <f>BR$15*Premissas!$C$3</f>
        <v>0</v>
      </c>
      <c r="BS21" s="62">
        <f>BS$15*Premissas!$C$3</f>
        <v>0</v>
      </c>
      <c r="BT21" s="62">
        <f>BT$15*Premissas!$C$3</f>
        <v>0</v>
      </c>
      <c r="BU21" s="62">
        <f>BU$15*Premissas!$C$3</f>
        <v>0</v>
      </c>
      <c r="BV21" s="62">
        <f>BV$15*Premissas!$C$3</f>
        <v>0</v>
      </c>
      <c r="BW21" s="62">
        <f>BW$15*Premissas!$C$3</f>
        <v>0</v>
      </c>
      <c r="BX21" s="62">
        <f>BX$15*Premissas!$C$3</f>
        <v>0</v>
      </c>
      <c r="BY21" s="62">
        <f>BY$15*Premissas!$C$3</f>
        <v>0</v>
      </c>
      <c r="BZ21" s="62">
        <f>BZ$15*Premissas!$C$3</f>
        <v>0</v>
      </c>
      <c r="CA21" s="62">
        <f>CA$15*Premissas!$C$3</f>
        <v>0</v>
      </c>
      <c r="CB21" s="62">
        <f>CB$15*Premissas!$C$3</f>
        <v>0</v>
      </c>
      <c r="CC21" s="62">
        <f>CC$15*Premissas!$C$3</f>
        <v>0</v>
      </c>
      <c r="CD21" s="62">
        <f>CD$15*Premissas!$C$3</f>
        <v>0</v>
      </c>
      <c r="CE21" s="62">
        <f>CE$15*Premissas!$C$3</f>
        <v>0</v>
      </c>
      <c r="CF21" s="62">
        <f>CF$15*Premissas!$C$3</f>
        <v>0</v>
      </c>
      <c r="CG21" s="62">
        <f>CG$15*Premissas!$C$3</f>
        <v>0</v>
      </c>
      <c r="CH21" s="62">
        <f>CH$15*Premissas!$C$3</f>
        <v>0</v>
      </c>
      <c r="CI21" s="62">
        <f>CI$15*Premissas!$C$3</f>
        <v>0</v>
      </c>
      <c r="CJ21" s="62">
        <f>CJ$15*Premissas!$C$3</f>
        <v>0</v>
      </c>
      <c r="CK21" s="62">
        <f>CK$15*Premissas!$C$3</f>
        <v>0</v>
      </c>
      <c r="CL21" s="62">
        <f>CL$15*Premissas!$C$3</f>
        <v>0</v>
      </c>
      <c r="CM21" s="62">
        <f>CM$15*Premissas!$C$3</f>
        <v>0</v>
      </c>
      <c r="CN21" s="62">
        <f>CN$15*Premissas!$C$3</f>
        <v>0</v>
      </c>
      <c r="CO21" s="62">
        <f>CO$15*Premissas!$C$3</f>
        <v>0</v>
      </c>
      <c r="CP21" s="62">
        <f>CP$15*Premissas!$C$3</f>
        <v>0</v>
      </c>
      <c r="CQ21" s="62">
        <f>CQ$15*Premissas!$C$3</f>
        <v>0</v>
      </c>
      <c r="CR21" s="62">
        <f>CR$15*Premissas!$C$3</f>
        <v>0</v>
      </c>
      <c r="CS21" s="62">
        <f>CS$15*Premissas!$C$3</f>
        <v>0</v>
      </c>
      <c r="CT21" s="62">
        <f>CT$15*Premissas!$C$3</f>
        <v>0</v>
      </c>
      <c r="CU21" s="62">
        <f>CU$15*Premissas!$C$3</f>
        <v>0</v>
      </c>
      <c r="CV21" s="62">
        <f>CV$15*Premissas!$C$3</f>
        <v>0</v>
      </c>
      <c r="CW21" s="62">
        <f>CW$15*Premissas!$C$3</f>
        <v>0</v>
      </c>
      <c r="CX21" s="62">
        <f>CX$15*Premissas!$C$3</f>
        <v>0</v>
      </c>
      <c r="CY21" s="62">
        <f>CY$15*Premissas!$C$3</f>
        <v>0</v>
      </c>
      <c r="CZ21" s="62">
        <f>CZ$15*Premissas!$C$3</f>
        <v>0</v>
      </c>
      <c r="DA21" s="62">
        <f>DA$15*Premissas!$C$3</f>
        <v>0</v>
      </c>
      <c r="DB21" s="62">
        <f>DB$15*Premissas!$C$3</f>
        <v>0</v>
      </c>
      <c r="DC21" s="62">
        <f>DC$15*Premissas!$C$3</f>
        <v>0</v>
      </c>
      <c r="DD21" s="62">
        <f>DD$15*Premissas!$C$3</f>
        <v>0</v>
      </c>
      <c r="DE21" s="62">
        <f>DE$15*Premissas!$C$3</f>
        <v>0</v>
      </c>
      <c r="DF21" s="62">
        <f>DF$15*Premissas!$C$3</f>
        <v>0</v>
      </c>
      <c r="DG21" s="62">
        <f>DG$15*Premissas!$C$3</f>
        <v>0</v>
      </c>
      <c r="DH21" s="62">
        <f>DH$15*Premissas!$C$3</f>
        <v>0</v>
      </c>
      <c r="DI21" s="62">
        <f>DI$15*Premissas!$C$3</f>
        <v>0</v>
      </c>
      <c r="DJ21" s="62">
        <f>DJ$15*Premissas!$C$3</f>
        <v>0</v>
      </c>
      <c r="DK21" s="62">
        <f>DK$15*Premissas!$C$3</f>
        <v>0</v>
      </c>
      <c r="DL21" s="62">
        <f>DL$15*Premissas!$C$3</f>
        <v>0</v>
      </c>
      <c r="DM21" s="62">
        <f>DM$15*Premissas!$C$3</f>
        <v>0</v>
      </c>
      <c r="DN21" s="62">
        <f>DN$15*Premissas!$C$3</f>
        <v>0</v>
      </c>
      <c r="DO21" s="62">
        <f>DO$15*Premissas!$C$3</f>
        <v>0</v>
      </c>
      <c r="DP21" s="62">
        <f>DP$15*Premissas!$C$3</f>
        <v>0</v>
      </c>
      <c r="DQ21" s="62">
        <f>DQ$15*Premissas!$C$3</f>
        <v>0</v>
      </c>
      <c r="DR21" s="62">
        <f>DR$15*Premissas!$C$3</f>
        <v>0</v>
      </c>
      <c r="DS21" s="62">
        <f>DS$15*Premissas!$C$3</f>
        <v>0</v>
      </c>
      <c r="DT21" s="62">
        <f>DT$15*Premissas!$C$3</f>
        <v>0</v>
      </c>
      <c r="DU21" s="62">
        <f>DU$15*Premissas!$C$3</f>
        <v>0</v>
      </c>
      <c r="DV21" s="62">
        <f>DV$15*Premissas!$C$3</f>
        <v>0</v>
      </c>
      <c r="DW21" s="62">
        <f>DW$15*Premissas!$C$3</f>
        <v>0</v>
      </c>
      <c r="DX21" s="62">
        <f>DX$15*Premissas!$C$3</f>
        <v>0</v>
      </c>
      <c r="DY21" s="62">
        <f>DY$15*Premissas!$C$3</f>
        <v>0</v>
      </c>
      <c r="DZ21" s="62">
        <f>DZ$15*Premissas!$C$3</f>
        <v>0</v>
      </c>
      <c r="EA21" s="62">
        <f>EA$15*Premissas!$C$3</f>
        <v>0</v>
      </c>
      <c r="EB21" s="62">
        <f>EB$15*Premissas!$C$3</f>
        <v>0</v>
      </c>
      <c r="EC21" s="62">
        <f>EC$15*Premissas!$C$3</f>
        <v>0</v>
      </c>
      <c r="ED21" s="62">
        <f>ED$15*Premissas!$C$3</f>
        <v>0</v>
      </c>
    </row>
    <row r="22" spans="1:135" ht="12.5" x14ac:dyDescent="0.25">
      <c r="B22" s="46" t="s">
        <v>195</v>
      </c>
      <c r="C22" s="53"/>
      <c r="D22" s="62" t="e">
        <f t="shared" ref="D22:H22" si="20">SUMIFS($O22:$BV22,$O$4:$BV$4,D$3)</f>
        <v>#DIV/0!</v>
      </c>
      <c r="E22" s="62" t="e">
        <f t="shared" si="20"/>
        <v>#DIV/0!</v>
      </c>
      <c r="F22" s="62" t="e">
        <f t="shared" si="20"/>
        <v>#DIV/0!</v>
      </c>
      <c r="G22" s="62" t="e">
        <f t="shared" si="20"/>
        <v>#DIV/0!</v>
      </c>
      <c r="H22" s="62" t="e">
        <f t="shared" si="20"/>
        <v>#DIV/0!</v>
      </c>
      <c r="I22" s="62" t="e">
        <f t="shared" ref="I22:M22" si="21">SUMIFS($O22:$ED22,$O$4:$ED$4,I$3)</f>
        <v>#DIV/0!</v>
      </c>
      <c r="J22" s="62" t="e">
        <f t="shared" si="21"/>
        <v>#DIV/0!</v>
      </c>
      <c r="K22" s="62" t="e">
        <f t="shared" si="21"/>
        <v>#DIV/0!</v>
      </c>
      <c r="L22" s="62" t="e">
        <f t="shared" si="21"/>
        <v>#DIV/0!</v>
      </c>
      <c r="M22" s="62" t="e">
        <f t="shared" si="21"/>
        <v>#DIV/0!</v>
      </c>
      <c r="N22" s="53"/>
      <c r="O22" s="62" t="e">
        <f>IF(IF(O7&gt;Simulador!$I$10,Simulador!$I$28*(O7-N7),(Simulador!$I$28*(1-Simulador!$I$39)*(O7-N7)))&lt;0,0,IF(O7&gt;Simulador!$I$10,Simulador!$I$28*(O7-N7),(Simulador!$I$28*(1-Simulador!$I$39)*(O7-N7))))</f>
        <v>#DIV/0!</v>
      </c>
      <c r="P22" s="62" t="e">
        <f>IF(IF(P7&gt;Simulador!$I$10,Simulador!$I$28*(P7-O7),(Simulador!$I$28*(1-Simulador!$I$39)*(P7-O7)))&lt;0,0,IF(P7&gt;Simulador!$I$10,Simulador!$I$28*(P7-O7),(Simulador!$I$28*(1-Simulador!$I$39)*(P7-O7))))</f>
        <v>#DIV/0!</v>
      </c>
      <c r="Q22" s="62" t="e">
        <f>IF(IF(Q7&gt;Simulador!$I$10,Simulador!$I$28*(Q7-P7),(Simulador!$I$28*(1-Simulador!$I$39)*(Q7-P7)))&lt;0,0,IF(Q7&gt;Simulador!$I$10,Simulador!$I$28*(Q7-P7),(Simulador!$I$28*(1-Simulador!$I$39)*(Q7-P7))))</f>
        <v>#DIV/0!</v>
      </c>
      <c r="R22" s="62" t="e">
        <f>IF(IF(R7&gt;Simulador!$I$10,Simulador!$I$28*(R7-Q7),(Simulador!$I$28*(1-Simulador!$I$39)*(R7-Q7)))&lt;0,0,IF(R7&gt;Simulador!$I$10,Simulador!$I$28*(R7-Q7),(Simulador!$I$28*(1-Simulador!$I$39)*(R7-Q7))))</f>
        <v>#DIV/0!</v>
      </c>
      <c r="S22" s="62" t="e">
        <f>IF(IF(S7&gt;Simulador!$I$10,Simulador!$I$28*(S7-R7),(Simulador!$I$28*(1-Simulador!$I$39)*(S7-R7)))&lt;0,0,IF(S7&gt;Simulador!$I$10,Simulador!$I$28*(S7-R7),(Simulador!$I$28*(1-Simulador!$I$39)*(S7-R7))))</f>
        <v>#DIV/0!</v>
      </c>
      <c r="T22" s="62" t="e">
        <f>IF(IF(T7&gt;Simulador!$I$10,Simulador!$I$28*(T7-S7),(Simulador!$I$28*(1-Simulador!$I$39)*(T7-S7)))&lt;0,0,IF(T7&gt;Simulador!$I$10,Simulador!$I$28*(T7-S7),(Simulador!$I$28*(1-Simulador!$I$39)*(T7-S7))))</f>
        <v>#DIV/0!</v>
      </c>
      <c r="U22" s="62" t="e">
        <f>IF(IF(U7&gt;Simulador!$I$10,Simulador!$I$28*(U7-T7),(Simulador!$I$28*(1-Simulador!$I$39)*(U7-T7)))&lt;0,0,IF(U7&gt;Simulador!$I$10,Simulador!$I$28*(U7-T7),(Simulador!$I$28*(1-Simulador!$I$39)*(U7-T7))))</f>
        <v>#DIV/0!</v>
      </c>
      <c r="V22" s="62" t="e">
        <f>IF(IF(V7&gt;Simulador!$I$10,Simulador!$I$28*(V7-U7),(Simulador!$I$28*(1-Simulador!$I$39)*(V7-U7)))&lt;0,0,IF(V7&gt;Simulador!$I$10,Simulador!$I$28*(V7-U7),(Simulador!$I$28*(1-Simulador!$I$39)*(V7-U7))))</f>
        <v>#DIV/0!</v>
      </c>
      <c r="W22" s="62" t="e">
        <f>IF(IF(W7&gt;Simulador!$I$10,Simulador!$I$28*(W7-V7),(Simulador!$I$28*(1-Simulador!$I$39)*(W7-V7)))&lt;0,0,IF(W7&gt;Simulador!$I$10,Simulador!$I$28*(W7-V7),(Simulador!$I$28*(1-Simulador!$I$39)*(W7-V7))))</f>
        <v>#DIV/0!</v>
      </c>
      <c r="X22" s="62" t="e">
        <f>IF(IF(X7&gt;Simulador!$I$10,Simulador!$I$28*(X7-W7),(Simulador!$I$28*(1-Simulador!$I$39)*(X7-W7)))&lt;0,0,IF(X7&gt;Simulador!$I$10,Simulador!$I$28*(X7-W7),(Simulador!$I$28*(1-Simulador!$I$39)*(X7-W7))))</f>
        <v>#DIV/0!</v>
      </c>
      <c r="Y22" s="62" t="e">
        <f>IF(IF(Y7&gt;Simulador!$I$10,Simulador!$I$28*(Y7-X7),(Simulador!$I$28*(1-Simulador!$I$39)*(Y7-X7)))&lt;0,0,IF(Y7&gt;Simulador!$I$10,Simulador!$I$28*(Y7-X7),(Simulador!$I$28*(1-Simulador!$I$39)*(Y7-X7))))</f>
        <v>#DIV/0!</v>
      </c>
      <c r="Z22" s="62" t="e">
        <f>IF(IF(Z7&gt;Simulador!$I$10,Simulador!$I$28*(Z7-Y7),(Simulador!$I$28*(1-Simulador!$I$39)*(Z7-Y7)))&lt;0,0,IF(Z7&gt;Simulador!$I$10,Simulador!$I$28*(Z7-Y7),(Simulador!$I$28*(1-Simulador!$I$39)*(Z7-Y7))))</f>
        <v>#DIV/0!</v>
      </c>
      <c r="AA22" s="62" t="e">
        <f>IF(IF(AA7&gt;Simulador!$I$10,Simulador!$I$28*(AA7-Z7),(Simulador!$I$28*(1-Simulador!$I$39)*(AA7-Z7)))&lt;0,0,IF(AA7&gt;Simulador!$I$10,Simulador!$I$28*(AA7-Z7),(Simulador!$I$28*(1-Simulador!$I$39)*(AA7-Z7))))</f>
        <v>#DIV/0!</v>
      </c>
      <c r="AB22" s="62" t="e">
        <f>IF(IF(AB7&gt;Simulador!$I$10,Simulador!$I$28*(AB7-AA7),(Simulador!$I$28*(1-Simulador!$I$39)*(AB7-AA7)))&lt;0,0,IF(AB7&gt;Simulador!$I$10,Simulador!$I$28*(AB7-AA7),(Simulador!$I$28*(1-Simulador!$I$39)*(AB7-AA7))))</f>
        <v>#DIV/0!</v>
      </c>
      <c r="AC22" s="62" t="e">
        <f>IF(IF(AC7&gt;Simulador!$I$10,Simulador!$I$28*(AC7-AB7),(Simulador!$I$28*(1-Simulador!$I$39)*(AC7-AB7)))&lt;0,0,IF(AC7&gt;Simulador!$I$10,Simulador!$I$28*(AC7-AB7),(Simulador!$I$28*(1-Simulador!$I$39)*(AC7-AB7))))</f>
        <v>#DIV/0!</v>
      </c>
      <c r="AD22" s="62" t="e">
        <f>IF(IF(AD7&gt;Simulador!$I$10,Simulador!$I$28*(AD7-AC7),(Simulador!$I$28*(1-Simulador!$I$39)*(AD7-AC7)))&lt;0,0,IF(AD7&gt;Simulador!$I$10,Simulador!$I$28*(AD7-AC7),(Simulador!$I$28*(1-Simulador!$I$39)*(AD7-AC7))))</f>
        <v>#DIV/0!</v>
      </c>
      <c r="AE22" s="62" t="e">
        <f>IF(IF(AE7&gt;Simulador!$I$10,Simulador!$I$28*(AE7-AD7),(Simulador!$I$28*(1-Simulador!$I$39)*(AE7-AD7)))&lt;0,0,IF(AE7&gt;Simulador!$I$10,Simulador!$I$28*(AE7-AD7),(Simulador!$I$28*(1-Simulador!$I$39)*(AE7-AD7))))</f>
        <v>#DIV/0!</v>
      </c>
      <c r="AF22" s="62" t="e">
        <f>IF(IF(AF7&gt;Simulador!$I$10,Simulador!$I$28*(AF7-AE7),(Simulador!$I$28*(1-Simulador!$I$39)*(AF7-AE7)))&lt;0,0,IF(AF7&gt;Simulador!$I$10,Simulador!$I$28*(AF7-AE7),(Simulador!$I$28*(1-Simulador!$I$39)*(AF7-AE7))))</f>
        <v>#DIV/0!</v>
      </c>
      <c r="AG22" s="62" t="e">
        <f>IF(IF(AG7&gt;Simulador!$I$10,Simulador!$I$28*(AG7-AF7),(Simulador!$I$28*(1-Simulador!$I$39)*(AG7-AF7)))&lt;0,0,IF(AG7&gt;Simulador!$I$10,Simulador!$I$28*(AG7-AF7),(Simulador!$I$28*(1-Simulador!$I$39)*(AG7-AF7))))</f>
        <v>#DIV/0!</v>
      </c>
      <c r="AH22" s="62" t="e">
        <f>IF(IF(AH7&gt;Simulador!$I$10,Simulador!$I$28*(AH7-AG7),(Simulador!$I$28*(1-Simulador!$I$39)*(AH7-AG7)))&lt;0,0,IF(AH7&gt;Simulador!$I$10,Simulador!$I$28*(AH7-AG7),(Simulador!$I$28*(1-Simulador!$I$39)*(AH7-AG7))))</f>
        <v>#DIV/0!</v>
      </c>
      <c r="AI22" s="62" t="e">
        <f>IF(IF(AI7&gt;Simulador!$I$10,Simulador!$I$28*(AI7-AH7),(Simulador!$I$28*(1-Simulador!$I$39)*(AI7-AH7)))&lt;0,0,IF(AI7&gt;Simulador!$I$10,Simulador!$I$28*(AI7-AH7),(Simulador!$I$28*(1-Simulador!$I$39)*(AI7-AH7))))</f>
        <v>#DIV/0!</v>
      </c>
      <c r="AJ22" s="62" t="e">
        <f>IF(IF(AJ7&gt;Simulador!$I$10,Simulador!$I$28*(AJ7-AI7),(Simulador!$I$28*(1-Simulador!$I$39)*(AJ7-AI7)))&lt;0,0,IF(AJ7&gt;Simulador!$I$10,Simulador!$I$28*(AJ7-AI7),(Simulador!$I$28*(1-Simulador!$I$39)*(AJ7-AI7))))</f>
        <v>#DIV/0!</v>
      </c>
      <c r="AK22" s="62" t="e">
        <f>IF(IF(AK7&gt;Simulador!$I$10,Simulador!$I$28*(AK7-AJ7),(Simulador!$I$28*(1-Simulador!$I$39)*(AK7-AJ7)))&lt;0,0,IF(AK7&gt;Simulador!$I$10,Simulador!$I$28*(AK7-AJ7),(Simulador!$I$28*(1-Simulador!$I$39)*(AK7-AJ7))))</f>
        <v>#DIV/0!</v>
      </c>
      <c r="AL22" s="62" t="e">
        <f>IF(IF(AL7&gt;Simulador!$I$10,Simulador!$I$28*(AL7-AK7),(Simulador!$I$28*(1-Simulador!$I$39)*(AL7-AK7)))&lt;0,0,IF(AL7&gt;Simulador!$I$10,Simulador!$I$28*(AL7-AK7),(Simulador!$I$28*(1-Simulador!$I$39)*(AL7-AK7))))</f>
        <v>#DIV/0!</v>
      </c>
      <c r="AM22" s="62" t="e">
        <f>IF(IF(AM7&gt;Simulador!$I$10,Simulador!$I$28*(AM7-AL7),(Simulador!$I$28*(1-Simulador!$I$39)*(AM7-AL7)))&lt;0,0,IF(AM7&gt;Simulador!$I$10,Simulador!$I$28*(AM7-AL7),(Simulador!$I$28*(1-Simulador!$I$39)*(AM7-AL7))))</f>
        <v>#DIV/0!</v>
      </c>
      <c r="AN22" s="62" t="e">
        <f>IF(IF(AN7&gt;Simulador!$I$10,Simulador!$I$28*(AN7-AM7),(Simulador!$I$28*(1-Simulador!$I$39)*(AN7-AM7)))&lt;0,0,IF(AN7&gt;Simulador!$I$10,Simulador!$I$28*(AN7-AM7),(Simulador!$I$28*(1-Simulador!$I$39)*(AN7-AM7))))</f>
        <v>#DIV/0!</v>
      </c>
      <c r="AO22" s="62" t="e">
        <f>IF(IF(AO7&gt;Simulador!$I$10,Simulador!$I$28*(AO7-AN7),(Simulador!$I$28*(1-Simulador!$I$39)*(AO7-AN7)))&lt;0,0,IF(AO7&gt;Simulador!$I$10,Simulador!$I$28*(AO7-AN7),(Simulador!$I$28*(1-Simulador!$I$39)*(AO7-AN7))))</f>
        <v>#DIV/0!</v>
      </c>
      <c r="AP22" s="62" t="e">
        <f>IF(IF(AP7&gt;Simulador!$I$10,Simulador!$I$28*(AP7-AO7),(Simulador!$I$28*(1-Simulador!$I$39)*(AP7-AO7)))&lt;0,0,IF(AP7&gt;Simulador!$I$10,Simulador!$I$28*(AP7-AO7),(Simulador!$I$28*(1-Simulador!$I$39)*(AP7-AO7))))</f>
        <v>#DIV/0!</v>
      </c>
      <c r="AQ22" s="62" t="e">
        <f>IF(IF(AQ7&gt;Simulador!$I$10,Simulador!$I$28*(AQ7-AP7),(Simulador!$I$28*(1-Simulador!$I$39)*(AQ7-AP7)))&lt;0,0,IF(AQ7&gt;Simulador!$I$10,Simulador!$I$28*(AQ7-AP7),(Simulador!$I$28*(1-Simulador!$I$39)*(AQ7-AP7))))</f>
        <v>#DIV/0!</v>
      </c>
      <c r="AR22" s="62" t="e">
        <f>IF(IF(AR7&gt;Simulador!$I$10,Simulador!$I$28*(AR7-AQ7),(Simulador!$I$28*(1-Simulador!$I$39)*(AR7-AQ7)))&lt;0,0,IF(AR7&gt;Simulador!$I$10,Simulador!$I$28*(AR7-AQ7),(Simulador!$I$28*(1-Simulador!$I$39)*(AR7-AQ7))))</f>
        <v>#DIV/0!</v>
      </c>
      <c r="AS22" s="62" t="e">
        <f>IF(IF(AS7&gt;Simulador!$I$10,Simulador!$I$28*(AS7-AR7),(Simulador!$I$28*(1-Simulador!$I$39)*(AS7-AR7)))&lt;0,0,IF(AS7&gt;Simulador!$I$10,Simulador!$I$28*(AS7-AR7),(Simulador!$I$28*(1-Simulador!$I$39)*(AS7-AR7))))</f>
        <v>#DIV/0!</v>
      </c>
      <c r="AT22" s="62" t="e">
        <f>IF(IF(AT7&gt;Simulador!$I$10,Simulador!$I$28*(AT7-AS7),(Simulador!$I$28*(1-Simulador!$I$39)*(AT7-AS7)))&lt;0,0,IF(AT7&gt;Simulador!$I$10,Simulador!$I$28*(AT7-AS7),(Simulador!$I$28*(1-Simulador!$I$39)*(AT7-AS7))))</f>
        <v>#DIV/0!</v>
      </c>
      <c r="AU22" s="62" t="e">
        <f>IF(IF(AU7&gt;Simulador!$I$10,Simulador!$I$28*(AU7-AT7),(Simulador!$I$28*(1-Simulador!$I$39)*(AU7-AT7)))&lt;0,0,IF(AU7&gt;Simulador!$I$10,Simulador!$I$28*(AU7-AT7),(Simulador!$I$28*(1-Simulador!$I$39)*(AU7-AT7))))</f>
        <v>#DIV/0!</v>
      </c>
      <c r="AV22" s="62" t="e">
        <f>IF(IF(AV7&gt;Simulador!$I$10,Simulador!$I$28*(AV7-AU7),(Simulador!$I$28*(1-Simulador!$I$39)*(AV7-AU7)))&lt;0,0,IF(AV7&gt;Simulador!$I$10,Simulador!$I$28*(AV7-AU7),(Simulador!$I$28*(1-Simulador!$I$39)*(AV7-AU7))))</f>
        <v>#DIV/0!</v>
      </c>
      <c r="AW22" s="62" t="e">
        <f>IF(IF(AW7&gt;Simulador!$I$10,Simulador!$I$28*(AW7-AV7),(Simulador!$I$28*(1-Simulador!$I$39)*(AW7-AV7)))&lt;0,0,IF(AW7&gt;Simulador!$I$10,Simulador!$I$28*(AW7-AV7),(Simulador!$I$28*(1-Simulador!$I$39)*(AW7-AV7))))</f>
        <v>#DIV/0!</v>
      </c>
      <c r="AX22" s="62" t="e">
        <f>IF(IF(AX7&gt;Simulador!$I$10,Simulador!$I$28*(AX7-AW7),(Simulador!$I$28*(1-Simulador!$I$39)*(AX7-AW7)))&lt;0,0,IF(AX7&gt;Simulador!$I$10,Simulador!$I$28*(AX7-AW7),(Simulador!$I$28*(1-Simulador!$I$39)*(AX7-AW7))))</f>
        <v>#DIV/0!</v>
      </c>
      <c r="AY22" s="62" t="e">
        <f>IF(IF(AY7&gt;Simulador!$I$10,Simulador!$I$28*(AY7-AX7),(Simulador!$I$28*(1-Simulador!$I$39)*(AY7-AX7)))&lt;0,0,IF(AY7&gt;Simulador!$I$10,Simulador!$I$28*(AY7-AX7),(Simulador!$I$28*(1-Simulador!$I$39)*(AY7-AX7))))</f>
        <v>#DIV/0!</v>
      </c>
      <c r="AZ22" s="62" t="e">
        <f>IF(IF(AZ7&gt;Simulador!$I$10,Simulador!$I$28*(AZ7-AY7),(Simulador!$I$28*(1-Simulador!$I$39)*(AZ7-AY7)))&lt;0,0,IF(AZ7&gt;Simulador!$I$10,Simulador!$I$28*(AZ7-AY7),(Simulador!$I$28*(1-Simulador!$I$39)*(AZ7-AY7))))</f>
        <v>#DIV/0!</v>
      </c>
      <c r="BA22" s="62" t="e">
        <f>IF(IF(BA7&gt;Simulador!$I$10,Simulador!$I$28*(BA7-AZ7),(Simulador!$I$28*(1-Simulador!$I$39)*(BA7-AZ7)))&lt;0,0,IF(BA7&gt;Simulador!$I$10,Simulador!$I$28*(BA7-AZ7),(Simulador!$I$28*(1-Simulador!$I$39)*(BA7-AZ7))))</f>
        <v>#DIV/0!</v>
      </c>
      <c r="BB22" s="62" t="e">
        <f>IF(IF(BB7&gt;Simulador!$I$10,Simulador!$I$28*(BB7-BA7),(Simulador!$I$28*(1-Simulador!$I$39)*(BB7-BA7)))&lt;0,0,IF(BB7&gt;Simulador!$I$10,Simulador!$I$28*(BB7-BA7),(Simulador!$I$28*(1-Simulador!$I$39)*(BB7-BA7))))</f>
        <v>#DIV/0!</v>
      </c>
      <c r="BC22" s="62" t="e">
        <f>IF(IF(BC7&gt;Simulador!$I$10,Simulador!$I$28*(BC7-BB7),(Simulador!$I$28*(1-Simulador!$I$39)*(BC7-BB7)))&lt;0,0,IF(BC7&gt;Simulador!$I$10,Simulador!$I$28*(BC7-BB7),(Simulador!$I$28*(1-Simulador!$I$39)*(BC7-BB7))))</f>
        <v>#DIV/0!</v>
      </c>
      <c r="BD22" s="62" t="e">
        <f>IF(IF(BD7&gt;Simulador!$I$10,Simulador!$I$28*(BD7-BC7),(Simulador!$I$28*(1-Simulador!$I$39)*(BD7-BC7)))&lt;0,0,IF(BD7&gt;Simulador!$I$10,Simulador!$I$28*(BD7-BC7),(Simulador!$I$28*(1-Simulador!$I$39)*(BD7-BC7))))</f>
        <v>#DIV/0!</v>
      </c>
      <c r="BE22" s="62" t="e">
        <f>IF(IF(BE7&gt;Simulador!$I$10,Simulador!$I$28*(BE7-BD7),(Simulador!$I$28*(1-Simulador!$I$39)*(BE7-BD7)))&lt;0,0,IF(BE7&gt;Simulador!$I$10,Simulador!$I$28*(BE7-BD7),(Simulador!$I$28*(1-Simulador!$I$39)*(BE7-BD7))))</f>
        <v>#DIV/0!</v>
      </c>
      <c r="BF22" s="62" t="e">
        <f>IF(IF(BF7&gt;Simulador!$I$10,Simulador!$I$28*(BF7-BE7),(Simulador!$I$28*(1-Simulador!$I$39)*(BF7-BE7)))&lt;0,0,IF(BF7&gt;Simulador!$I$10,Simulador!$I$28*(BF7-BE7),(Simulador!$I$28*(1-Simulador!$I$39)*(BF7-BE7))))</f>
        <v>#DIV/0!</v>
      </c>
      <c r="BG22" s="62" t="e">
        <f>IF(IF(BG7&gt;Simulador!$I$10,Simulador!$I$28*(BG7-BF7),(Simulador!$I$28*(1-Simulador!$I$39)*(BG7-BF7)))&lt;0,0,IF(BG7&gt;Simulador!$I$10,Simulador!$I$28*(BG7-BF7),(Simulador!$I$28*(1-Simulador!$I$39)*(BG7-BF7))))</f>
        <v>#DIV/0!</v>
      </c>
      <c r="BH22" s="62" t="e">
        <f>IF(IF(BH7&gt;Simulador!$I$10,Simulador!$I$28*(BH7-BG7),(Simulador!$I$28*(1-Simulador!$I$39)*(BH7-BG7)))&lt;0,0,IF(BH7&gt;Simulador!$I$10,Simulador!$I$28*(BH7-BG7),(Simulador!$I$28*(1-Simulador!$I$39)*(BH7-BG7))))</f>
        <v>#DIV/0!</v>
      </c>
      <c r="BI22" s="62" t="e">
        <f>IF(IF(BI7&gt;Simulador!$I$10,Simulador!$I$28*(BI7-BH7),(Simulador!$I$28*(1-Simulador!$I$39)*(BI7-BH7)))&lt;0,0,IF(BI7&gt;Simulador!$I$10,Simulador!$I$28*(BI7-BH7),(Simulador!$I$28*(1-Simulador!$I$39)*(BI7-BH7))))</f>
        <v>#DIV/0!</v>
      </c>
      <c r="BJ22" s="62" t="e">
        <f>IF(IF(BJ7&gt;Simulador!$I$10,Simulador!$I$28*(BJ7-BI7),(Simulador!$I$28*(1-Simulador!$I$39)*(BJ7-BI7)))&lt;0,0,IF(BJ7&gt;Simulador!$I$10,Simulador!$I$28*(BJ7-BI7),(Simulador!$I$28*(1-Simulador!$I$39)*(BJ7-BI7))))</f>
        <v>#DIV/0!</v>
      </c>
      <c r="BK22" s="62" t="e">
        <f>IF(IF(BK7&gt;Simulador!$I$10,Simulador!$I$28*(BK7-BJ7),(Simulador!$I$28*(1-Simulador!$I$39)*(BK7-BJ7)))&lt;0,0,IF(BK7&gt;Simulador!$I$10,Simulador!$I$28*(BK7-BJ7),(Simulador!$I$28*(1-Simulador!$I$39)*(BK7-BJ7))))</f>
        <v>#DIV/0!</v>
      </c>
      <c r="BL22" s="62" t="e">
        <f>IF(IF(BL7&gt;Simulador!$I$10,Simulador!$I$28*(BL7-BK7),(Simulador!$I$28*(1-Simulador!$I$39)*(BL7-BK7)))&lt;0,0,IF(BL7&gt;Simulador!$I$10,Simulador!$I$28*(BL7-BK7),(Simulador!$I$28*(1-Simulador!$I$39)*(BL7-BK7))))</f>
        <v>#DIV/0!</v>
      </c>
      <c r="BM22" s="62" t="e">
        <f>IF(IF(BM7&gt;Simulador!$I$10,Simulador!$I$28*(BM7-BL7),(Simulador!$I$28*(1-Simulador!$I$39)*(BM7-BL7)))&lt;0,0,IF(BM7&gt;Simulador!$I$10,Simulador!$I$28*(BM7-BL7),(Simulador!$I$28*(1-Simulador!$I$39)*(BM7-BL7))))</f>
        <v>#DIV/0!</v>
      </c>
      <c r="BN22" s="62" t="e">
        <f>IF(IF(BN7&gt;Simulador!$I$10,Simulador!$I$28*(BN7-BM7),(Simulador!$I$28*(1-Simulador!$I$39)*(BN7-BM7)))&lt;0,0,IF(BN7&gt;Simulador!$I$10,Simulador!$I$28*(BN7-BM7),(Simulador!$I$28*(1-Simulador!$I$39)*(BN7-BM7))))</f>
        <v>#DIV/0!</v>
      </c>
      <c r="BO22" s="62" t="e">
        <f>IF(IF(BO7&gt;Simulador!$I$10,Simulador!$I$28*(BO7-BN7),(Simulador!$I$28*(1-Simulador!$I$39)*(BO7-BN7)))&lt;0,0,IF(BO7&gt;Simulador!$I$10,Simulador!$I$28*(BO7-BN7),(Simulador!$I$28*(1-Simulador!$I$39)*(BO7-BN7))))</f>
        <v>#DIV/0!</v>
      </c>
      <c r="BP22" s="62" t="e">
        <f>IF(IF(BP7&gt;Simulador!$I$10,Simulador!$I$28*(BP7-BO7),(Simulador!$I$28*(1-Simulador!$I$39)*(BP7-BO7)))&lt;0,0,IF(BP7&gt;Simulador!$I$10,Simulador!$I$28*(BP7-BO7),(Simulador!$I$28*(1-Simulador!$I$39)*(BP7-BO7))))</f>
        <v>#DIV/0!</v>
      </c>
      <c r="BQ22" s="62" t="e">
        <f>IF(IF(BQ7&gt;Simulador!$I$10,Simulador!$I$28*(BQ7-BP7),(Simulador!$I$28*(1-Simulador!$I$39)*(BQ7-BP7)))&lt;0,0,IF(BQ7&gt;Simulador!$I$10,Simulador!$I$28*(BQ7-BP7),(Simulador!$I$28*(1-Simulador!$I$39)*(BQ7-BP7))))</f>
        <v>#DIV/0!</v>
      </c>
      <c r="BR22" s="62" t="e">
        <f>IF(IF(BR7&gt;Simulador!$I$10,Simulador!$I$28*(BR7-BQ7),(Simulador!$I$28*(1-Simulador!$I$39)*(BR7-BQ7)))&lt;0,0,IF(BR7&gt;Simulador!$I$10,Simulador!$I$28*(BR7-BQ7),(Simulador!$I$28*(1-Simulador!$I$39)*(BR7-BQ7))))</f>
        <v>#DIV/0!</v>
      </c>
      <c r="BS22" s="62" t="e">
        <f>IF(IF(BS7&gt;Simulador!$I$10,Simulador!$I$28*(BS7-BR7),(Simulador!$I$28*(1-Simulador!$I$39)*(BS7-BR7)))&lt;0,0,IF(BS7&gt;Simulador!$I$10,Simulador!$I$28*(BS7-BR7),(Simulador!$I$28*(1-Simulador!$I$39)*(BS7-BR7))))</f>
        <v>#DIV/0!</v>
      </c>
      <c r="BT22" s="62" t="e">
        <f>IF(IF(BT7&gt;Simulador!$I$10,Simulador!$I$28*(BT7-BS7),(Simulador!$I$28*(1-Simulador!$I$39)*(BT7-BS7)))&lt;0,0,IF(BT7&gt;Simulador!$I$10,Simulador!$I$28*(BT7-BS7),(Simulador!$I$28*(1-Simulador!$I$39)*(BT7-BS7))))</f>
        <v>#DIV/0!</v>
      </c>
      <c r="BU22" s="62" t="e">
        <f>IF(IF(BU7&gt;Simulador!$I$10,Simulador!$I$28*(BU7-BT7),(Simulador!$I$28*(1-Simulador!$I$39)*(BU7-BT7)))&lt;0,0,IF(BU7&gt;Simulador!$I$10,Simulador!$I$28*(BU7-BT7),(Simulador!$I$28*(1-Simulador!$I$39)*(BU7-BT7))))</f>
        <v>#DIV/0!</v>
      </c>
      <c r="BV22" s="62" t="e">
        <f>IF(IF(BV7&gt;Simulador!$I$10,Simulador!$I$28*(BV7-BU7),(Simulador!$I$28*(1-Simulador!$I$39)*(BV7-BU7)))&lt;0,0,IF(BV7&gt;Simulador!$I$10,Simulador!$I$28*(BV7-BU7),(Simulador!$I$28*(1-Simulador!$I$39)*(BV7-BU7))))</f>
        <v>#DIV/0!</v>
      </c>
      <c r="BW22" s="62" t="e">
        <f>IF(IF(BW7&gt;Simulador!$I$10,Simulador!$I$28*(BW7-BV7),(Simulador!$I$28*(1-Simulador!$I$39)*(BW7-BV7)))&lt;0,0,IF(BW7&gt;Simulador!$I$10,Simulador!$I$28*(BW7-BV7),(Simulador!$I$28*(1-Simulador!$I$39)*(BW7-BV7))))</f>
        <v>#DIV/0!</v>
      </c>
      <c r="BX22" s="62" t="e">
        <f>IF(IF(BX7&gt;Simulador!$I$10,Simulador!$I$28*(BX7-BW7),(Simulador!$I$28*(1-Simulador!$I$39)*(BX7-BW7)))&lt;0,0,IF(BX7&gt;Simulador!$I$10,Simulador!$I$28*(BX7-BW7),(Simulador!$I$28*(1-Simulador!$I$39)*(BX7-BW7))))</f>
        <v>#DIV/0!</v>
      </c>
      <c r="BY22" s="62" t="e">
        <f>IF(IF(BY7&gt;Simulador!$I$10,Simulador!$I$28*(BY7-BX7),(Simulador!$I$28*(1-Simulador!$I$39)*(BY7-BX7)))&lt;0,0,IF(BY7&gt;Simulador!$I$10,Simulador!$I$28*(BY7-BX7),(Simulador!$I$28*(1-Simulador!$I$39)*(BY7-BX7))))</f>
        <v>#DIV/0!</v>
      </c>
      <c r="BZ22" s="62" t="e">
        <f>IF(IF(BZ7&gt;Simulador!$I$10,Simulador!$I$28*(BZ7-BY7),(Simulador!$I$28*(1-Simulador!$I$39)*(BZ7-BY7)))&lt;0,0,IF(BZ7&gt;Simulador!$I$10,Simulador!$I$28*(BZ7-BY7),(Simulador!$I$28*(1-Simulador!$I$39)*(BZ7-BY7))))</f>
        <v>#DIV/0!</v>
      </c>
      <c r="CA22" s="62" t="e">
        <f>IF(IF(CA7&gt;Simulador!$I$10,Simulador!$I$28*(CA7-BZ7),(Simulador!$I$28*(1-Simulador!$I$39)*(CA7-BZ7)))&lt;0,0,IF(CA7&gt;Simulador!$I$10,Simulador!$I$28*(CA7-BZ7),(Simulador!$I$28*(1-Simulador!$I$39)*(CA7-BZ7))))</f>
        <v>#DIV/0!</v>
      </c>
      <c r="CB22" s="62" t="e">
        <f>IF(IF(CB7&gt;Simulador!$I$10,Simulador!$I$28*(CB7-CA7),(Simulador!$I$28*(1-Simulador!$I$39)*(CB7-CA7)))&lt;0,0,IF(CB7&gt;Simulador!$I$10,Simulador!$I$28*(CB7-CA7),(Simulador!$I$28*(1-Simulador!$I$39)*(CB7-CA7))))</f>
        <v>#DIV/0!</v>
      </c>
      <c r="CC22" s="62" t="e">
        <f>IF(IF(CC7&gt;Simulador!$I$10,Simulador!$I$28*(CC7-CB7),(Simulador!$I$28*(1-Simulador!$I$39)*(CC7-CB7)))&lt;0,0,IF(CC7&gt;Simulador!$I$10,Simulador!$I$28*(CC7-CB7),(Simulador!$I$28*(1-Simulador!$I$39)*(CC7-CB7))))</f>
        <v>#DIV/0!</v>
      </c>
      <c r="CD22" s="62" t="e">
        <f>IF(IF(CD7&gt;Simulador!$I$10,Simulador!$I$28*(CD7-CC7),(Simulador!$I$28*(1-Simulador!$I$39)*(CD7-CC7)))&lt;0,0,IF(CD7&gt;Simulador!$I$10,Simulador!$I$28*(CD7-CC7),(Simulador!$I$28*(1-Simulador!$I$39)*(CD7-CC7))))</f>
        <v>#DIV/0!</v>
      </c>
      <c r="CE22" s="62" t="e">
        <f>IF(IF(CE7&gt;Simulador!$I$10,Simulador!$I$28*(CE7-CD7),(Simulador!$I$28*(1-Simulador!$I$39)*(CE7-CD7)))&lt;0,0,IF(CE7&gt;Simulador!$I$10,Simulador!$I$28*(CE7-CD7),(Simulador!$I$28*(1-Simulador!$I$39)*(CE7-CD7))))</f>
        <v>#DIV/0!</v>
      </c>
      <c r="CF22" s="62" t="e">
        <f>IF(IF(CF7&gt;Simulador!$I$10,Simulador!$I$28*(CF7-CE7),(Simulador!$I$28*(1-Simulador!$I$39)*(CF7-CE7)))&lt;0,0,IF(CF7&gt;Simulador!$I$10,Simulador!$I$28*(CF7-CE7),(Simulador!$I$28*(1-Simulador!$I$39)*(CF7-CE7))))</f>
        <v>#DIV/0!</v>
      </c>
      <c r="CG22" s="62" t="e">
        <f>IF(IF(CG7&gt;Simulador!$I$10,Simulador!$I$28*(CG7-CF7),(Simulador!$I$28*(1-Simulador!$I$39)*(CG7-CF7)))&lt;0,0,IF(CG7&gt;Simulador!$I$10,Simulador!$I$28*(CG7-CF7),(Simulador!$I$28*(1-Simulador!$I$39)*(CG7-CF7))))</f>
        <v>#DIV/0!</v>
      </c>
      <c r="CH22" s="62" t="e">
        <f>IF(IF(CH7&gt;Simulador!$I$10,Simulador!$I$28*(CH7-CG7),(Simulador!$I$28*(1-Simulador!$I$39)*(CH7-CG7)))&lt;0,0,IF(CH7&gt;Simulador!$I$10,Simulador!$I$28*(CH7-CG7),(Simulador!$I$28*(1-Simulador!$I$39)*(CH7-CG7))))</f>
        <v>#DIV/0!</v>
      </c>
      <c r="CI22" s="62" t="e">
        <f>IF(IF(CI7&gt;Simulador!$I$10,Simulador!$I$28*(CI7-CH7),(Simulador!$I$28*(1-Simulador!$I$39)*(CI7-CH7)))&lt;0,0,IF(CI7&gt;Simulador!$I$10,Simulador!$I$28*(CI7-CH7),(Simulador!$I$28*(1-Simulador!$I$39)*(CI7-CH7))))</f>
        <v>#DIV/0!</v>
      </c>
      <c r="CJ22" s="62" t="e">
        <f>IF(IF(CJ7&gt;Simulador!$I$10,Simulador!$I$28*(CJ7-CI7),(Simulador!$I$28*(1-Simulador!$I$39)*(CJ7-CI7)))&lt;0,0,IF(CJ7&gt;Simulador!$I$10,Simulador!$I$28*(CJ7-CI7),(Simulador!$I$28*(1-Simulador!$I$39)*(CJ7-CI7))))</f>
        <v>#DIV/0!</v>
      </c>
      <c r="CK22" s="62" t="e">
        <f>IF(IF(CK7&gt;Simulador!$I$10,Simulador!$I$28*(CK7-CJ7),(Simulador!$I$28*(1-Simulador!$I$39)*(CK7-CJ7)))&lt;0,0,IF(CK7&gt;Simulador!$I$10,Simulador!$I$28*(CK7-CJ7),(Simulador!$I$28*(1-Simulador!$I$39)*(CK7-CJ7))))</f>
        <v>#DIV/0!</v>
      </c>
      <c r="CL22" s="62" t="e">
        <f>IF(IF(CL7&gt;Simulador!$I$10,Simulador!$I$28*(CL7-CK7),(Simulador!$I$28*(1-Simulador!$I$39)*(CL7-CK7)))&lt;0,0,IF(CL7&gt;Simulador!$I$10,Simulador!$I$28*(CL7-CK7),(Simulador!$I$28*(1-Simulador!$I$39)*(CL7-CK7))))</f>
        <v>#DIV/0!</v>
      </c>
      <c r="CM22" s="62" t="e">
        <f>IF(IF(CM7&gt;Simulador!$I$10,Simulador!$I$28*(CM7-CL7),(Simulador!$I$28*(1-Simulador!$I$39)*(CM7-CL7)))&lt;0,0,IF(CM7&gt;Simulador!$I$10,Simulador!$I$28*(CM7-CL7),(Simulador!$I$28*(1-Simulador!$I$39)*(CM7-CL7))))</f>
        <v>#DIV/0!</v>
      </c>
      <c r="CN22" s="62" t="e">
        <f>IF(IF(CN7&gt;Simulador!$I$10,Simulador!$I$28*(CN7-CM7),(Simulador!$I$28*(1-Simulador!$I$39)*(CN7-CM7)))&lt;0,0,IF(CN7&gt;Simulador!$I$10,Simulador!$I$28*(CN7-CM7),(Simulador!$I$28*(1-Simulador!$I$39)*(CN7-CM7))))</f>
        <v>#DIV/0!</v>
      </c>
      <c r="CO22" s="62" t="e">
        <f>IF(IF(CO7&gt;Simulador!$I$10,Simulador!$I$28*(CO7-CN7),(Simulador!$I$28*(1-Simulador!$I$39)*(CO7-CN7)))&lt;0,0,IF(CO7&gt;Simulador!$I$10,Simulador!$I$28*(CO7-CN7),(Simulador!$I$28*(1-Simulador!$I$39)*(CO7-CN7))))</f>
        <v>#DIV/0!</v>
      </c>
      <c r="CP22" s="62" t="e">
        <f>IF(IF(CP7&gt;Simulador!$I$10,Simulador!$I$28*(CP7-CO7),(Simulador!$I$28*(1-Simulador!$I$39)*(CP7-CO7)))&lt;0,0,IF(CP7&gt;Simulador!$I$10,Simulador!$I$28*(CP7-CO7),(Simulador!$I$28*(1-Simulador!$I$39)*(CP7-CO7))))</f>
        <v>#DIV/0!</v>
      </c>
      <c r="CQ22" s="62" t="e">
        <f>IF(IF(CQ7&gt;Simulador!$I$10,Simulador!$I$28*(CQ7-CP7),(Simulador!$I$28*(1-Simulador!$I$39)*(CQ7-CP7)))&lt;0,0,IF(CQ7&gt;Simulador!$I$10,Simulador!$I$28*(CQ7-CP7),(Simulador!$I$28*(1-Simulador!$I$39)*(CQ7-CP7))))</f>
        <v>#DIV/0!</v>
      </c>
      <c r="CR22" s="62" t="e">
        <f>IF(IF(CR7&gt;Simulador!$I$10,Simulador!$I$28*(CR7-CQ7),(Simulador!$I$28*(1-Simulador!$I$39)*(CR7-CQ7)))&lt;0,0,IF(CR7&gt;Simulador!$I$10,Simulador!$I$28*(CR7-CQ7),(Simulador!$I$28*(1-Simulador!$I$39)*(CR7-CQ7))))</f>
        <v>#DIV/0!</v>
      </c>
      <c r="CS22" s="62" t="e">
        <f>IF(IF(CS7&gt;Simulador!$I$10,Simulador!$I$28*(CS7-CR7),(Simulador!$I$28*(1-Simulador!$I$39)*(CS7-CR7)))&lt;0,0,IF(CS7&gt;Simulador!$I$10,Simulador!$I$28*(CS7-CR7),(Simulador!$I$28*(1-Simulador!$I$39)*(CS7-CR7))))</f>
        <v>#DIV/0!</v>
      </c>
      <c r="CT22" s="62" t="e">
        <f>IF(IF(CT7&gt;Simulador!$I$10,Simulador!$I$28*(CT7-CS7),(Simulador!$I$28*(1-Simulador!$I$39)*(CT7-CS7)))&lt;0,0,IF(CT7&gt;Simulador!$I$10,Simulador!$I$28*(CT7-CS7),(Simulador!$I$28*(1-Simulador!$I$39)*(CT7-CS7))))</f>
        <v>#DIV/0!</v>
      </c>
      <c r="CU22" s="62" t="e">
        <f>IF(IF(CU7&gt;Simulador!$I$10,Simulador!$I$28*(CU7-CT7),(Simulador!$I$28*(1-Simulador!$I$39)*(CU7-CT7)))&lt;0,0,IF(CU7&gt;Simulador!$I$10,Simulador!$I$28*(CU7-CT7),(Simulador!$I$28*(1-Simulador!$I$39)*(CU7-CT7))))</f>
        <v>#DIV/0!</v>
      </c>
      <c r="CV22" s="62" t="e">
        <f>IF(IF(CV7&gt;Simulador!$I$10,Simulador!$I$28*(CV7-CU7),(Simulador!$I$28*(1-Simulador!$I$39)*(CV7-CU7)))&lt;0,0,IF(CV7&gt;Simulador!$I$10,Simulador!$I$28*(CV7-CU7),(Simulador!$I$28*(1-Simulador!$I$39)*(CV7-CU7))))</f>
        <v>#DIV/0!</v>
      </c>
      <c r="CW22" s="62" t="e">
        <f>IF(IF(CW7&gt;Simulador!$I$10,Simulador!$I$28*(CW7-CV7),(Simulador!$I$28*(1-Simulador!$I$39)*(CW7-CV7)))&lt;0,0,IF(CW7&gt;Simulador!$I$10,Simulador!$I$28*(CW7-CV7),(Simulador!$I$28*(1-Simulador!$I$39)*(CW7-CV7))))</f>
        <v>#DIV/0!</v>
      </c>
      <c r="CX22" s="62" t="e">
        <f>IF(IF(CX7&gt;Simulador!$I$10,Simulador!$I$28*(CX7-CW7),(Simulador!$I$28*(1-Simulador!$I$39)*(CX7-CW7)))&lt;0,0,IF(CX7&gt;Simulador!$I$10,Simulador!$I$28*(CX7-CW7),(Simulador!$I$28*(1-Simulador!$I$39)*(CX7-CW7))))</f>
        <v>#DIV/0!</v>
      </c>
      <c r="CY22" s="62" t="e">
        <f>IF(IF(CY7&gt;Simulador!$I$10,Simulador!$I$28*(CY7-CX7),(Simulador!$I$28*(1-Simulador!$I$39)*(CY7-CX7)))&lt;0,0,IF(CY7&gt;Simulador!$I$10,Simulador!$I$28*(CY7-CX7),(Simulador!$I$28*(1-Simulador!$I$39)*(CY7-CX7))))</f>
        <v>#DIV/0!</v>
      </c>
      <c r="CZ22" s="62" t="e">
        <f>IF(IF(CZ7&gt;Simulador!$I$10,Simulador!$I$28*(CZ7-CY7),(Simulador!$I$28*(1-Simulador!$I$39)*(CZ7-CY7)))&lt;0,0,IF(CZ7&gt;Simulador!$I$10,Simulador!$I$28*(CZ7-CY7),(Simulador!$I$28*(1-Simulador!$I$39)*(CZ7-CY7))))</f>
        <v>#DIV/0!</v>
      </c>
      <c r="DA22" s="62" t="e">
        <f>IF(IF(DA7&gt;Simulador!$I$10,Simulador!$I$28*(DA7-CZ7),(Simulador!$I$28*(1-Simulador!$I$39)*(DA7-CZ7)))&lt;0,0,IF(DA7&gt;Simulador!$I$10,Simulador!$I$28*(DA7-CZ7),(Simulador!$I$28*(1-Simulador!$I$39)*(DA7-CZ7))))</f>
        <v>#DIV/0!</v>
      </c>
      <c r="DB22" s="62" t="e">
        <f>IF(IF(DB7&gt;Simulador!$I$10,Simulador!$I$28*(DB7-DA7),(Simulador!$I$28*(1-Simulador!$I$39)*(DB7-DA7)))&lt;0,0,IF(DB7&gt;Simulador!$I$10,Simulador!$I$28*(DB7-DA7),(Simulador!$I$28*(1-Simulador!$I$39)*(DB7-DA7))))</f>
        <v>#DIV/0!</v>
      </c>
      <c r="DC22" s="62" t="e">
        <f>IF(IF(DC7&gt;Simulador!$I$10,Simulador!$I$28*(DC7-DB7),(Simulador!$I$28*(1-Simulador!$I$39)*(DC7-DB7)))&lt;0,0,IF(DC7&gt;Simulador!$I$10,Simulador!$I$28*(DC7-DB7),(Simulador!$I$28*(1-Simulador!$I$39)*(DC7-DB7))))</f>
        <v>#DIV/0!</v>
      </c>
      <c r="DD22" s="62" t="e">
        <f>IF(IF(DD7&gt;Simulador!$I$10,Simulador!$I$28*(DD7-DC7),(Simulador!$I$28*(1-Simulador!$I$39)*(DD7-DC7)))&lt;0,0,IF(DD7&gt;Simulador!$I$10,Simulador!$I$28*(DD7-DC7),(Simulador!$I$28*(1-Simulador!$I$39)*(DD7-DC7))))</f>
        <v>#DIV/0!</v>
      </c>
      <c r="DE22" s="62" t="e">
        <f>IF(IF(DE7&gt;Simulador!$I$10,Simulador!$I$28*(DE7-DD7),(Simulador!$I$28*(1-Simulador!$I$39)*(DE7-DD7)))&lt;0,0,IF(DE7&gt;Simulador!$I$10,Simulador!$I$28*(DE7-DD7),(Simulador!$I$28*(1-Simulador!$I$39)*(DE7-DD7))))</f>
        <v>#DIV/0!</v>
      </c>
      <c r="DF22" s="62" t="e">
        <f>IF(IF(DF7&gt;Simulador!$I$10,Simulador!$I$28*(DF7-DE7),(Simulador!$I$28*(1-Simulador!$I$39)*(DF7-DE7)))&lt;0,0,IF(DF7&gt;Simulador!$I$10,Simulador!$I$28*(DF7-DE7),(Simulador!$I$28*(1-Simulador!$I$39)*(DF7-DE7))))</f>
        <v>#DIV/0!</v>
      </c>
      <c r="DG22" s="62" t="e">
        <f>IF(IF(DG7&gt;Simulador!$I$10,Simulador!$I$28*(DG7-DF7),(Simulador!$I$28*(1-Simulador!$I$39)*(DG7-DF7)))&lt;0,0,IF(DG7&gt;Simulador!$I$10,Simulador!$I$28*(DG7-DF7),(Simulador!$I$28*(1-Simulador!$I$39)*(DG7-DF7))))</f>
        <v>#DIV/0!</v>
      </c>
      <c r="DH22" s="62" t="e">
        <f>IF(IF(DH7&gt;Simulador!$I$10,Simulador!$I$28*(DH7-DG7),(Simulador!$I$28*(1-Simulador!$I$39)*(DH7-DG7)))&lt;0,0,IF(DH7&gt;Simulador!$I$10,Simulador!$I$28*(DH7-DG7),(Simulador!$I$28*(1-Simulador!$I$39)*(DH7-DG7))))</f>
        <v>#DIV/0!</v>
      </c>
      <c r="DI22" s="62" t="e">
        <f>IF(IF(DI7&gt;Simulador!$I$10,Simulador!$I$28*(DI7-DH7),(Simulador!$I$28*(1-Simulador!$I$39)*(DI7-DH7)))&lt;0,0,IF(DI7&gt;Simulador!$I$10,Simulador!$I$28*(DI7-DH7),(Simulador!$I$28*(1-Simulador!$I$39)*(DI7-DH7))))</f>
        <v>#DIV/0!</v>
      </c>
      <c r="DJ22" s="62" t="e">
        <f>IF(IF(DJ7&gt;Simulador!$I$10,Simulador!$I$28*(DJ7-DI7),(Simulador!$I$28*(1-Simulador!$I$39)*(DJ7-DI7)))&lt;0,0,IF(DJ7&gt;Simulador!$I$10,Simulador!$I$28*(DJ7-DI7),(Simulador!$I$28*(1-Simulador!$I$39)*(DJ7-DI7))))</f>
        <v>#DIV/0!</v>
      </c>
      <c r="DK22" s="62" t="e">
        <f>IF(IF(DK7&gt;Simulador!$I$10,Simulador!$I$28*(DK7-DJ7),(Simulador!$I$28*(1-Simulador!$I$39)*(DK7-DJ7)))&lt;0,0,IF(DK7&gt;Simulador!$I$10,Simulador!$I$28*(DK7-DJ7),(Simulador!$I$28*(1-Simulador!$I$39)*(DK7-DJ7))))</f>
        <v>#DIV/0!</v>
      </c>
      <c r="DL22" s="62" t="e">
        <f>IF(IF(DL7&gt;Simulador!$I$10,Simulador!$I$28*(DL7-DK7),(Simulador!$I$28*(1-Simulador!$I$39)*(DL7-DK7)))&lt;0,0,IF(DL7&gt;Simulador!$I$10,Simulador!$I$28*(DL7-DK7),(Simulador!$I$28*(1-Simulador!$I$39)*(DL7-DK7))))</f>
        <v>#DIV/0!</v>
      </c>
      <c r="DM22" s="62" t="e">
        <f>IF(IF(DM7&gt;Simulador!$I$10,Simulador!$I$28*(DM7-DL7),(Simulador!$I$28*(1-Simulador!$I$39)*(DM7-DL7)))&lt;0,0,IF(DM7&gt;Simulador!$I$10,Simulador!$I$28*(DM7-DL7),(Simulador!$I$28*(1-Simulador!$I$39)*(DM7-DL7))))</f>
        <v>#DIV/0!</v>
      </c>
      <c r="DN22" s="62" t="e">
        <f>IF(IF(DN7&gt;Simulador!$I$10,Simulador!$I$28*(DN7-DM7),(Simulador!$I$28*(1-Simulador!$I$39)*(DN7-DM7)))&lt;0,0,IF(DN7&gt;Simulador!$I$10,Simulador!$I$28*(DN7-DM7),(Simulador!$I$28*(1-Simulador!$I$39)*(DN7-DM7))))</f>
        <v>#DIV/0!</v>
      </c>
      <c r="DO22" s="62" t="e">
        <f>IF(IF(DO7&gt;Simulador!$I$10,Simulador!$I$28*(DO7-DN7),(Simulador!$I$28*(1-Simulador!$I$39)*(DO7-DN7)))&lt;0,0,IF(DO7&gt;Simulador!$I$10,Simulador!$I$28*(DO7-DN7),(Simulador!$I$28*(1-Simulador!$I$39)*(DO7-DN7))))</f>
        <v>#DIV/0!</v>
      </c>
      <c r="DP22" s="62" t="e">
        <f>IF(IF(DP7&gt;Simulador!$I$10,Simulador!$I$28*(DP7-DO7),(Simulador!$I$28*(1-Simulador!$I$39)*(DP7-DO7)))&lt;0,0,IF(DP7&gt;Simulador!$I$10,Simulador!$I$28*(DP7-DO7),(Simulador!$I$28*(1-Simulador!$I$39)*(DP7-DO7))))</f>
        <v>#DIV/0!</v>
      </c>
      <c r="DQ22" s="62" t="e">
        <f>IF(IF(DQ7&gt;Simulador!$I$10,Simulador!$I$28*(DQ7-DP7),(Simulador!$I$28*(1-Simulador!$I$39)*(DQ7-DP7)))&lt;0,0,IF(DQ7&gt;Simulador!$I$10,Simulador!$I$28*(DQ7-DP7),(Simulador!$I$28*(1-Simulador!$I$39)*(DQ7-DP7))))</f>
        <v>#DIV/0!</v>
      </c>
      <c r="DR22" s="62" t="e">
        <f>IF(IF(DR7&gt;Simulador!$I$10,Simulador!$I$28*(DR7-DQ7),(Simulador!$I$28*(1-Simulador!$I$39)*(DR7-DQ7)))&lt;0,0,IF(DR7&gt;Simulador!$I$10,Simulador!$I$28*(DR7-DQ7),(Simulador!$I$28*(1-Simulador!$I$39)*(DR7-DQ7))))</f>
        <v>#DIV/0!</v>
      </c>
      <c r="DS22" s="62" t="e">
        <f>IF(IF(DS7&gt;Simulador!$I$10,Simulador!$I$28*(DS7-DR7),(Simulador!$I$28*(1-Simulador!$I$39)*(DS7-DR7)))&lt;0,0,IF(DS7&gt;Simulador!$I$10,Simulador!$I$28*(DS7-DR7),(Simulador!$I$28*(1-Simulador!$I$39)*(DS7-DR7))))</f>
        <v>#DIV/0!</v>
      </c>
      <c r="DT22" s="62" t="e">
        <f>IF(IF(DT7&gt;Simulador!$I$10,Simulador!$I$28*(DT7-DS7),(Simulador!$I$28*(1-Simulador!$I$39)*(DT7-DS7)))&lt;0,0,IF(DT7&gt;Simulador!$I$10,Simulador!$I$28*(DT7-DS7),(Simulador!$I$28*(1-Simulador!$I$39)*(DT7-DS7))))</f>
        <v>#DIV/0!</v>
      </c>
      <c r="DU22" s="62" t="e">
        <f>IF(IF(DU7&gt;Simulador!$I$10,Simulador!$I$28*(DU7-DT7),(Simulador!$I$28*(1-Simulador!$I$39)*(DU7-DT7)))&lt;0,0,IF(DU7&gt;Simulador!$I$10,Simulador!$I$28*(DU7-DT7),(Simulador!$I$28*(1-Simulador!$I$39)*(DU7-DT7))))</f>
        <v>#DIV/0!</v>
      </c>
      <c r="DV22" s="62" t="e">
        <f>IF(IF(DV7&gt;Simulador!$I$10,Simulador!$I$28*(DV7-DU7),(Simulador!$I$28*(1-Simulador!$I$39)*(DV7-DU7)))&lt;0,0,IF(DV7&gt;Simulador!$I$10,Simulador!$I$28*(DV7-DU7),(Simulador!$I$28*(1-Simulador!$I$39)*(DV7-DU7))))</f>
        <v>#DIV/0!</v>
      </c>
      <c r="DW22" s="62" t="e">
        <f>IF(IF(DW7&gt;Simulador!$I$10,Simulador!$I$28*(DW7-DV7),(Simulador!$I$28*(1-Simulador!$I$39)*(DW7-DV7)))&lt;0,0,IF(DW7&gt;Simulador!$I$10,Simulador!$I$28*(DW7-DV7),(Simulador!$I$28*(1-Simulador!$I$39)*(DW7-DV7))))</f>
        <v>#DIV/0!</v>
      </c>
      <c r="DX22" s="62" t="e">
        <f>IF(IF(DX7&gt;Simulador!$I$10,Simulador!$I$28*(DX7-DW7),(Simulador!$I$28*(1-Simulador!$I$39)*(DX7-DW7)))&lt;0,0,IF(DX7&gt;Simulador!$I$10,Simulador!$I$28*(DX7-DW7),(Simulador!$I$28*(1-Simulador!$I$39)*(DX7-DW7))))</f>
        <v>#DIV/0!</v>
      </c>
      <c r="DY22" s="62" t="e">
        <f>IF(IF(DY7&gt;Simulador!$I$10,Simulador!$I$28*(DY7-DX7),(Simulador!$I$28*(1-Simulador!$I$39)*(DY7-DX7)))&lt;0,0,IF(DY7&gt;Simulador!$I$10,Simulador!$I$28*(DY7-DX7),(Simulador!$I$28*(1-Simulador!$I$39)*(DY7-DX7))))</f>
        <v>#DIV/0!</v>
      </c>
      <c r="DZ22" s="62" t="e">
        <f>IF(IF(DZ7&gt;Simulador!$I$10,Simulador!$I$28*(DZ7-DY7),(Simulador!$I$28*(1-Simulador!$I$39)*(DZ7-DY7)))&lt;0,0,IF(DZ7&gt;Simulador!$I$10,Simulador!$I$28*(DZ7-DY7),(Simulador!$I$28*(1-Simulador!$I$39)*(DZ7-DY7))))</f>
        <v>#DIV/0!</v>
      </c>
      <c r="EA22" s="62" t="e">
        <f>IF(IF(EA7&gt;Simulador!$I$10,Simulador!$I$28*(EA7-DZ7),(Simulador!$I$28*(1-Simulador!$I$39)*(EA7-DZ7)))&lt;0,0,IF(EA7&gt;Simulador!$I$10,Simulador!$I$28*(EA7-DZ7),(Simulador!$I$28*(1-Simulador!$I$39)*(EA7-DZ7))))</f>
        <v>#DIV/0!</v>
      </c>
      <c r="EB22" s="62" t="e">
        <f>IF(IF(EB7&gt;Simulador!$I$10,Simulador!$I$28*(EB7-EA7),(Simulador!$I$28*(1-Simulador!$I$39)*(EB7-EA7)))&lt;0,0,IF(EB7&gt;Simulador!$I$10,Simulador!$I$28*(EB7-EA7),(Simulador!$I$28*(1-Simulador!$I$39)*(EB7-EA7))))</f>
        <v>#DIV/0!</v>
      </c>
      <c r="EC22" s="62" t="e">
        <f>IF(IF(EC7&gt;Simulador!$I$10,Simulador!$I$28*(EC7-EB7),(Simulador!$I$28*(1-Simulador!$I$39)*(EC7-EB7)))&lt;0,0,IF(EC7&gt;Simulador!$I$10,Simulador!$I$28*(EC7-EB7),(Simulador!$I$28*(1-Simulador!$I$39)*(EC7-EB7))))</f>
        <v>#DIV/0!</v>
      </c>
      <c r="ED22" s="62" t="e">
        <f>IF(IF(ED7&gt;Simulador!$I$10,Simulador!$I$28*(ED7-EC7),(Simulador!$I$28*(1-Simulador!$I$39)*(ED7-EC7)))&lt;0,0,IF(ED7&gt;Simulador!$I$10,Simulador!$I$28*(ED7-EC7),(Simulador!$I$28*(1-Simulador!$I$39)*(ED7-EC7))))</f>
        <v>#DIV/0!</v>
      </c>
    </row>
    <row r="23" spans="1:135" ht="12.5" x14ac:dyDescent="0.25">
      <c r="B23" s="46" t="s">
        <v>196</v>
      </c>
      <c r="C23" s="53"/>
      <c r="D23" s="62">
        <f t="shared" ref="D23:H23" si="22">SUMIFS($O23:$BV23,$O$4:$BV$4,D$3)</f>
        <v>3000</v>
      </c>
      <c r="E23" s="62">
        <f t="shared" si="22"/>
        <v>0</v>
      </c>
      <c r="F23" s="62">
        <f t="shared" si="22"/>
        <v>0</v>
      </c>
      <c r="G23" s="62">
        <f t="shared" si="22"/>
        <v>0</v>
      </c>
      <c r="H23" s="62">
        <f t="shared" si="22"/>
        <v>0</v>
      </c>
      <c r="I23" s="62">
        <f t="shared" ref="I23:M23" si="23">SUMIFS($O23:$ED23,$O$4:$ED$4,I$3)</f>
        <v>0</v>
      </c>
      <c r="J23" s="62">
        <f t="shared" si="23"/>
        <v>0</v>
      </c>
      <c r="K23" s="62">
        <f t="shared" si="23"/>
        <v>0</v>
      </c>
      <c r="L23" s="62">
        <f t="shared" si="23"/>
        <v>0</v>
      </c>
      <c r="M23" s="62">
        <f t="shared" si="23"/>
        <v>0</v>
      </c>
      <c r="N23" s="53"/>
      <c r="O23" s="62">
        <f>IF(Simulador!$I$41=TRUE,0,Simulador!$I$32)</f>
        <v>3000</v>
      </c>
      <c r="P23" s="62">
        <v>0</v>
      </c>
      <c r="Q23" s="62">
        <f t="shared" ref="Q23:ED23" si="24">P23</f>
        <v>0</v>
      </c>
      <c r="R23" s="62">
        <f t="shared" si="24"/>
        <v>0</v>
      </c>
      <c r="S23" s="62">
        <f t="shared" si="24"/>
        <v>0</v>
      </c>
      <c r="T23" s="62">
        <f t="shared" si="24"/>
        <v>0</v>
      </c>
      <c r="U23" s="62">
        <f t="shared" si="24"/>
        <v>0</v>
      </c>
      <c r="V23" s="62">
        <f t="shared" si="24"/>
        <v>0</v>
      </c>
      <c r="W23" s="62">
        <f t="shared" si="24"/>
        <v>0</v>
      </c>
      <c r="X23" s="62">
        <f t="shared" si="24"/>
        <v>0</v>
      </c>
      <c r="Y23" s="62">
        <f t="shared" si="24"/>
        <v>0</v>
      </c>
      <c r="Z23" s="62">
        <f t="shared" si="24"/>
        <v>0</v>
      </c>
      <c r="AA23" s="62">
        <f t="shared" si="24"/>
        <v>0</v>
      </c>
      <c r="AB23" s="62">
        <f t="shared" si="24"/>
        <v>0</v>
      </c>
      <c r="AC23" s="62">
        <f t="shared" si="24"/>
        <v>0</v>
      </c>
      <c r="AD23" s="62">
        <f t="shared" si="24"/>
        <v>0</v>
      </c>
      <c r="AE23" s="62">
        <f t="shared" si="24"/>
        <v>0</v>
      </c>
      <c r="AF23" s="62">
        <f t="shared" si="24"/>
        <v>0</v>
      </c>
      <c r="AG23" s="62">
        <f t="shared" si="24"/>
        <v>0</v>
      </c>
      <c r="AH23" s="62">
        <f t="shared" si="24"/>
        <v>0</v>
      </c>
      <c r="AI23" s="62">
        <f t="shared" si="24"/>
        <v>0</v>
      </c>
      <c r="AJ23" s="62">
        <f t="shared" si="24"/>
        <v>0</v>
      </c>
      <c r="AK23" s="62">
        <f t="shared" si="24"/>
        <v>0</v>
      </c>
      <c r="AL23" s="62">
        <f t="shared" si="24"/>
        <v>0</v>
      </c>
      <c r="AM23" s="62">
        <f t="shared" si="24"/>
        <v>0</v>
      </c>
      <c r="AN23" s="62">
        <f t="shared" si="24"/>
        <v>0</v>
      </c>
      <c r="AO23" s="62">
        <f t="shared" si="24"/>
        <v>0</v>
      </c>
      <c r="AP23" s="62">
        <f t="shared" si="24"/>
        <v>0</v>
      </c>
      <c r="AQ23" s="62">
        <f t="shared" si="24"/>
        <v>0</v>
      </c>
      <c r="AR23" s="62">
        <f t="shared" si="24"/>
        <v>0</v>
      </c>
      <c r="AS23" s="62">
        <f t="shared" si="24"/>
        <v>0</v>
      </c>
      <c r="AT23" s="62">
        <f t="shared" si="24"/>
        <v>0</v>
      </c>
      <c r="AU23" s="62">
        <f t="shared" si="24"/>
        <v>0</v>
      </c>
      <c r="AV23" s="62">
        <f t="shared" si="24"/>
        <v>0</v>
      </c>
      <c r="AW23" s="62">
        <f t="shared" si="24"/>
        <v>0</v>
      </c>
      <c r="AX23" s="62">
        <f t="shared" si="24"/>
        <v>0</v>
      </c>
      <c r="AY23" s="62">
        <f t="shared" si="24"/>
        <v>0</v>
      </c>
      <c r="AZ23" s="62">
        <f t="shared" si="24"/>
        <v>0</v>
      </c>
      <c r="BA23" s="62">
        <f t="shared" si="24"/>
        <v>0</v>
      </c>
      <c r="BB23" s="62">
        <f t="shared" si="24"/>
        <v>0</v>
      </c>
      <c r="BC23" s="62">
        <f t="shared" si="24"/>
        <v>0</v>
      </c>
      <c r="BD23" s="62">
        <f t="shared" si="24"/>
        <v>0</v>
      </c>
      <c r="BE23" s="62">
        <f t="shared" si="24"/>
        <v>0</v>
      </c>
      <c r="BF23" s="62">
        <f t="shared" si="24"/>
        <v>0</v>
      </c>
      <c r="BG23" s="62">
        <f t="shared" si="24"/>
        <v>0</v>
      </c>
      <c r="BH23" s="62">
        <f t="shared" si="24"/>
        <v>0</v>
      </c>
      <c r="BI23" s="62">
        <f t="shared" si="24"/>
        <v>0</v>
      </c>
      <c r="BJ23" s="62">
        <f t="shared" si="24"/>
        <v>0</v>
      </c>
      <c r="BK23" s="62">
        <f t="shared" si="24"/>
        <v>0</v>
      </c>
      <c r="BL23" s="62">
        <f t="shared" si="24"/>
        <v>0</v>
      </c>
      <c r="BM23" s="62">
        <f t="shared" si="24"/>
        <v>0</v>
      </c>
      <c r="BN23" s="62">
        <f t="shared" si="24"/>
        <v>0</v>
      </c>
      <c r="BO23" s="62">
        <f t="shared" si="24"/>
        <v>0</v>
      </c>
      <c r="BP23" s="62">
        <f t="shared" si="24"/>
        <v>0</v>
      </c>
      <c r="BQ23" s="62">
        <f t="shared" si="24"/>
        <v>0</v>
      </c>
      <c r="BR23" s="62">
        <f t="shared" si="24"/>
        <v>0</v>
      </c>
      <c r="BS23" s="62">
        <f t="shared" si="24"/>
        <v>0</v>
      </c>
      <c r="BT23" s="62">
        <f t="shared" si="24"/>
        <v>0</v>
      </c>
      <c r="BU23" s="62">
        <f t="shared" si="24"/>
        <v>0</v>
      </c>
      <c r="BV23" s="62">
        <f t="shared" si="24"/>
        <v>0</v>
      </c>
      <c r="BW23" s="62">
        <f t="shared" si="24"/>
        <v>0</v>
      </c>
      <c r="BX23" s="62">
        <f t="shared" si="24"/>
        <v>0</v>
      </c>
      <c r="BY23" s="62">
        <f t="shared" si="24"/>
        <v>0</v>
      </c>
      <c r="BZ23" s="62">
        <f t="shared" si="24"/>
        <v>0</v>
      </c>
      <c r="CA23" s="62">
        <f t="shared" si="24"/>
        <v>0</v>
      </c>
      <c r="CB23" s="62">
        <f t="shared" si="24"/>
        <v>0</v>
      </c>
      <c r="CC23" s="62">
        <f t="shared" si="24"/>
        <v>0</v>
      </c>
      <c r="CD23" s="62">
        <f t="shared" si="24"/>
        <v>0</v>
      </c>
      <c r="CE23" s="62">
        <f t="shared" si="24"/>
        <v>0</v>
      </c>
      <c r="CF23" s="62">
        <f t="shared" si="24"/>
        <v>0</v>
      </c>
      <c r="CG23" s="62">
        <f t="shared" si="24"/>
        <v>0</v>
      </c>
      <c r="CH23" s="62">
        <f t="shared" si="24"/>
        <v>0</v>
      </c>
      <c r="CI23" s="62">
        <f t="shared" si="24"/>
        <v>0</v>
      </c>
      <c r="CJ23" s="62">
        <f t="shared" si="24"/>
        <v>0</v>
      </c>
      <c r="CK23" s="62">
        <f t="shared" si="24"/>
        <v>0</v>
      </c>
      <c r="CL23" s="62">
        <f t="shared" si="24"/>
        <v>0</v>
      </c>
      <c r="CM23" s="62">
        <f t="shared" si="24"/>
        <v>0</v>
      </c>
      <c r="CN23" s="62">
        <f t="shared" si="24"/>
        <v>0</v>
      </c>
      <c r="CO23" s="62">
        <f t="shared" si="24"/>
        <v>0</v>
      </c>
      <c r="CP23" s="62">
        <f t="shared" si="24"/>
        <v>0</v>
      </c>
      <c r="CQ23" s="62">
        <f t="shared" si="24"/>
        <v>0</v>
      </c>
      <c r="CR23" s="62">
        <f t="shared" si="24"/>
        <v>0</v>
      </c>
      <c r="CS23" s="62">
        <f t="shared" si="24"/>
        <v>0</v>
      </c>
      <c r="CT23" s="62">
        <f t="shared" si="24"/>
        <v>0</v>
      </c>
      <c r="CU23" s="62">
        <f t="shared" si="24"/>
        <v>0</v>
      </c>
      <c r="CV23" s="62">
        <f t="shared" si="24"/>
        <v>0</v>
      </c>
      <c r="CW23" s="62">
        <f t="shared" si="24"/>
        <v>0</v>
      </c>
      <c r="CX23" s="62">
        <f t="shared" si="24"/>
        <v>0</v>
      </c>
      <c r="CY23" s="62">
        <f t="shared" si="24"/>
        <v>0</v>
      </c>
      <c r="CZ23" s="62">
        <f t="shared" si="24"/>
        <v>0</v>
      </c>
      <c r="DA23" s="62">
        <f t="shared" si="24"/>
        <v>0</v>
      </c>
      <c r="DB23" s="62">
        <f t="shared" si="24"/>
        <v>0</v>
      </c>
      <c r="DC23" s="62">
        <f t="shared" si="24"/>
        <v>0</v>
      </c>
      <c r="DD23" s="62">
        <f t="shared" si="24"/>
        <v>0</v>
      </c>
      <c r="DE23" s="62">
        <f t="shared" si="24"/>
        <v>0</v>
      </c>
      <c r="DF23" s="62">
        <f t="shared" si="24"/>
        <v>0</v>
      </c>
      <c r="DG23" s="62">
        <f t="shared" si="24"/>
        <v>0</v>
      </c>
      <c r="DH23" s="62">
        <f t="shared" si="24"/>
        <v>0</v>
      </c>
      <c r="DI23" s="62">
        <f t="shared" si="24"/>
        <v>0</v>
      </c>
      <c r="DJ23" s="62">
        <f t="shared" si="24"/>
        <v>0</v>
      </c>
      <c r="DK23" s="62">
        <f t="shared" si="24"/>
        <v>0</v>
      </c>
      <c r="DL23" s="62">
        <f t="shared" si="24"/>
        <v>0</v>
      </c>
      <c r="DM23" s="62">
        <f t="shared" si="24"/>
        <v>0</v>
      </c>
      <c r="DN23" s="62">
        <f t="shared" si="24"/>
        <v>0</v>
      </c>
      <c r="DO23" s="62">
        <f t="shared" si="24"/>
        <v>0</v>
      </c>
      <c r="DP23" s="62">
        <f t="shared" si="24"/>
        <v>0</v>
      </c>
      <c r="DQ23" s="62">
        <f t="shared" si="24"/>
        <v>0</v>
      </c>
      <c r="DR23" s="62">
        <f t="shared" si="24"/>
        <v>0</v>
      </c>
      <c r="DS23" s="62">
        <f t="shared" si="24"/>
        <v>0</v>
      </c>
      <c r="DT23" s="62">
        <f t="shared" si="24"/>
        <v>0</v>
      </c>
      <c r="DU23" s="62">
        <f t="shared" si="24"/>
        <v>0</v>
      </c>
      <c r="DV23" s="62">
        <f t="shared" si="24"/>
        <v>0</v>
      </c>
      <c r="DW23" s="62">
        <f t="shared" si="24"/>
        <v>0</v>
      </c>
      <c r="DX23" s="62">
        <f t="shared" si="24"/>
        <v>0</v>
      </c>
      <c r="DY23" s="62">
        <f t="shared" si="24"/>
        <v>0</v>
      </c>
      <c r="DZ23" s="62">
        <f t="shared" si="24"/>
        <v>0</v>
      </c>
      <c r="EA23" s="62">
        <f t="shared" si="24"/>
        <v>0</v>
      </c>
      <c r="EB23" s="62">
        <f t="shared" si="24"/>
        <v>0</v>
      </c>
      <c r="EC23" s="62">
        <f t="shared" si="24"/>
        <v>0</v>
      </c>
      <c r="ED23" s="62">
        <f t="shared" si="24"/>
        <v>0</v>
      </c>
    </row>
    <row r="24" spans="1:135" ht="13" x14ac:dyDescent="0.3">
      <c r="B24" s="38" t="s">
        <v>197</v>
      </c>
      <c r="C24" s="53"/>
      <c r="D24" s="67">
        <f t="shared" ref="D24:H24" si="25">SUMIFS($O24:$BV24,$O$4:$BV$4,D$3)</f>
        <v>0</v>
      </c>
      <c r="E24" s="67">
        <f t="shared" si="25"/>
        <v>0</v>
      </c>
      <c r="F24" s="67">
        <f t="shared" si="25"/>
        <v>0</v>
      </c>
      <c r="G24" s="67">
        <f t="shared" si="25"/>
        <v>0</v>
      </c>
      <c r="H24" s="67">
        <f t="shared" si="25"/>
        <v>0</v>
      </c>
      <c r="I24" s="67">
        <f t="shared" ref="I24:M24" si="26">SUMIFS($O24:$ED24,$O$4:$ED$4,I$3)</f>
        <v>0</v>
      </c>
      <c r="J24" s="67">
        <f t="shared" si="26"/>
        <v>0</v>
      </c>
      <c r="K24" s="67">
        <f t="shared" si="26"/>
        <v>0</v>
      </c>
      <c r="L24" s="67">
        <f t="shared" si="26"/>
        <v>0</v>
      </c>
      <c r="M24" s="67">
        <f t="shared" si="26"/>
        <v>0</v>
      </c>
      <c r="N24" s="53"/>
      <c r="O24" s="62">
        <v>0</v>
      </c>
      <c r="P24" s="62">
        <f>IF(P1&lt;=Simulador!$I$45,Simulador!$I$44*-SUM(P19),0)</f>
        <v>0</v>
      </c>
      <c r="Q24" s="62">
        <f>IF(Q1&lt;=Simulador!$I$45,Simulador!$I$44*-SUM(Q19),0)</f>
        <v>0</v>
      </c>
      <c r="R24" s="62">
        <f>IF(R1&lt;=Simulador!$I$45,Simulador!$I$44*-SUM(R19),0)</f>
        <v>0</v>
      </c>
      <c r="S24" s="62">
        <f>IF(S1&lt;=Simulador!$I$45,Simulador!$I$44*-SUM(S19),0)</f>
        <v>0</v>
      </c>
      <c r="T24" s="62">
        <f>IF(T1&lt;=Simulador!$I$45,Simulador!$I$44*-SUM(T19),0)</f>
        <v>0</v>
      </c>
      <c r="U24" s="62">
        <f>IF(U1&lt;=Simulador!$I$45,Simulador!$I$44*-SUM(U19),0)</f>
        <v>0</v>
      </c>
      <c r="V24" s="62">
        <f>IF(V1&lt;=Simulador!$I$45,Simulador!$I$44*-SUM(V19),0)</f>
        <v>0</v>
      </c>
      <c r="W24" s="62">
        <f>IF(W1&lt;=Simulador!$I$45,Simulador!$I$44*-SUM(W19),0)</f>
        <v>0</v>
      </c>
      <c r="X24" s="62">
        <f>IF(X1&lt;=Simulador!$I$45,Simulador!$I$44*-SUM(X19),0)</f>
        <v>0</v>
      </c>
      <c r="Y24" s="62">
        <f>IF(Y1&lt;=Simulador!$I$45,Simulador!$I$44*-SUM(Y19),0)</f>
        <v>0</v>
      </c>
      <c r="Z24" s="62">
        <f>IF(Z1&lt;=Simulador!$I$45,Simulador!$I$44*-SUM(Z19),0)</f>
        <v>0</v>
      </c>
      <c r="AA24" s="62">
        <f>IF(AA1&lt;=Simulador!$I$45,Simulador!$I$44*-SUM(AA19),0)</f>
        <v>0</v>
      </c>
      <c r="AB24" s="62">
        <f>IF(AB1&lt;=Simulador!$I$45,Simulador!$I$44*-SUM(AB19),0)</f>
        <v>0</v>
      </c>
      <c r="AC24" s="62">
        <f>IF(AC1&lt;=Simulador!$I$45,Simulador!$I$44*-SUM(AC19),0)</f>
        <v>0</v>
      </c>
      <c r="AD24" s="62">
        <f>IF(AD1&lt;=Simulador!$I$45,Simulador!$I$44*-SUM(AD19),0)</f>
        <v>0</v>
      </c>
      <c r="AE24" s="62">
        <f>IF(AE1&lt;=Simulador!$I$45,Simulador!$I$44*-SUM(AE19),0)</f>
        <v>0</v>
      </c>
      <c r="AF24" s="62">
        <f>IF(AF1&lt;=Simulador!$I$45,Simulador!$I$44*-SUM(AF19),0)</f>
        <v>0</v>
      </c>
      <c r="AG24" s="62">
        <f>IF(AG1&lt;=Simulador!$I$45,Simulador!$I$44*-SUM(AG19),0)</f>
        <v>0</v>
      </c>
      <c r="AH24" s="62">
        <f>IF(AH1&lt;=Simulador!$I$45,Simulador!$I$44*-SUM(AH19),0)</f>
        <v>0</v>
      </c>
      <c r="AI24" s="62">
        <f>IF(AI1&lt;=Simulador!$I$45,Simulador!$I$44*-SUM(AI19),0)</f>
        <v>0</v>
      </c>
      <c r="AJ24" s="62">
        <f>IF(AJ1&lt;=Simulador!$I$45,Simulador!$I$44*-SUM(AJ19),0)</f>
        <v>0</v>
      </c>
      <c r="AK24" s="62">
        <f>IF(AK1&lt;=Simulador!$I$45,Simulador!$I$44*-SUM(AK19),0)</f>
        <v>0</v>
      </c>
      <c r="AL24" s="62">
        <f>IF(AL1&lt;=Simulador!$I$45,Simulador!$I$44*-SUM(AL19),0)</f>
        <v>0</v>
      </c>
      <c r="AM24" s="62">
        <f>IF(AM1&lt;=Simulador!$I$45,Simulador!$I$44*-SUM(AM19),0)</f>
        <v>0</v>
      </c>
      <c r="AN24" s="62">
        <f>IF(AN1&lt;=Simulador!$I$45,Simulador!$I$44*-SUM(AN19),0)</f>
        <v>0</v>
      </c>
      <c r="AO24" s="62">
        <f>IF(AO1&lt;=Simulador!$I$45,Simulador!$I$44*-SUM(AO19),0)</f>
        <v>0</v>
      </c>
      <c r="AP24" s="62">
        <f>IF(AP1&lt;=Simulador!$I$45,Simulador!$I$44*-SUM(AP19),0)</f>
        <v>0</v>
      </c>
      <c r="AQ24" s="62">
        <f>IF(AQ1&lt;=Simulador!$I$45,Simulador!$I$44*-SUM(AQ19),0)</f>
        <v>0</v>
      </c>
      <c r="AR24" s="62">
        <f>IF(AR1&lt;=Simulador!$I$45,Simulador!$I$44*-SUM(AR19),0)</f>
        <v>0</v>
      </c>
      <c r="AS24" s="62">
        <f>IF(AS1&lt;=Simulador!$I$45,Simulador!$I$44*-SUM(AS19),0)</f>
        <v>0</v>
      </c>
      <c r="AT24" s="62">
        <f>IF(AT1&lt;=Simulador!$I$45,Simulador!$I$44*-SUM(AT19),0)</f>
        <v>0</v>
      </c>
      <c r="AU24" s="62">
        <f>IF(AU1&lt;=Simulador!$I$45,Simulador!$I$44*-SUM(AU19),0)</f>
        <v>0</v>
      </c>
      <c r="AV24" s="62">
        <f>IF(AV1&lt;=Simulador!$I$45,Simulador!$I$44*-SUM(AV19),0)</f>
        <v>0</v>
      </c>
      <c r="AW24" s="62">
        <f>IF(AW1&lt;=Simulador!$I$45,Simulador!$I$44*-SUM(AW19),0)</f>
        <v>0</v>
      </c>
      <c r="AX24" s="62">
        <f>IF(AX1&lt;=Simulador!$I$45,Simulador!$I$44*-SUM(AX19),0)</f>
        <v>0</v>
      </c>
      <c r="AY24" s="62">
        <f>IF(AY1&lt;=Simulador!$I$45,Simulador!$I$44*-SUM(AY19),0)</f>
        <v>0</v>
      </c>
      <c r="AZ24" s="62">
        <f>IF(AZ1&lt;=Simulador!$I$45,Simulador!$I$44*-SUM(AZ19),0)</f>
        <v>0</v>
      </c>
      <c r="BA24" s="62">
        <f>IF(BA1&lt;=Simulador!$I$45,Simulador!$I$44*-SUM(BA19),0)</f>
        <v>0</v>
      </c>
      <c r="BB24" s="62">
        <f>IF(BB1&lt;=Simulador!$I$45,Simulador!$I$44*-SUM(BB19),0)</f>
        <v>0</v>
      </c>
      <c r="BC24" s="62">
        <f>IF(BC1&lt;=Simulador!$I$45,Simulador!$I$44*-SUM(BC19),0)</f>
        <v>0</v>
      </c>
      <c r="BD24" s="62">
        <f>IF(BD1&lt;=Simulador!$I$45,Simulador!$I$44*-SUM(BD19),0)</f>
        <v>0</v>
      </c>
      <c r="BE24" s="62">
        <f>IF(BE1&lt;=Simulador!$I$45,Simulador!$I$44*-SUM(BE19),0)</f>
        <v>0</v>
      </c>
      <c r="BF24" s="62">
        <f>IF(BF1&lt;=Simulador!$I$45,Simulador!$I$44*-SUM(BF19),0)</f>
        <v>0</v>
      </c>
      <c r="BG24" s="62">
        <f>IF(BG1&lt;=Simulador!$I$45,Simulador!$I$44*-SUM(BG19),0)</f>
        <v>0</v>
      </c>
      <c r="BH24" s="62">
        <f>IF(BH1&lt;=Simulador!$I$45,Simulador!$I$44*-SUM(BH19),0)</f>
        <v>0</v>
      </c>
      <c r="BI24" s="62">
        <f>IF(BI1&lt;=Simulador!$I$45,Simulador!$I$44*-SUM(BI19),0)</f>
        <v>0</v>
      </c>
      <c r="BJ24" s="62">
        <f>IF(BJ1&lt;=Simulador!$I$45,Simulador!$I$44*-SUM(BJ19),0)</f>
        <v>0</v>
      </c>
      <c r="BK24" s="62">
        <f>IF(BK1&lt;=Simulador!$I$45,Simulador!$I$44*-SUM(BK19),0)</f>
        <v>0</v>
      </c>
      <c r="BL24" s="62">
        <f>IF(BL1&lt;=Simulador!$I$45,Simulador!$I$44*-SUM(BL19),0)</f>
        <v>0</v>
      </c>
      <c r="BM24" s="62">
        <f>IF(BM1&lt;=Simulador!$I$45,Simulador!$I$44*-SUM(BM19),0)</f>
        <v>0</v>
      </c>
      <c r="BN24" s="62">
        <f>IF(BN1&lt;=Simulador!$I$45,Simulador!$I$44*-SUM(BN19),0)</f>
        <v>0</v>
      </c>
      <c r="BO24" s="62">
        <f>IF(BO1&lt;=Simulador!$I$45,Simulador!$I$44*-SUM(BO19),0)</f>
        <v>0</v>
      </c>
      <c r="BP24" s="62">
        <f>IF(BP1&lt;=Simulador!$I$45,Simulador!$I$44*-SUM(BP19),0)</f>
        <v>0</v>
      </c>
      <c r="BQ24" s="62">
        <f>IF(BQ1&lt;=Simulador!$I$45,Simulador!$I$44*-SUM(BQ19),0)</f>
        <v>0</v>
      </c>
      <c r="BR24" s="62">
        <f>IF(BR1&lt;=Simulador!$I$45,Simulador!$I$44*-SUM(BR19),0)</f>
        <v>0</v>
      </c>
      <c r="BS24" s="62">
        <f>IF(BS1&lt;=Simulador!$I$45,Simulador!$I$44*-SUM(BS19),0)</f>
        <v>0</v>
      </c>
      <c r="BT24" s="62">
        <f>IF(BT1&lt;=Simulador!$I$45,Simulador!$I$44*-SUM(BT19),0)</f>
        <v>0</v>
      </c>
      <c r="BU24" s="62">
        <f>IF(BU1&lt;=Simulador!$I$45,Simulador!$I$44*-SUM(BU19),0)</f>
        <v>0</v>
      </c>
      <c r="BV24" s="62">
        <f>IF(BV1&lt;=Simulador!$I$45,Simulador!$I$44*-SUM(BV19),0)</f>
        <v>0</v>
      </c>
      <c r="BW24" s="62">
        <f>IF(BW1&lt;=Simulador!$I$45,Simulador!$I$44*-SUM(BW19),0)</f>
        <v>0</v>
      </c>
      <c r="BX24" s="62">
        <f>IF(BX1&lt;=Simulador!$I$45,Simulador!$I$44*-SUM(BX19),0)</f>
        <v>0</v>
      </c>
      <c r="BY24" s="62">
        <f>IF(BY1&lt;=Simulador!$I$45,Simulador!$I$44*-SUM(BY19),0)</f>
        <v>0</v>
      </c>
      <c r="BZ24" s="62">
        <f>IF(BZ1&lt;=Simulador!$I$45,Simulador!$I$44*-SUM(BZ19),0)</f>
        <v>0</v>
      </c>
      <c r="CA24" s="62">
        <f>IF(CA1&lt;=Simulador!$I$45,Simulador!$I$44*-SUM(CA19),0)</f>
        <v>0</v>
      </c>
      <c r="CB24" s="62">
        <f>IF(CB1&lt;=Simulador!$I$45,Simulador!$I$44*-SUM(CB19),0)</f>
        <v>0</v>
      </c>
      <c r="CC24" s="62">
        <f>IF(CC1&lt;=Simulador!$I$45,Simulador!$I$44*-SUM(CC19),0)</f>
        <v>0</v>
      </c>
      <c r="CD24" s="62">
        <f>IF(CD1&lt;=Simulador!$I$45,Simulador!$I$44*-SUM(CD19),0)</f>
        <v>0</v>
      </c>
      <c r="CE24" s="62">
        <f>IF(CE1&lt;=Simulador!$I$45,Simulador!$I$44*-SUM(CE19),0)</f>
        <v>0</v>
      </c>
      <c r="CF24" s="62">
        <f>IF(CF1&lt;=Simulador!$I$45,Simulador!$I$44*-SUM(CF19),0)</f>
        <v>0</v>
      </c>
      <c r="CG24" s="62">
        <f>IF(CG1&lt;=Simulador!$I$45,Simulador!$I$44*-SUM(CG19),0)</f>
        <v>0</v>
      </c>
      <c r="CH24" s="62">
        <f>IF(CH1&lt;=Simulador!$I$45,Simulador!$I$44*-SUM(CH19),0)</f>
        <v>0</v>
      </c>
      <c r="CI24" s="62">
        <f>IF(CI1&lt;=Simulador!$I$45,Simulador!$I$44*-SUM(CI19),0)</f>
        <v>0</v>
      </c>
      <c r="CJ24" s="62">
        <f>IF(CJ1&lt;=Simulador!$I$45,Simulador!$I$44*-SUM(CJ19),0)</f>
        <v>0</v>
      </c>
      <c r="CK24" s="62">
        <f>IF(CK1&lt;=Simulador!$I$45,Simulador!$I$44*-SUM(CK19),0)</f>
        <v>0</v>
      </c>
      <c r="CL24" s="62">
        <f>IF(CL1&lt;=Simulador!$I$45,Simulador!$I$44*-SUM(CL19),0)</f>
        <v>0</v>
      </c>
      <c r="CM24" s="62">
        <f>IF(CM1&lt;=Simulador!$I$45,Simulador!$I$44*-SUM(CM19),0)</f>
        <v>0</v>
      </c>
      <c r="CN24" s="62">
        <f>IF(CN1&lt;=Simulador!$I$45,Simulador!$I$44*-SUM(CN19),0)</f>
        <v>0</v>
      </c>
      <c r="CO24" s="62">
        <f>IF(CO1&lt;=Simulador!$I$45,Simulador!$I$44*-SUM(CO19),0)</f>
        <v>0</v>
      </c>
      <c r="CP24" s="62">
        <f>IF(CP1&lt;=Simulador!$I$45,Simulador!$I$44*-SUM(CP19),0)</f>
        <v>0</v>
      </c>
      <c r="CQ24" s="62">
        <f>IF(CQ1&lt;=Simulador!$I$45,Simulador!$I$44*-SUM(CQ19),0)</f>
        <v>0</v>
      </c>
      <c r="CR24" s="62">
        <f>IF(CR1&lt;=Simulador!$I$45,Simulador!$I$44*-SUM(CR19),0)</f>
        <v>0</v>
      </c>
      <c r="CS24" s="62">
        <f>IF(CS1&lt;=Simulador!$I$45,Simulador!$I$44*-SUM(CS19),0)</f>
        <v>0</v>
      </c>
      <c r="CT24" s="62">
        <f>IF(CT1&lt;=Simulador!$I$45,Simulador!$I$44*-SUM(CT19),0)</f>
        <v>0</v>
      </c>
      <c r="CU24" s="62">
        <f>IF(CU1&lt;=Simulador!$I$45,Simulador!$I$44*-SUM(CU19),0)</f>
        <v>0</v>
      </c>
      <c r="CV24" s="62">
        <f>IF(CV1&lt;=Simulador!$I$45,Simulador!$I$44*-SUM(CV19),0)</f>
        <v>0</v>
      </c>
      <c r="CW24" s="62">
        <f>IF(CW1&lt;=Simulador!$I$45,Simulador!$I$44*-SUM(CW19),0)</f>
        <v>0</v>
      </c>
      <c r="CX24" s="62">
        <f>IF(CX1&lt;=Simulador!$I$45,Simulador!$I$44*-SUM(CX19),0)</f>
        <v>0</v>
      </c>
      <c r="CY24" s="62">
        <f>IF(CY1&lt;=Simulador!$I$45,Simulador!$I$44*-SUM(CY19),0)</f>
        <v>0</v>
      </c>
      <c r="CZ24" s="62">
        <f>IF(CZ1&lt;=Simulador!$I$45,Simulador!$I$44*-SUM(CZ19),0)</f>
        <v>0</v>
      </c>
      <c r="DA24" s="62">
        <f>IF(DA1&lt;=Simulador!$I$45,Simulador!$I$44*-SUM(DA19),0)</f>
        <v>0</v>
      </c>
      <c r="DB24" s="62">
        <f>IF(DB1&lt;=Simulador!$I$45,Simulador!$I$44*-SUM(DB19),0)</f>
        <v>0</v>
      </c>
      <c r="DC24" s="62">
        <f>IF(DC1&lt;=Simulador!$I$45,Simulador!$I$44*-SUM(DC19),0)</f>
        <v>0</v>
      </c>
      <c r="DD24" s="62">
        <f>IF(DD1&lt;=Simulador!$I$45,Simulador!$I$44*-SUM(DD19),0)</f>
        <v>0</v>
      </c>
      <c r="DE24" s="62">
        <f>IF(DE1&lt;=Simulador!$I$45,Simulador!$I$44*-SUM(DE19),0)</f>
        <v>0</v>
      </c>
      <c r="DF24" s="62">
        <f>IF(DF1&lt;=Simulador!$I$45,Simulador!$I$44*-SUM(DF19),0)</f>
        <v>0</v>
      </c>
      <c r="DG24" s="62">
        <f>IF(DG1&lt;=Simulador!$I$45,Simulador!$I$44*-SUM(DG19),0)</f>
        <v>0</v>
      </c>
      <c r="DH24" s="62">
        <f>IF(DH1&lt;=Simulador!$I$45,Simulador!$I$44*-SUM(DH19),0)</f>
        <v>0</v>
      </c>
      <c r="DI24" s="62">
        <f>IF(DI1&lt;=Simulador!$I$45,Simulador!$I$44*-SUM(DI19),0)</f>
        <v>0</v>
      </c>
      <c r="DJ24" s="62">
        <f>IF(DJ1&lt;=Simulador!$I$45,Simulador!$I$44*-SUM(DJ19),0)</f>
        <v>0</v>
      </c>
      <c r="DK24" s="62">
        <f>IF(DK1&lt;=Simulador!$I$45,Simulador!$I$44*-SUM(DK19),0)</f>
        <v>0</v>
      </c>
      <c r="DL24" s="62">
        <f>IF(DL1&lt;=Simulador!$I$45,Simulador!$I$44*-SUM(DL19),0)</f>
        <v>0</v>
      </c>
      <c r="DM24" s="62">
        <f>IF(DM1&lt;=Simulador!$I$45,Simulador!$I$44*-SUM(DM19),0)</f>
        <v>0</v>
      </c>
      <c r="DN24" s="62">
        <f>IF(DN1&lt;=Simulador!$I$45,Simulador!$I$44*-SUM(DN19),0)</f>
        <v>0</v>
      </c>
      <c r="DO24" s="62">
        <f>IF(DO1&lt;=Simulador!$I$45,Simulador!$I$44*-SUM(DO19),0)</f>
        <v>0</v>
      </c>
      <c r="DP24" s="62">
        <f>IF(DP1&lt;=Simulador!$I$45,Simulador!$I$44*-SUM(DP19),0)</f>
        <v>0</v>
      </c>
      <c r="DQ24" s="62">
        <f>IF(DQ1&lt;=Simulador!$I$45,Simulador!$I$44*-SUM(DQ19),0)</f>
        <v>0</v>
      </c>
      <c r="DR24" s="62">
        <f>IF(DR1&lt;=Simulador!$I$45,Simulador!$I$44*-SUM(DR19),0)</f>
        <v>0</v>
      </c>
      <c r="DS24" s="62">
        <f>IF(DS1&lt;=Simulador!$I$45,Simulador!$I$44*-SUM(DS19),0)</f>
        <v>0</v>
      </c>
      <c r="DT24" s="62">
        <f>IF(DT1&lt;=Simulador!$I$45,Simulador!$I$44*-SUM(DT19),0)</f>
        <v>0</v>
      </c>
      <c r="DU24" s="62">
        <f>IF(DU1&lt;=Simulador!$I$45,Simulador!$I$44*-SUM(DU19),0)</f>
        <v>0</v>
      </c>
      <c r="DV24" s="62">
        <f>IF(DV1&lt;=Simulador!$I$45,Simulador!$I$44*-SUM(DV19),0)</f>
        <v>0</v>
      </c>
      <c r="DW24" s="62">
        <f>IF(DW1&lt;=Simulador!$I$45,Simulador!$I$44*-SUM(DW19),0)</f>
        <v>0</v>
      </c>
      <c r="DX24" s="62">
        <f>IF(DX1&lt;=Simulador!$I$45,Simulador!$I$44*-SUM(DX19),0)</f>
        <v>0</v>
      </c>
      <c r="DY24" s="62">
        <f>IF(DY1&lt;=Simulador!$I$45,Simulador!$I$44*-SUM(DY19),0)</f>
        <v>0</v>
      </c>
      <c r="DZ24" s="62">
        <f>IF(DZ1&lt;=Simulador!$I$45,Simulador!$I$44*-SUM(DZ19),0)</f>
        <v>0</v>
      </c>
      <c r="EA24" s="62">
        <f>IF(EA1&lt;=Simulador!$I$45,Simulador!$I$44*-SUM(EA19),0)</f>
        <v>0</v>
      </c>
      <c r="EB24" s="62">
        <f>IF(EB1&lt;=Simulador!$I$45,Simulador!$I$44*-SUM(EB19),0)</f>
        <v>0</v>
      </c>
      <c r="EC24" s="62">
        <f>IF(EC1&lt;=Simulador!$I$45,Simulador!$I$44*-SUM(EC19),0)</f>
        <v>0</v>
      </c>
      <c r="ED24" s="62">
        <f>IF(ED1&lt;=Simulador!$I$45,Simulador!$I$44*-SUM(ED19),0)</f>
        <v>0</v>
      </c>
    </row>
    <row r="25" spans="1:135" ht="12.5" x14ac:dyDescent="0.25">
      <c r="C25" s="53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53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</row>
    <row r="26" spans="1:135" ht="13" x14ac:dyDescent="0.3">
      <c r="A26" s="38"/>
      <c r="B26" s="38" t="s">
        <v>214</v>
      </c>
      <c r="C26" s="38"/>
      <c r="D26" s="67" t="e">
        <f t="shared" ref="D26:H26" si="27">SUMIFS($O26:$BV26,$O$4:$BV$4,D$3)</f>
        <v>#DIV/0!</v>
      </c>
      <c r="E26" s="67" t="e">
        <f t="shared" si="27"/>
        <v>#DIV/0!</v>
      </c>
      <c r="F26" s="67" t="e">
        <f t="shared" si="27"/>
        <v>#DIV/0!</v>
      </c>
      <c r="G26" s="67" t="e">
        <f t="shared" si="27"/>
        <v>#DIV/0!</v>
      </c>
      <c r="H26" s="67" t="e">
        <f t="shared" si="27"/>
        <v>#DIV/0!</v>
      </c>
      <c r="I26" s="67" t="e">
        <f t="shared" ref="I26:M26" si="28">SUMIFS($O26:$ED26,$O$4:$ED$4,I$3)</f>
        <v>#DIV/0!</v>
      </c>
      <c r="J26" s="67" t="e">
        <f t="shared" si="28"/>
        <v>#DIV/0!</v>
      </c>
      <c r="K26" s="67" t="e">
        <f t="shared" si="28"/>
        <v>#DIV/0!</v>
      </c>
      <c r="L26" s="67" t="e">
        <f t="shared" si="28"/>
        <v>#DIV/0!</v>
      </c>
      <c r="M26" s="67" t="e">
        <f t="shared" si="28"/>
        <v>#DIV/0!</v>
      </c>
      <c r="N26" s="38"/>
      <c r="O26" s="38" t="e">
        <f t="shared" ref="O26:ED26" si="29">IF(ABS(O24)&lt;O18,O18+O24,0)</f>
        <v>#DIV/0!</v>
      </c>
      <c r="P26" s="38" t="e">
        <f t="shared" si="29"/>
        <v>#DIV/0!</v>
      </c>
      <c r="Q26" s="38" t="e">
        <f t="shared" si="29"/>
        <v>#DIV/0!</v>
      </c>
      <c r="R26" s="38" t="e">
        <f t="shared" si="29"/>
        <v>#DIV/0!</v>
      </c>
      <c r="S26" s="38" t="e">
        <f t="shared" si="29"/>
        <v>#DIV/0!</v>
      </c>
      <c r="T26" s="38" t="e">
        <f t="shared" si="29"/>
        <v>#DIV/0!</v>
      </c>
      <c r="U26" s="38" t="e">
        <f t="shared" si="29"/>
        <v>#DIV/0!</v>
      </c>
      <c r="V26" s="38" t="e">
        <f t="shared" si="29"/>
        <v>#DIV/0!</v>
      </c>
      <c r="W26" s="38" t="e">
        <f t="shared" si="29"/>
        <v>#DIV/0!</v>
      </c>
      <c r="X26" s="38" t="e">
        <f t="shared" si="29"/>
        <v>#DIV/0!</v>
      </c>
      <c r="Y26" s="38" t="e">
        <f t="shared" si="29"/>
        <v>#DIV/0!</v>
      </c>
      <c r="Z26" s="38" t="e">
        <f t="shared" si="29"/>
        <v>#DIV/0!</v>
      </c>
      <c r="AA26" s="38" t="e">
        <f t="shared" si="29"/>
        <v>#DIV/0!</v>
      </c>
      <c r="AB26" s="38" t="e">
        <f t="shared" si="29"/>
        <v>#DIV/0!</v>
      </c>
      <c r="AC26" s="38" t="e">
        <f t="shared" si="29"/>
        <v>#DIV/0!</v>
      </c>
      <c r="AD26" s="38" t="e">
        <f t="shared" si="29"/>
        <v>#DIV/0!</v>
      </c>
      <c r="AE26" s="38" t="e">
        <f t="shared" si="29"/>
        <v>#DIV/0!</v>
      </c>
      <c r="AF26" s="38" t="e">
        <f t="shared" si="29"/>
        <v>#DIV/0!</v>
      </c>
      <c r="AG26" s="38" t="e">
        <f t="shared" si="29"/>
        <v>#DIV/0!</v>
      </c>
      <c r="AH26" s="38" t="e">
        <f t="shared" si="29"/>
        <v>#DIV/0!</v>
      </c>
      <c r="AI26" s="38" t="e">
        <f t="shared" si="29"/>
        <v>#DIV/0!</v>
      </c>
      <c r="AJ26" s="38" t="e">
        <f t="shared" si="29"/>
        <v>#DIV/0!</v>
      </c>
      <c r="AK26" s="38" t="e">
        <f t="shared" si="29"/>
        <v>#DIV/0!</v>
      </c>
      <c r="AL26" s="38" t="e">
        <f t="shared" si="29"/>
        <v>#DIV/0!</v>
      </c>
      <c r="AM26" s="38" t="e">
        <f t="shared" si="29"/>
        <v>#DIV/0!</v>
      </c>
      <c r="AN26" s="38" t="e">
        <f t="shared" si="29"/>
        <v>#DIV/0!</v>
      </c>
      <c r="AO26" s="38" t="e">
        <f t="shared" si="29"/>
        <v>#DIV/0!</v>
      </c>
      <c r="AP26" s="38" t="e">
        <f t="shared" si="29"/>
        <v>#DIV/0!</v>
      </c>
      <c r="AQ26" s="38" t="e">
        <f t="shared" si="29"/>
        <v>#DIV/0!</v>
      </c>
      <c r="AR26" s="38" t="e">
        <f t="shared" si="29"/>
        <v>#DIV/0!</v>
      </c>
      <c r="AS26" s="38" t="e">
        <f t="shared" si="29"/>
        <v>#DIV/0!</v>
      </c>
      <c r="AT26" s="38" t="e">
        <f t="shared" si="29"/>
        <v>#DIV/0!</v>
      </c>
      <c r="AU26" s="38" t="e">
        <f t="shared" si="29"/>
        <v>#DIV/0!</v>
      </c>
      <c r="AV26" s="38" t="e">
        <f t="shared" si="29"/>
        <v>#DIV/0!</v>
      </c>
      <c r="AW26" s="38" t="e">
        <f t="shared" si="29"/>
        <v>#DIV/0!</v>
      </c>
      <c r="AX26" s="38" t="e">
        <f t="shared" si="29"/>
        <v>#DIV/0!</v>
      </c>
      <c r="AY26" s="38" t="e">
        <f t="shared" si="29"/>
        <v>#DIV/0!</v>
      </c>
      <c r="AZ26" s="38" t="e">
        <f t="shared" si="29"/>
        <v>#DIV/0!</v>
      </c>
      <c r="BA26" s="38" t="e">
        <f t="shared" si="29"/>
        <v>#DIV/0!</v>
      </c>
      <c r="BB26" s="38" t="e">
        <f t="shared" si="29"/>
        <v>#DIV/0!</v>
      </c>
      <c r="BC26" s="38" t="e">
        <f t="shared" si="29"/>
        <v>#DIV/0!</v>
      </c>
      <c r="BD26" s="38" t="e">
        <f t="shared" si="29"/>
        <v>#DIV/0!</v>
      </c>
      <c r="BE26" s="38" t="e">
        <f t="shared" si="29"/>
        <v>#DIV/0!</v>
      </c>
      <c r="BF26" s="38" t="e">
        <f t="shared" si="29"/>
        <v>#DIV/0!</v>
      </c>
      <c r="BG26" s="38" t="e">
        <f t="shared" si="29"/>
        <v>#DIV/0!</v>
      </c>
      <c r="BH26" s="38" t="e">
        <f t="shared" si="29"/>
        <v>#DIV/0!</v>
      </c>
      <c r="BI26" s="38" t="e">
        <f t="shared" si="29"/>
        <v>#DIV/0!</v>
      </c>
      <c r="BJ26" s="38" t="e">
        <f t="shared" si="29"/>
        <v>#DIV/0!</v>
      </c>
      <c r="BK26" s="38" t="e">
        <f t="shared" si="29"/>
        <v>#DIV/0!</v>
      </c>
      <c r="BL26" s="38" t="e">
        <f t="shared" si="29"/>
        <v>#DIV/0!</v>
      </c>
      <c r="BM26" s="38" t="e">
        <f t="shared" si="29"/>
        <v>#DIV/0!</v>
      </c>
      <c r="BN26" s="38" t="e">
        <f t="shared" si="29"/>
        <v>#DIV/0!</v>
      </c>
      <c r="BO26" s="38" t="e">
        <f t="shared" si="29"/>
        <v>#DIV/0!</v>
      </c>
      <c r="BP26" s="38" t="e">
        <f t="shared" si="29"/>
        <v>#DIV/0!</v>
      </c>
      <c r="BQ26" s="38" t="e">
        <f t="shared" si="29"/>
        <v>#DIV/0!</v>
      </c>
      <c r="BR26" s="38" t="e">
        <f t="shared" si="29"/>
        <v>#DIV/0!</v>
      </c>
      <c r="BS26" s="38" t="e">
        <f t="shared" si="29"/>
        <v>#DIV/0!</v>
      </c>
      <c r="BT26" s="38" t="e">
        <f t="shared" si="29"/>
        <v>#DIV/0!</v>
      </c>
      <c r="BU26" s="38" t="e">
        <f t="shared" si="29"/>
        <v>#DIV/0!</v>
      </c>
      <c r="BV26" s="38" t="e">
        <f t="shared" si="29"/>
        <v>#DIV/0!</v>
      </c>
      <c r="BW26" s="38" t="e">
        <f t="shared" si="29"/>
        <v>#DIV/0!</v>
      </c>
      <c r="BX26" s="38" t="e">
        <f t="shared" si="29"/>
        <v>#DIV/0!</v>
      </c>
      <c r="BY26" s="38" t="e">
        <f t="shared" si="29"/>
        <v>#DIV/0!</v>
      </c>
      <c r="BZ26" s="38" t="e">
        <f t="shared" si="29"/>
        <v>#DIV/0!</v>
      </c>
      <c r="CA26" s="38" t="e">
        <f t="shared" si="29"/>
        <v>#DIV/0!</v>
      </c>
      <c r="CB26" s="38" t="e">
        <f t="shared" si="29"/>
        <v>#DIV/0!</v>
      </c>
      <c r="CC26" s="38" t="e">
        <f t="shared" si="29"/>
        <v>#DIV/0!</v>
      </c>
      <c r="CD26" s="38" t="e">
        <f t="shared" si="29"/>
        <v>#DIV/0!</v>
      </c>
      <c r="CE26" s="38" t="e">
        <f t="shared" si="29"/>
        <v>#DIV/0!</v>
      </c>
      <c r="CF26" s="38" t="e">
        <f t="shared" si="29"/>
        <v>#DIV/0!</v>
      </c>
      <c r="CG26" s="38" t="e">
        <f t="shared" si="29"/>
        <v>#DIV/0!</v>
      </c>
      <c r="CH26" s="38" t="e">
        <f t="shared" si="29"/>
        <v>#DIV/0!</v>
      </c>
      <c r="CI26" s="38" t="e">
        <f t="shared" si="29"/>
        <v>#DIV/0!</v>
      </c>
      <c r="CJ26" s="38" t="e">
        <f t="shared" si="29"/>
        <v>#DIV/0!</v>
      </c>
      <c r="CK26" s="38" t="e">
        <f t="shared" si="29"/>
        <v>#DIV/0!</v>
      </c>
      <c r="CL26" s="38" t="e">
        <f t="shared" si="29"/>
        <v>#DIV/0!</v>
      </c>
      <c r="CM26" s="38" t="e">
        <f t="shared" si="29"/>
        <v>#DIV/0!</v>
      </c>
      <c r="CN26" s="38" t="e">
        <f t="shared" si="29"/>
        <v>#DIV/0!</v>
      </c>
      <c r="CO26" s="38" t="e">
        <f t="shared" si="29"/>
        <v>#DIV/0!</v>
      </c>
      <c r="CP26" s="38" t="e">
        <f t="shared" si="29"/>
        <v>#DIV/0!</v>
      </c>
      <c r="CQ26" s="38" t="e">
        <f t="shared" si="29"/>
        <v>#DIV/0!</v>
      </c>
      <c r="CR26" s="38" t="e">
        <f t="shared" si="29"/>
        <v>#DIV/0!</v>
      </c>
      <c r="CS26" s="38" t="e">
        <f t="shared" si="29"/>
        <v>#DIV/0!</v>
      </c>
      <c r="CT26" s="38" t="e">
        <f t="shared" si="29"/>
        <v>#DIV/0!</v>
      </c>
      <c r="CU26" s="38" t="e">
        <f t="shared" si="29"/>
        <v>#DIV/0!</v>
      </c>
      <c r="CV26" s="38" t="e">
        <f t="shared" si="29"/>
        <v>#DIV/0!</v>
      </c>
      <c r="CW26" s="38" t="e">
        <f t="shared" si="29"/>
        <v>#DIV/0!</v>
      </c>
      <c r="CX26" s="38" t="e">
        <f t="shared" si="29"/>
        <v>#DIV/0!</v>
      </c>
      <c r="CY26" s="38" t="e">
        <f t="shared" si="29"/>
        <v>#DIV/0!</v>
      </c>
      <c r="CZ26" s="38" t="e">
        <f t="shared" si="29"/>
        <v>#DIV/0!</v>
      </c>
      <c r="DA26" s="38" t="e">
        <f t="shared" si="29"/>
        <v>#DIV/0!</v>
      </c>
      <c r="DB26" s="38" t="e">
        <f t="shared" si="29"/>
        <v>#DIV/0!</v>
      </c>
      <c r="DC26" s="38" t="e">
        <f t="shared" si="29"/>
        <v>#DIV/0!</v>
      </c>
      <c r="DD26" s="38" t="e">
        <f t="shared" si="29"/>
        <v>#DIV/0!</v>
      </c>
      <c r="DE26" s="38" t="e">
        <f t="shared" si="29"/>
        <v>#DIV/0!</v>
      </c>
      <c r="DF26" s="38" t="e">
        <f t="shared" si="29"/>
        <v>#DIV/0!</v>
      </c>
      <c r="DG26" s="38" t="e">
        <f t="shared" si="29"/>
        <v>#DIV/0!</v>
      </c>
      <c r="DH26" s="38" t="e">
        <f t="shared" si="29"/>
        <v>#DIV/0!</v>
      </c>
      <c r="DI26" s="38" t="e">
        <f t="shared" si="29"/>
        <v>#DIV/0!</v>
      </c>
      <c r="DJ26" s="38" t="e">
        <f t="shared" si="29"/>
        <v>#DIV/0!</v>
      </c>
      <c r="DK26" s="38" t="e">
        <f t="shared" si="29"/>
        <v>#DIV/0!</v>
      </c>
      <c r="DL26" s="38" t="e">
        <f t="shared" si="29"/>
        <v>#DIV/0!</v>
      </c>
      <c r="DM26" s="38" t="e">
        <f t="shared" si="29"/>
        <v>#DIV/0!</v>
      </c>
      <c r="DN26" s="38" t="e">
        <f t="shared" si="29"/>
        <v>#DIV/0!</v>
      </c>
      <c r="DO26" s="38" t="e">
        <f t="shared" si="29"/>
        <v>#DIV/0!</v>
      </c>
      <c r="DP26" s="38" t="e">
        <f t="shared" si="29"/>
        <v>#DIV/0!</v>
      </c>
      <c r="DQ26" s="38" t="e">
        <f t="shared" si="29"/>
        <v>#DIV/0!</v>
      </c>
      <c r="DR26" s="38" t="e">
        <f t="shared" si="29"/>
        <v>#DIV/0!</v>
      </c>
      <c r="DS26" s="38" t="e">
        <f t="shared" si="29"/>
        <v>#DIV/0!</v>
      </c>
      <c r="DT26" s="38" t="e">
        <f t="shared" si="29"/>
        <v>#DIV/0!</v>
      </c>
      <c r="DU26" s="38" t="e">
        <f t="shared" si="29"/>
        <v>#DIV/0!</v>
      </c>
      <c r="DV26" s="38" t="e">
        <f t="shared" si="29"/>
        <v>#DIV/0!</v>
      </c>
      <c r="DW26" s="38" t="e">
        <f t="shared" si="29"/>
        <v>#DIV/0!</v>
      </c>
      <c r="DX26" s="38" t="e">
        <f t="shared" si="29"/>
        <v>#DIV/0!</v>
      </c>
      <c r="DY26" s="38" t="e">
        <f t="shared" si="29"/>
        <v>#DIV/0!</v>
      </c>
      <c r="DZ26" s="38" t="e">
        <f t="shared" si="29"/>
        <v>#DIV/0!</v>
      </c>
      <c r="EA26" s="38" t="e">
        <f t="shared" si="29"/>
        <v>#DIV/0!</v>
      </c>
      <c r="EB26" s="38" t="e">
        <f t="shared" si="29"/>
        <v>#DIV/0!</v>
      </c>
      <c r="EC26" s="38" t="e">
        <f t="shared" si="29"/>
        <v>#DIV/0!</v>
      </c>
      <c r="ED26" s="38" t="e">
        <f t="shared" si="29"/>
        <v>#DIV/0!</v>
      </c>
      <c r="EE26" s="38"/>
    </row>
    <row r="27" spans="1:135" ht="13" x14ac:dyDescent="0.3">
      <c r="B27" s="38" t="s">
        <v>199</v>
      </c>
      <c r="C27" s="53"/>
      <c r="D27" s="67" t="e">
        <f t="shared" ref="D27:H27" si="30">SUMIFS($O27:$BV27,$O$4:$BV$4,D$3)</f>
        <v>#DIV/0!</v>
      </c>
      <c r="E27" s="67" t="e">
        <f t="shared" si="30"/>
        <v>#DIV/0!</v>
      </c>
      <c r="F27" s="67" t="e">
        <f t="shared" si="30"/>
        <v>#DIV/0!</v>
      </c>
      <c r="G27" s="67" t="e">
        <f t="shared" si="30"/>
        <v>#DIV/0!</v>
      </c>
      <c r="H27" s="67" t="e">
        <f t="shared" si="30"/>
        <v>#DIV/0!</v>
      </c>
      <c r="I27" s="67" t="e">
        <f t="shared" ref="I27:M27" si="31">SUMIFS($O27:$ED27,$O$4:$ED$4,I$3)</f>
        <v>#DIV/0!</v>
      </c>
      <c r="J27" s="67" t="e">
        <f t="shared" si="31"/>
        <v>#DIV/0!</v>
      </c>
      <c r="K27" s="67" t="e">
        <f t="shared" si="31"/>
        <v>#DIV/0!</v>
      </c>
      <c r="L27" s="67" t="e">
        <f t="shared" si="31"/>
        <v>#DIV/0!</v>
      </c>
      <c r="M27" s="67" t="e">
        <f t="shared" si="31"/>
        <v>#DIV/0!</v>
      </c>
      <c r="N27" s="53"/>
      <c r="O27" s="67" t="e">
        <f t="shared" ref="O27:ED27" si="32">(SUM(O19,O24)*-5.65%)+(SUM(O21,O22,O20,O23)*-11.25%)</f>
        <v>#DIV/0!</v>
      </c>
      <c r="P27" s="67" t="e">
        <f t="shared" si="32"/>
        <v>#DIV/0!</v>
      </c>
      <c r="Q27" s="67" t="e">
        <f t="shared" si="32"/>
        <v>#DIV/0!</v>
      </c>
      <c r="R27" s="67" t="e">
        <f t="shared" si="32"/>
        <v>#DIV/0!</v>
      </c>
      <c r="S27" s="67" t="e">
        <f t="shared" si="32"/>
        <v>#DIV/0!</v>
      </c>
      <c r="T27" s="67" t="e">
        <f t="shared" si="32"/>
        <v>#DIV/0!</v>
      </c>
      <c r="U27" s="67" t="e">
        <f t="shared" si="32"/>
        <v>#DIV/0!</v>
      </c>
      <c r="V27" s="67" t="e">
        <f t="shared" si="32"/>
        <v>#DIV/0!</v>
      </c>
      <c r="W27" s="67" t="e">
        <f t="shared" si="32"/>
        <v>#DIV/0!</v>
      </c>
      <c r="X27" s="67" t="e">
        <f t="shared" si="32"/>
        <v>#DIV/0!</v>
      </c>
      <c r="Y27" s="67" t="e">
        <f t="shared" si="32"/>
        <v>#DIV/0!</v>
      </c>
      <c r="Z27" s="67" t="e">
        <f t="shared" si="32"/>
        <v>#DIV/0!</v>
      </c>
      <c r="AA27" s="67" t="e">
        <f t="shared" si="32"/>
        <v>#DIV/0!</v>
      </c>
      <c r="AB27" s="67" t="e">
        <f t="shared" si="32"/>
        <v>#DIV/0!</v>
      </c>
      <c r="AC27" s="67" t="e">
        <f t="shared" si="32"/>
        <v>#DIV/0!</v>
      </c>
      <c r="AD27" s="67" t="e">
        <f t="shared" si="32"/>
        <v>#DIV/0!</v>
      </c>
      <c r="AE27" s="67" t="e">
        <f t="shared" si="32"/>
        <v>#DIV/0!</v>
      </c>
      <c r="AF27" s="67" t="e">
        <f t="shared" si="32"/>
        <v>#DIV/0!</v>
      </c>
      <c r="AG27" s="67" t="e">
        <f t="shared" si="32"/>
        <v>#DIV/0!</v>
      </c>
      <c r="AH27" s="67" t="e">
        <f t="shared" si="32"/>
        <v>#DIV/0!</v>
      </c>
      <c r="AI27" s="67" t="e">
        <f t="shared" si="32"/>
        <v>#DIV/0!</v>
      </c>
      <c r="AJ27" s="67" t="e">
        <f t="shared" si="32"/>
        <v>#DIV/0!</v>
      </c>
      <c r="AK27" s="67" t="e">
        <f t="shared" si="32"/>
        <v>#DIV/0!</v>
      </c>
      <c r="AL27" s="67" t="e">
        <f t="shared" si="32"/>
        <v>#DIV/0!</v>
      </c>
      <c r="AM27" s="67" t="e">
        <f t="shared" si="32"/>
        <v>#DIV/0!</v>
      </c>
      <c r="AN27" s="67" t="e">
        <f t="shared" si="32"/>
        <v>#DIV/0!</v>
      </c>
      <c r="AO27" s="67" t="e">
        <f t="shared" si="32"/>
        <v>#DIV/0!</v>
      </c>
      <c r="AP27" s="67" t="e">
        <f t="shared" si="32"/>
        <v>#DIV/0!</v>
      </c>
      <c r="AQ27" s="67" t="e">
        <f t="shared" si="32"/>
        <v>#DIV/0!</v>
      </c>
      <c r="AR27" s="67" t="e">
        <f t="shared" si="32"/>
        <v>#DIV/0!</v>
      </c>
      <c r="AS27" s="67" t="e">
        <f t="shared" si="32"/>
        <v>#DIV/0!</v>
      </c>
      <c r="AT27" s="67" t="e">
        <f t="shared" si="32"/>
        <v>#DIV/0!</v>
      </c>
      <c r="AU27" s="67" t="e">
        <f t="shared" si="32"/>
        <v>#DIV/0!</v>
      </c>
      <c r="AV27" s="67" t="e">
        <f t="shared" si="32"/>
        <v>#DIV/0!</v>
      </c>
      <c r="AW27" s="67" t="e">
        <f t="shared" si="32"/>
        <v>#DIV/0!</v>
      </c>
      <c r="AX27" s="67" t="e">
        <f t="shared" si="32"/>
        <v>#DIV/0!</v>
      </c>
      <c r="AY27" s="67" t="e">
        <f t="shared" si="32"/>
        <v>#DIV/0!</v>
      </c>
      <c r="AZ27" s="67" t="e">
        <f t="shared" si="32"/>
        <v>#DIV/0!</v>
      </c>
      <c r="BA27" s="67" t="e">
        <f t="shared" si="32"/>
        <v>#DIV/0!</v>
      </c>
      <c r="BB27" s="67" t="e">
        <f t="shared" si="32"/>
        <v>#DIV/0!</v>
      </c>
      <c r="BC27" s="67" t="e">
        <f t="shared" si="32"/>
        <v>#DIV/0!</v>
      </c>
      <c r="BD27" s="67" t="e">
        <f t="shared" si="32"/>
        <v>#DIV/0!</v>
      </c>
      <c r="BE27" s="67" t="e">
        <f t="shared" si="32"/>
        <v>#DIV/0!</v>
      </c>
      <c r="BF27" s="67" t="e">
        <f t="shared" si="32"/>
        <v>#DIV/0!</v>
      </c>
      <c r="BG27" s="67" t="e">
        <f t="shared" si="32"/>
        <v>#DIV/0!</v>
      </c>
      <c r="BH27" s="67" t="e">
        <f t="shared" si="32"/>
        <v>#DIV/0!</v>
      </c>
      <c r="BI27" s="67" t="e">
        <f t="shared" si="32"/>
        <v>#DIV/0!</v>
      </c>
      <c r="BJ27" s="67" t="e">
        <f t="shared" si="32"/>
        <v>#DIV/0!</v>
      </c>
      <c r="BK27" s="67" t="e">
        <f t="shared" si="32"/>
        <v>#DIV/0!</v>
      </c>
      <c r="BL27" s="67" t="e">
        <f t="shared" si="32"/>
        <v>#DIV/0!</v>
      </c>
      <c r="BM27" s="67" t="e">
        <f t="shared" si="32"/>
        <v>#DIV/0!</v>
      </c>
      <c r="BN27" s="67" t="e">
        <f t="shared" si="32"/>
        <v>#DIV/0!</v>
      </c>
      <c r="BO27" s="67" t="e">
        <f t="shared" si="32"/>
        <v>#DIV/0!</v>
      </c>
      <c r="BP27" s="67" t="e">
        <f t="shared" si="32"/>
        <v>#DIV/0!</v>
      </c>
      <c r="BQ27" s="67" t="e">
        <f t="shared" si="32"/>
        <v>#DIV/0!</v>
      </c>
      <c r="BR27" s="67" t="e">
        <f t="shared" si="32"/>
        <v>#DIV/0!</v>
      </c>
      <c r="BS27" s="67" t="e">
        <f t="shared" si="32"/>
        <v>#DIV/0!</v>
      </c>
      <c r="BT27" s="67" t="e">
        <f t="shared" si="32"/>
        <v>#DIV/0!</v>
      </c>
      <c r="BU27" s="67" t="e">
        <f t="shared" si="32"/>
        <v>#DIV/0!</v>
      </c>
      <c r="BV27" s="67" t="e">
        <f t="shared" si="32"/>
        <v>#DIV/0!</v>
      </c>
      <c r="BW27" s="67" t="e">
        <f t="shared" si="32"/>
        <v>#DIV/0!</v>
      </c>
      <c r="BX27" s="67" t="e">
        <f t="shared" si="32"/>
        <v>#DIV/0!</v>
      </c>
      <c r="BY27" s="67" t="e">
        <f t="shared" si="32"/>
        <v>#DIV/0!</v>
      </c>
      <c r="BZ27" s="67" t="e">
        <f t="shared" si="32"/>
        <v>#DIV/0!</v>
      </c>
      <c r="CA27" s="67" t="e">
        <f t="shared" si="32"/>
        <v>#DIV/0!</v>
      </c>
      <c r="CB27" s="67" t="e">
        <f t="shared" si="32"/>
        <v>#DIV/0!</v>
      </c>
      <c r="CC27" s="67" t="e">
        <f t="shared" si="32"/>
        <v>#DIV/0!</v>
      </c>
      <c r="CD27" s="67" t="e">
        <f t="shared" si="32"/>
        <v>#DIV/0!</v>
      </c>
      <c r="CE27" s="67" t="e">
        <f t="shared" si="32"/>
        <v>#DIV/0!</v>
      </c>
      <c r="CF27" s="67" t="e">
        <f t="shared" si="32"/>
        <v>#DIV/0!</v>
      </c>
      <c r="CG27" s="67" t="e">
        <f t="shared" si="32"/>
        <v>#DIV/0!</v>
      </c>
      <c r="CH27" s="67" t="e">
        <f t="shared" si="32"/>
        <v>#DIV/0!</v>
      </c>
      <c r="CI27" s="67" t="e">
        <f t="shared" si="32"/>
        <v>#DIV/0!</v>
      </c>
      <c r="CJ27" s="67" t="e">
        <f t="shared" si="32"/>
        <v>#DIV/0!</v>
      </c>
      <c r="CK27" s="67" t="e">
        <f t="shared" si="32"/>
        <v>#DIV/0!</v>
      </c>
      <c r="CL27" s="67" t="e">
        <f t="shared" si="32"/>
        <v>#DIV/0!</v>
      </c>
      <c r="CM27" s="67" t="e">
        <f t="shared" si="32"/>
        <v>#DIV/0!</v>
      </c>
      <c r="CN27" s="67" t="e">
        <f t="shared" si="32"/>
        <v>#DIV/0!</v>
      </c>
      <c r="CO27" s="67" t="e">
        <f t="shared" si="32"/>
        <v>#DIV/0!</v>
      </c>
      <c r="CP27" s="67" t="e">
        <f t="shared" si="32"/>
        <v>#DIV/0!</v>
      </c>
      <c r="CQ27" s="67" t="e">
        <f t="shared" si="32"/>
        <v>#DIV/0!</v>
      </c>
      <c r="CR27" s="67" t="e">
        <f t="shared" si="32"/>
        <v>#DIV/0!</v>
      </c>
      <c r="CS27" s="67" t="e">
        <f t="shared" si="32"/>
        <v>#DIV/0!</v>
      </c>
      <c r="CT27" s="67" t="e">
        <f t="shared" si="32"/>
        <v>#DIV/0!</v>
      </c>
      <c r="CU27" s="67" t="e">
        <f t="shared" si="32"/>
        <v>#DIV/0!</v>
      </c>
      <c r="CV27" s="67" t="e">
        <f t="shared" si="32"/>
        <v>#DIV/0!</v>
      </c>
      <c r="CW27" s="67" t="e">
        <f t="shared" si="32"/>
        <v>#DIV/0!</v>
      </c>
      <c r="CX27" s="67" t="e">
        <f t="shared" si="32"/>
        <v>#DIV/0!</v>
      </c>
      <c r="CY27" s="67" t="e">
        <f t="shared" si="32"/>
        <v>#DIV/0!</v>
      </c>
      <c r="CZ27" s="67" t="e">
        <f t="shared" si="32"/>
        <v>#DIV/0!</v>
      </c>
      <c r="DA27" s="67" t="e">
        <f t="shared" si="32"/>
        <v>#DIV/0!</v>
      </c>
      <c r="DB27" s="67" t="e">
        <f t="shared" si="32"/>
        <v>#DIV/0!</v>
      </c>
      <c r="DC27" s="67" t="e">
        <f t="shared" si="32"/>
        <v>#DIV/0!</v>
      </c>
      <c r="DD27" s="67" t="e">
        <f t="shared" si="32"/>
        <v>#DIV/0!</v>
      </c>
      <c r="DE27" s="67" t="e">
        <f t="shared" si="32"/>
        <v>#DIV/0!</v>
      </c>
      <c r="DF27" s="67" t="e">
        <f t="shared" si="32"/>
        <v>#DIV/0!</v>
      </c>
      <c r="DG27" s="67" t="e">
        <f t="shared" si="32"/>
        <v>#DIV/0!</v>
      </c>
      <c r="DH27" s="67" t="e">
        <f t="shared" si="32"/>
        <v>#DIV/0!</v>
      </c>
      <c r="DI27" s="67" t="e">
        <f t="shared" si="32"/>
        <v>#DIV/0!</v>
      </c>
      <c r="DJ27" s="67" t="e">
        <f t="shared" si="32"/>
        <v>#DIV/0!</v>
      </c>
      <c r="DK27" s="67" t="e">
        <f t="shared" si="32"/>
        <v>#DIV/0!</v>
      </c>
      <c r="DL27" s="67" t="e">
        <f t="shared" si="32"/>
        <v>#DIV/0!</v>
      </c>
      <c r="DM27" s="67" t="e">
        <f t="shared" si="32"/>
        <v>#DIV/0!</v>
      </c>
      <c r="DN27" s="67" t="e">
        <f t="shared" si="32"/>
        <v>#DIV/0!</v>
      </c>
      <c r="DO27" s="67" t="e">
        <f t="shared" si="32"/>
        <v>#DIV/0!</v>
      </c>
      <c r="DP27" s="67" t="e">
        <f t="shared" si="32"/>
        <v>#DIV/0!</v>
      </c>
      <c r="DQ27" s="67" t="e">
        <f t="shared" si="32"/>
        <v>#DIV/0!</v>
      </c>
      <c r="DR27" s="67" t="e">
        <f t="shared" si="32"/>
        <v>#DIV/0!</v>
      </c>
      <c r="DS27" s="67" t="e">
        <f t="shared" si="32"/>
        <v>#DIV/0!</v>
      </c>
      <c r="DT27" s="67" t="e">
        <f t="shared" si="32"/>
        <v>#DIV/0!</v>
      </c>
      <c r="DU27" s="67" t="e">
        <f t="shared" si="32"/>
        <v>#DIV/0!</v>
      </c>
      <c r="DV27" s="67" t="e">
        <f t="shared" si="32"/>
        <v>#DIV/0!</v>
      </c>
      <c r="DW27" s="67" t="e">
        <f t="shared" si="32"/>
        <v>#DIV/0!</v>
      </c>
      <c r="DX27" s="67" t="e">
        <f t="shared" si="32"/>
        <v>#DIV/0!</v>
      </c>
      <c r="DY27" s="67" t="e">
        <f t="shared" si="32"/>
        <v>#DIV/0!</v>
      </c>
      <c r="DZ27" s="67" t="e">
        <f t="shared" si="32"/>
        <v>#DIV/0!</v>
      </c>
      <c r="EA27" s="67" t="e">
        <f t="shared" si="32"/>
        <v>#DIV/0!</v>
      </c>
      <c r="EB27" s="67" t="e">
        <f t="shared" si="32"/>
        <v>#DIV/0!</v>
      </c>
      <c r="EC27" s="67" t="e">
        <f t="shared" si="32"/>
        <v>#DIV/0!</v>
      </c>
      <c r="ED27" s="67" t="e">
        <f t="shared" si="32"/>
        <v>#DIV/0!</v>
      </c>
    </row>
    <row r="28" spans="1:135" ht="12.5" x14ac:dyDescent="0.25">
      <c r="C28" s="53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53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</row>
    <row r="29" spans="1:135" ht="13" x14ac:dyDescent="0.3">
      <c r="B29" s="38" t="s">
        <v>200</v>
      </c>
      <c r="C29" s="53"/>
      <c r="D29" s="67" t="e">
        <f t="shared" ref="D29:H29" si="33">SUMIFS($O29:$BV29,$O$4:$BV$4,D$3)</f>
        <v>#DIV/0!</v>
      </c>
      <c r="E29" s="67" t="e">
        <f t="shared" si="33"/>
        <v>#DIV/0!</v>
      </c>
      <c r="F29" s="67" t="e">
        <f t="shared" si="33"/>
        <v>#DIV/0!</v>
      </c>
      <c r="G29" s="67" t="e">
        <f t="shared" si="33"/>
        <v>#DIV/0!</v>
      </c>
      <c r="H29" s="67" t="e">
        <f t="shared" si="33"/>
        <v>#DIV/0!</v>
      </c>
      <c r="I29" s="67" t="e">
        <f t="shared" ref="I29:M29" si="34">SUMIFS($O29:$ED29,$O$4:$ED$4,I$3)</f>
        <v>#DIV/0!</v>
      </c>
      <c r="J29" s="67" t="e">
        <f t="shared" si="34"/>
        <v>#DIV/0!</v>
      </c>
      <c r="K29" s="67" t="e">
        <f t="shared" si="34"/>
        <v>#DIV/0!</v>
      </c>
      <c r="L29" s="67" t="e">
        <f t="shared" si="34"/>
        <v>#DIV/0!</v>
      </c>
      <c r="M29" s="67" t="e">
        <f t="shared" si="34"/>
        <v>#DIV/0!</v>
      </c>
      <c r="N29" s="53"/>
      <c r="O29" s="67" t="e">
        <f t="shared" ref="O29:ED29" si="35">O26+O27</f>
        <v>#DIV/0!</v>
      </c>
      <c r="P29" s="67" t="e">
        <f t="shared" si="35"/>
        <v>#DIV/0!</v>
      </c>
      <c r="Q29" s="67" t="e">
        <f t="shared" si="35"/>
        <v>#DIV/0!</v>
      </c>
      <c r="R29" s="67" t="e">
        <f t="shared" si="35"/>
        <v>#DIV/0!</v>
      </c>
      <c r="S29" s="67" t="e">
        <f t="shared" si="35"/>
        <v>#DIV/0!</v>
      </c>
      <c r="T29" s="67" t="e">
        <f t="shared" si="35"/>
        <v>#DIV/0!</v>
      </c>
      <c r="U29" s="67" t="e">
        <f t="shared" si="35"/>
        <v>#DIV/0!</v>
      </c>
      <c r="V29" s="67" t="e">
        <f t="shared" si="35"/>
        <v>#DIV/0!</v>
      </c>
      <c r="W29" s="67" t="e">
        <f t="shared" si="35"/>
        <v>#DIV/0!</v>
      </c>
      <c r="X29" s="67" t="e">
        <f t="shared" si="35"/>
        <v>#DIV/0!</v>
      </c>
      <c r="Y29" s="67" t="e">
        <f t="shared" si="35"/>
        <v>#DIV/0!</v>
      </c>
      <c r="Z29" s="67" t="e">
        <f t="shared" si="35"/>
        <v>#DIV/0!</v>
      </c>
      <c r="AA29" s="67" t="e">
        <f t="shared" si="35"/>
        <v>#DIV/0!</v>
      </c>
      <c r="AB29" s="67" t="e">
        <f t="shared" si="35"/>
        <v>#DIV/0!</v>
      </c>
      <c r="AC29" s="67" t="e">
        <f t="shared" si="35"/>
        <v>#DIV/0!</v>
      </c>
      <c r="AD29" s="67" t="e">
        <f t="shared" si="35"/>
        <v>#DIV/0!</v>
      </c>
      <c r="AE29" s="67" t="e">
        <f t="shared" si="35"/>
        <v>#DIV/0!</v>
      </c>
      <c r="AF29" s="67" t="e">
        <f t="shared" si="35"/>
        <v>#DIV/0!</v>
      </c>
      <c r="AG29" s="67" t="e">
        <f t="shared" si="35"/>
        <v>#DIV/0!</v>
      </c>
      <c r="AH29" s="67" t="e">
        <f t="shared" si="35"/>
        <v>#DIV/0!</v>
      </c>
      <c r="AI29" s="67" t="e">
        <f t="shared" si="35"/>
        <v>#DIV/0!</v>
      </c>
      <c r="AJ29" s="67" t="e">
        <f t="shared" si="35"/>
        <v>#DIV/0!</v>
      </c>
      <c r="AK29" s="67" t="e">
        <f t="shared" si="35"/>
        <v>#DIV/0!</v>
      </c>
      <c r="AL29" s="67" t="e">
        <f t="shared" si="35"/>
        <v>#DIV/0!</v>
      </c>
      <c r="AM29" s="67" t="e">
        <f t="shared" si="35"/>
        <v>#DIV/0!</v>
      </c>
      <c r="AN29" s="67" t="e">
        <f t="shared" si="35"/>
        <v>#DIV/0!</v>
      </c>
      <c r="AO29" s="67" t="e">
        <f t="shared" si="35"/>
        <v>#DIV/0!</v>
      </c>
      <c r="AP29" s="67" t="e">
        <f t="shared" si="35"/>
        <v>#DIV/0!</v>
      </c>
      <c r="AQ29" s="67" t="e">
        <f t="shared" si="35"/>
        <v>#DIV/0!</v>
      </c>
      <c r="AR29" s="67" t="e">
        <f t="shared" si="35"/>
        <v>#DIV/0!</v>
      </c>
      <c r="AS29" s="67" t="e">
        <f t="shared" si="35"/>
        <v>#DIV/0!</v>
      </c>
      <c r="AT29" s="67" t="e">
        <f t="shared" si="35"/>
        <v>#DIV/0!</v>
      </c>
      <c r="AU29" s="67" t="e">
        <f t="shared" si="35"/>
        <v>#DIV/0!</v>
      </c>
      <c r="AV29" s="67" t="e">
        <f t="shared" si="35"/>
        <v>#DIV/0!</v>
      </c>
      <c r="AW29" s="67" t="e">
        <f t="shared" si="35"/>
        <v>#DIV/0!</v>
      </c>
      <c r="AX29" s="67" t="e">
        <f t="shared" si="35"/>
        <v>#DIV/0!</v>
      </c>
      <c r="AY29" s="67" t="e">
        <f t="shared" si="35"/>
        <v>#DIV/0!</v>
      </c>
      <c r="AZ29" s="67" t="e">
        <f t="shared" si="35"/>
        <v>#DIV/0!</v>
      </c>
      <c r="BA29" s="67" t="e">
        <f t="shared" si="35"/>
        <v>#DIV/0!</v>
      </c>
      <c r="BB29" s="67" t="e">
        <f t="shared" si="35"/>
        <v>#DIV/0!</v>
      </c>
      <c r="BC29" s="67" t="e">
        <f t="shared" si="35"/>
        <v>#DIV/0!</v>
      </c>
      <c r="BD29" s="67" t="e">
        <f t="shared" si="35"/>
        <v>#DIV/0!</v>
      </c>
      <c r="BE29" s="67" t="e">
        <f t="shared" si="35"/>
        <v>#DIV/0!</v>
      </c>
      <c r="BF29" s="67" t="e">
        <f t="shared" si="35"/>
        <v>#DIV/0!</v>
      </c>
      <c r="BG29" s="67" t="e">
        <f t="shared" si="35"/>
        <v>#DIV/0!</v>
      </c>
      <c r="BH29" s="67" t="e">
        <f t="shared" si="35"/>
        <v>#DIV/0!</v>
      </c>
      <c r="BI29" s="67" t="e">
        <f t="shared" si="35"/>
        <v>#DIV/0!</v>
      </c>
      <c r="BJ29" s="67" t="e">
        <f t="shared" si="35"/>
        <v>#DIV/0!</v>
      </c>
      <c r="BK29" s="67" t="e">
        <f t="shared" si="35"/>
        <v>#DIV/0!</v>
      </c>
      <c r="BL29" s="67" t="e">
        <f t="shared" si="35"/>
        <v>#DIV/0!</v>
      </c>
      <c r="BM29" s="67" t="e">
        <f t="shared" si="35"/>
        <v>#DIV/0!</v>
      </c>
      <c r="BN29" s="67" t="e">
        <f t="shared" si="35"/>
        <v>#DIV/0!</v>
      </c>
      <c r="BO29" s="67" t="e">
        <f t="shared" si="35"/>
        <v>#DIV/0!</v>
      </c>
      <c r="BP29" s="67" t="e">
        <f t="shared" si="35"/>
        <v>#DIV/0!</v>
      </c>
      <c r="BQ29" s="67" t="e">
        <f t="shared" si="35"/>
        <v>#DIV/0!</v>
      </c>
      <c r="BR29" s="67" t="e">
        <f t="shared" si="35"/>
        <v>#DIV/0!</v>
      </c>
      <c r="BS29" s="67" t="e">
        <f t="shared" si="35"/>
        <v>#DIV/0!</v>
      </c>
      <c r="BT29" s="67" t="e">
        <f t="shared" si="35"/>
        <v>#DIV/0!</v>
      </c>
      <c r="BU29" s="67" t="e">
        <f t="shared" si="35"/>
        <v>#DIV/0!</v>
      </c>
      <c r="BV29" s="67" t="e">
        <f t="shared" si="35"/>
        <v>#DIV/0!</v>
      </c>
      <c r="BW29" s="67" t="e">
        <f t="shared" si="35"/>
        <v>#DIV/0!</v>
      </c>
      <c r="BX29" s="67" t="e">
        <f t="shared" si="35"/>
        <v>#DIV/0!</v>
      </c>
      <c r="BY29" s="67" t="e">
        <f t="shared" si="35"/>
        <v>#DIV/0!</v>
      </c>
      <c r="BZ29" s="67" t="e">
        <f t="shared" si="35"/>
        <v>#DIV/0!</v>
      </c>
      <c r="CA29" s="67" t="e">
        <f t="shared" si="35"/>
        <v>#DIV/0!</v>
      </c>
      <c r="CB29" s="67" t="e">
        <f t="shared" si="35"/>
        <v>#DIV/0!</v>
      </c>
      <c r="CC29" s="67" t="e">
        <f t="shared" si="35"/>
        <v>#DIV/0!</v>
      </c>
      <c r="CD29" s="67" t="e">
        <f t="shared" si="35"/>
        <v>#DIV/0!</v>
      </c>
      <c r="CE29" s="67" t="e">
        <f t="shared" si="35"/>
        <v>#DIV/0!</v>
      </c>
      <c r="CF29" s="67" t="e">
        <f t="shared" si="35"/>
        <v>#DIV/0!</v>
      </c>
      <c r="CG29" s="67" t="e">
        <f t="shared" si="35"/>
        <v>#DIV/0!</v>
      </c>
      <c r="CH29" s="67" t="e">
        <f t="shared" si="35"/>
        <v>#DIV/0!</v>
      </c>
      <c r="CI29" s="67" t="e">
        <f t="shared" si="35"/>
        <v>#DIV/0!</v>
      </c>
      <c r="CJ29" s="67" t="e">
        <f t="shared" si="35"/>
        <v>#DIV/0!</v>
      </c>
      <c r="CK29" s="67" t="e">
        <f t="shared" si="35"/>
        <v>#DIV/0!</v>
      </c>
      <c r="CL29" s="67" t="e">
        <f t="shared" si="35"/>
        <v>#DIV/0!</v>
      </c>
      <c r="CM29" s="67" t="e">
        <f t="shared" si="35"/>
        <v>#DIV/0!</v>
      </c>
      <c r="CN29" s="67" t="e">
        <f t="shared" si="35"/>
        <v>#DIV/0!</v>
      </c>
      <c r="CO29" s="67" t="e">
        <f t="shared" si="35"/>
        <v>#DIV/0!</v>
      </c>
      <c r="CP29" s="67" t="e">
        <f t="shared" si="35"/>
        <v>#DIV/0!</v>
      </c>
      <c r="CQ29" s="67" t="e">
        <f t="shared" si="35"/>
        <v>#DIV/0!</v>
      </c>
      <c r="CR29" s="67" t="e">
        <f t="shared" si="35"/>
        <v>#DIV/0!</v>
      </c>
      <c r="CS29" s="67" t="e">
        <f t="shared" si="35"/>
        <v>#DIV/0!</v>
      </c>
      <c r="CT29" s="67" t="e">
        <f t="shared" si="35"/>
        <v>#DIV/0!</v>
      </c>
      <c r="CU29" s="67" t="e">
        <f t="shared" si="35"/>
        <v>#DIV/0!</v>
      </c>
      <c r="CV29" s="67" t="e">
        <f t="shared" si="35"/>
        <v>#DIV/0!</v>
      </c>
      <c r="CW29" s="67" t="e">
        <f t="shared" si="35"/>
        <v>#DIV/0!</v>
      </c>
      <c r="CX29" s="67" t="e">
        <f t="shared" si="35"/>
        <v>#DIV/0!</v>
      </c>
      <c r="CY29" s="67" t="e">
        <f t="shared" si="35"/>
        <v>#DIV/0!</v>
      </c>
      <c r="CZ29" s="67" t="e">
        <f t="shared" si="35"/>
        <v>#DIV/0!</v>
      </c>
      <c r="DA29" s="67" t="e">
        <f t="shared" si="35"/>
        <v>#DIV/0!</v>
      </c>
      <c r="DB29" s="67" t="e">
        <f t="shared" si="35"/>
        <v>#DIV/0!</v>
      </c>
      <c r="DC29" s="67" t="e">
        <f t="shared" si="35"/>
        <v>#DIV/0!</v>
      </c>
      <c r="DD29" s="67" t="e">
        <f t="shared" si="35"/>
        <v>#DIV/0!</v>
      </c>
      <c r="DE29" s="67" t="e">
        <f t="shared" si="35"/>
        <v>#DIV/0!</v>
      </c>
      <c r="DF29" s="67" t="e">
        <f t="shared" si="35"/>
        <v>#DIV/0!</v>
      </c>
      <c r="DG29" s="67" t="e">
        <f t="shared" si="35"/>
        <v>#DIV/0!</v>
      </c>
      <c r="DH29" s="67" t="e">
        <f t="shared" si="35"/>
        <v>#DIV/0!</v>
      </c>
      <c r="DI29" s="67" t="e">
        <f t="shared" si="35"/>
        <v>#DIV/0!</v>
      </c>
      <c r="DJ29" s="67" t="e">
        <f t="shared" si="35"/>
        <v>#DIV/0!</v>
      </c>
      <c r="DK29" s="67" t="e">
        <f t="shared" si="35"/>
        <v>#DIV/0!</v>
      </c>
      <c r="DL29" s="67" t="e">
        <f t="shared" si="35"/>
        <v>#DIV/0!</v>
      </c>
      <c r="DM29" s="67" t="e">
        <f t="shared" si="35"/>
        <v>#DIV/0!</v>
      </c>
      <c r="DN29" s="67" t="e">
        <f t="shared" si="35"/>
        <v>#DIV/0!</v>
      </c>
      <c r="DO29" s="67" t="e">
        <f t="shared" si="35"/>
        <v>#DIV/0!</v>
      </c>
      <c r="DP29" s="67" t="e">
        <f t="shared" si="35"/>
        <v>#DIV/0!</v>
      </c>
      <c r="DQ29" s="67" t="e">
        <f t="shared" si="35"/>
        <v>#DIV/0!</v>
      </c>
      <c r="DR29" s="67" t="e">
        <f t="shared" si="35"/>
        <v>#DIV/0!</v>
      </c>
      <c r="DS29" s="67" t="e">
        <f t="shared" si="35"/>
        <v>#DIV/0!</v>
      </c>
      <c r="DT29" s="67" t="e">
        <f t="shared" si="35"/>
        <v>#DIV/0!</v>
      </c>
      <c r="DU29" s="67" t="e">
        <f t="shared" si="35"/>
        <v>#DIV/0!</v>
      </c>
      <c r="DV29" s="67" t="e">
        <f t="shared" si="35"/>
        <v>#DIV/0!</v>
      </c>
      <c r="DW29" s="67" t="e">
        <f t="shared" si="35"/>
        <v>#DIV/0!</v>
      </c>
      <c r="DX29" s="67" t="e">
        <f t="shared" si="35"/>
        <v>#DIV/0!</v>
      </c>
      <c r="DY29" s="67" t="e">
        <f t="shared" si="35"/>
        <v>#DIV/0!</v>
      </c>
      <c r="DZ29" s="67" t="e">
        <f t="shared" si="35"/>
        <v>#DIV/0!</v>
      </c>
      <c r="EA29" s="67" t="e">
        <f t="shared" si="35"/>
        <v>#DIV/0!</v>
      </c>
      <c r="EB29" s="67" t="e">
        <f t="shared" si="35"/>
        <v>#DIV/0!</v>
      </c>
      <c r="EC29" s="67" t="e">
        <f t="shared" si="35"/>
        <v>#DIV/0!</v>
      </c>
      <c r="ED29" s="67" t="e">
        <f t="shared" si="35"/>
        <v>#DIV/0!</v>
      </c>
    </row>
    <row r="30" spans="1:135" ht="12.5" x14ac:dyDescent="0.25">
      <c r="C30" s="53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53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</row>
    <row r="31" spans="1:135" ht="13" x14ac:dyDescent="0.3">
      <c r="B31" s="38" t="s">
        <v>201</v>
      </c>
      <c r="C31" s="53"/>
      <c r="D31" s="67" t="e">
        <f t="shared" ref="D31:M31" si="36">SUM(D32:D36)</f>
        <v>#DIV/0!</v>
      </c>
      <c r="E31" s="67" t="e">
        <f t="shared" si="36"/>
        <v>#DIV/0!</v>
      </c>
      <c r="F31" s="67" t="e">
        <f t="shared" si="36"/>
        <v>#DIV/0!</v>
      </c>
      <c r="G31" s="67" t="e">
        <f t="shared" si="36"/>
        <v>#DIV/0!</v>
      </c>
      <c r="H31" s="67" t="e">
        <f t="shared" si="36"/>
        <v>#DIV/0!</v>
      </c>
      <c r="I31" s="67" t="e">
        <f t="shared" si="36"/>
        <v>#DIV/0!</v>
      </c>
      <c r="J31" s="67" t="e">
        <f t="shared" si="36"/>
        <v>#DIV/0!</v>
      </c>
      <c r="K31" s="67" t="e">
        <f t="shared" si="36"/>
        <v>#DIV/0!</v>
      </c>
      <c r="L31" s="67" t="e">
        <f t="shared" si="36"/>
        <v>#DIV/0!</v>
      </c>
      <c r="M31" s="67" t="e">
        <f t="shared" si="36"/>
        <v>#DIV/0!</v>
      </c>
      <c r="N31" s="53"/>
      <c r="O31" s="67" t="e">
        <f t="shared" ref="O31:ED31" si="37">SUM(O32:O36)</f>
        <v>#DIV/0!</v>
      </c>
      <c r="P31" s="67" t="e">
        <f t="shared" si="37"/>
        <v>#DIV/0!</v>
      </c>
      <c r="Q31" s="67" t="e">
        <f t="shared" si="37"/>
        <v>#DIV/0!</v>
      </c>
      <c r="R31" s="67" t="e">
        <f t="shared" si="37"/>
        <v>#DIV/0!</v>
      </c>
      <c r="S31" s="67" t="e">
        <f t="shared" si="37"/>
        <v>#DIV/0!</v>
      </c>
      <c r="T31" s="67" t="e">
        <f t="shared" si="37"/>
        <v>#DIV/0!</v>
      </c>
      <c r="U31" s="67" t="e">
        <f t="shared" si="37"/>
        <v>#DIV/0!</v>
      </c>
      <c r="V31" s="67" t="e">
        <f t="shared" si="37"/>
        <v>#DIV/0!</v>
      </c>
      <c r="W31" s="67" t="e">
        <f t="shared" si="37"/>
        <v>#DIV/0!</v>
      </c>
      <c r="X31" s="67" t="e">
        <f t="shared" si="37"/>
        <v>#DIV/0!</v>
      </c>
      <c r="Y31" s="67" t="e">
        <f t="shared" si="37"/>
        <v>#DIV/0!</v>
      </c>
      <c r="Z31" s="67" t="e">
        <f t="shared" si="37"/>
        <v>#DIV/0!</v>
      </c>
      <c r="AA31" s="67" t="e">
        <f t="shared" si="37"/>
        <v>#DIV/0!</v>
      </c>
      <c r="AB31" s="67" t="e">
        <f t="shared" si="37"/>
        <v>#DIV/0!</v>
      </c>
      <c r="AC31" s="67" t="e">
        <f t="shared" si="37"/>
        <v>#DIV/0!</v>
      </c>
      <c r="AD31" s="67" t="e">
        <f t="shared" si="37"/>
        <v>#DIV/0!</v>
      </c>
      <c r="AE31" s="67" t="e">
        <f t="shared" si="37"/>
        <v>#DIV/0!</v>
      </c>
      <c r="AF31" s="67" t="e">
        <f t="shared" si="37"/>
        <v>#DIV/0!</v>
      </c>
      <c r="AG31" s="67" t="e">
        <f t="shared" si="37"/>
        <v>#DIV/0!</v>
      </c>
      <c r="AH31" s="67" t="e">
        <f t="shared" si="37"/>
        <v>#DIV/0!</v>
      </c>
      <c r="AI31" s="67" t="e">
        <f t="shared" si="37"/>
        <v>#DIV/0!</v>
      </c>
      <c r="AJ31" s="67" t="e">
        <f t="shared" si="37"/>
        <v>#DIV/0!</v>
      </c>
      <c r="AK31" s="67" t="e">
        <f t="shared" si="37"/>
        <v>#DIV/0!</v>
      </c>
      <c r="AL31" s="67" t="e">
        <f t="shared" si="37"/>
        <v>#DIV/0!</v>
      </c>
      <c r="AM31" s="67" t="e">
        <f t="shared" si="37"/>
        <v>#DIV/0!</v>
      </c>
      <c r="AN31" s="67" t="e">
        <f t="shared" si="37"/>
        <v>#DIV/0!</v>
      </c>
      <c r="AO31" s="67" t="e">
        <f t="shared" si="37"/>
        <v>#DIV/0!</v>
      </c>
      <c r="AP31" s="67" t="e">
        <f t="shared" si="37"/>
        <v>#DIV/0!</v>
      </c>
      <c r="AQ31" s="67" t="e">
        <f t="shared" si="37"/>
        <v>#DIV/0!</v>
      </c>
      <c r="AR31" s="67" t="e">
        <f t="shared" si="37"/>
        <v>#DIV/0!</v>
      </c>
      <c r="AS31" s="67" t="e">
        <f t="shared" si="37"/>
        <v>#DIV/0!</v>
      </c>
      <c r="AT31" s="67" t="e">
        <f t="shared" si="37"/>
        <v>#DIV/0!</v>
      </c>
      <c r="AU31" s="67" t="e">
        <f t="shared" si="37"/>
        <v>#DIV/0!</v>
      </c>
      <c r="AV31" s="67" t="e">
        <f t="shared" si="37"/>
        <v>#DIV/0!</v>
      </c>
      <c r="AW31" s="67" t="e">
        <f t="shared" si="37"/>
        <v>#DIV/0!</v>
      </c>
      <c r="AX31" s="67" t="e">
        <f t="shared" si="37"/>
        <v>#DIV/0!</v>
      </c>
      <c r="AY31" s="67" t="e">
        <f t="shared" si="37"/>
        <v>#DIV/0!</v>
      </c>
      <c r="AZ31" s="67" t="e">
        <f t="shared" si="37"/>
        <v>#DIV/0!</v>
      </c>
      <c r="BA31" s="67" t="e">
        <f t="shared" si="37"/>
        <v>#DIV/0!</v>
      </c>
      <c r="BB31" s="67" t="e">
        <f t="shared" si="37"/>
        <v>#DIV/0!</v>
      </c>
      <c r="BC31" s="67" t="e">
        <f t="shared" si="37"/>
        <v>#DIV/0!</v>
      </c>
      <c r="BD31" s="67" t="e">
        <f t="shared" si="37"/>
        <v>#DIV/0!</v>
      </c>
      <c r="BE31" s="67" t="e">
        <f t="shared" si="37"/>
        <v>#DIV/0!</v>
      </c>
      <c r="BF31" s="67" t="e">
        <f t="shared" si="37"/>
        <v>#DIV/0!</v>
      </c>
      <c r="BG31" s="67" t="e">
        <f t="shared" si="37"/>
        <v>#DIV/0!</v>
      </c>
      <c r="BH31" s="67" t="e">
        <f t="shared" si="37"/>
        <v>#DIV/0!</v>
      </c>
      <c r="BI31" s="67" t="e">
        <f t="shared" si="37"/>
        <v>#DIV/0!</v>
      </c>
      <c r="BJ31" s="67" t="e">
        <f t="shared" si="37"/>
        <v>#DIV/0!</v>
      </c>
      <c r="BK31" s="67" t="e">
        <f t="shared" si="37"/>
        <v>#DIV/0!</v>
      </c>
      <c r="BL31" s="67" t="e">
        <f t="shared" si="37"/>
        <v>#DIV/0!</v>
      </c>
      <c r="BM31" s="67" t="e">
        <f t="shared" si="37"/>
        <v>#DIV/0!</v>
      </c>
      <c r="BN31" s="67" t="e">
        <f t="shared" si="37"/>
        <v>#DIV/0!</v>
      </c>
      <c r="BO31" s="67" t="e">
        <f t="shared" si="37"/>
        <v>#DIV/0!</v>
      </c>
      <c r="BP31" s="67" t="e">
        <f t="shared" si="37"/>
        <v>#DIV/0!</v>
      </c>
      <c r="BQ31" s="67" t="e">
        <f t="shared" si="37"/>
        <v>#DIV/0!</v>
      </c>
      <c r="BR31" s="67" t="e">
        <f t="shared" si="37"/>
        <v>#DIV/0!</v>
      </c>
      <c r="BS31" s="67" t="e">
        <f t="shared" si="37"/>
        <v>#DIV/0!</v>
      </c>
      <c r="BT31" s="67" t="e">
        <f t="shared" si="37"/>
        <v>#DIV/0!</v>
      </c>
      <c r="BU31" s="67" t="e">
        <f t="shared" si="37"/>
        <v>#DIV/0!</v>
      </c>
      <c r="BV31" s="67" t="e">
        <f t="shared" si="37"/>
        <v>#DIV/0!</v>
      </c>
      <c r="BW31" s="67" t="e">
        <f t="shared" si="37"/>
        <v>#DIV/0!</v>
      </c>
      <c r="BX31" s="67" t="e">
        <f t="shared" si="37"/>
        <v>#DIV/0!</v>
      </c>
      <c r="BY31" s="67" t="e">
        <f t="shared" si="37"/>
        <v>#DIV/0!</v>
      </c>
      <c r="BZ31" s="67" t="e">
        <f t="shared" si="37"/>
        <v>#DIV/0!</v>
      </c>
      <c r="CA31" s="67" t="e">
        <f t="shared" si="37"/>
        <v>#DIV/0!</v>
      </c>
      <c r="CB31" s="67" t="e">
        <f t="shared" si="37"/>
        <v>#DIV/0!</v>
      </c>
      <c r="CC31" s="67" t="e">
        <f t="shared" si="37"/>
        <v>#DIV/0!</v>
      </c>
      <c r="CD31" s="67" t="e">
        <f t="shared" si="37"/>
        <v>#DIV/0!</v>
      </c>
      <c r="CE31" s="67" t="e">
        <f t="shared" si="37"/>
        <v>#DIV/0!</v>
      </c>
      <c r="CF31" s="67" t="e">
        <f t="shared" si="37"/>
        <v>#DIV/0!</v>
      </c>
      <c r="CG31" s="67" t="e">
        <f t="shared" si="37"/>
        <v>#DIV/0!</v>
      </c>
      <c r="CH31" s="67" t="e">
        <f t="shared" si="37"/>
        <v>#DIV/0!</v>
      </c>
      <c r="CI31" s="67" t="e">
        <f t="shared" si="37"/>
        <v>#DIV/0!</v>
      </c>
      <c r="CJ31" s="67" t="e">
        <f t="shared" si="37"/>
        <v>#DIV/0!</v>
      </c>
      <c r="CK31" s="67" t="e">
        <f t="shared" si="37"/>
        <v>#DIV/0!</v>
      </c>
      <c r="CL31" s="67" t="e">
        <f t="shared" si="37"/>
        <v>#DIV/0!</v>
      </c>
      <c r="CM31" s="67" t="e">
        <f t="shared" si="37"/>
        <v>#DIV/0!</v>
      </c>
      <c r="CN31" s="67" t="e">
        <f t="shared" si="37"/>
        <v>#DIV/0!</v>
      </c>
      <c r="CO31" s="67" t="e">
        <f t="shared" si="37"/>
        <v>#DIV/0!</v>
      </c>
      <c r="CP31" s="67" t="e">
        <f t="shared" si="37"/>
        <v>#DIV/0!</v>
      </c>
      <c r="CQ31" s="67" t="e">
        <f t="shared" si="37"/>
        <v>#DIV/0!</v>
      </c>
      <c r="CR31" s="67" t="e">
        <f t="shared" si="37"/>
        <v>#DIV/0!</v>
      </c>
      <c r="CS31" s="67" t="e">
        <f t="shared" si="37"/>
        <v>#DIV/0!</v>
      </c>
      <c r="CT31" s="67" t="e">
        <f t="shared" si="37"/>
        <v>#DIV/0!</v>
      </c>
      <c r="CU31" s="67" t="e">
        <f t="shared" si="37"/>
        <v>#DIV/0!</v>
      </c>
      <c r="CV31" s="67" t="e">
        <f t="shared" si="37"/>
        <v>#DIV/0!</v>
      </c>
      <c r="CW31" s="67" t="e">
        <f t="shared" si="37"/>
        <v>#DIV/0!</v>
      </c>
      <c r="CX31" s="67" t="e">
        <f t="shared" si="37"/>
        <v>#DIV/0!</v>
      </c>
      <c r="CY31" s="67" t="e">
        <f t="shared" si="37"/>
        <v>#DIV/0!</v>
      </c>
      <c r="CZ31" s="67" t="e">
        <f t="shared" si="37"/>
        <v>#DIV/0!</v>
      </c>
      <c r="DA31" s="67" t="e">
        <f t="shared" si="37"/>
        <v>#DIV/0!</v>
      </c>
      <c r="DB31" s="67" t="e">
        <f t="shared" si="37"/>
        <v>#DIV/0!</v>
      </c>
      <c r="DC31" s="67" t="e">
        <f t="shared" si="37"/>
        <v>#DIV/0!</v>
      </c>
      <c r="DD31" s="67" t="e">
        <f t="shared" si="37"/>
        <v>#DIV/0!</v>
      </c>
      <c r="DE31" s="67" t="e">
        <f t="shared" si="37"/>
        <v>#DIV/0!</v>
      </c>
      <c r="DF31" s="67" t="e">
        <f t="shared" si="37"/>
        <v>#DIV/0!</v>
      </c>
      <c r="DG31" s="67" t="e">
        <f t="shared" si="37"/>
        <v>#DIV/0!</v>
      </c>
      <c r="DH31" s="67" t="e">
        <f t="shared" si="37"/>
        <v>#DIV/0!</v>
      </c>
      <c r="DI31" s="67" t="e">
        <f t="shared" si="37"/>
        <v>#DIV/0!</v>
      </c>
      <c r="DJ31" s="67" t="e">
        <f t="shared" si="37"/>
        <v>#DIV/0!</v>
      </c>
      <c r="DK31" s="67" t="e">
        <f t="shared" si="37"/>
        <v>#DIV/0!</v>
      </c>
      <c r="DL31" s="67" t="e">
        <f t="shared" si="37"/>
        <v>#DIV/0!</v>
      </c>
      <c r="DM31" s="67" t="e">
        <f t="shared" si="37"/>
        <v>#DIV/0!</v>
      </c>
      <c r="DN31" s="67" t="e">
        <f t="shared" si="37"/>
        <v>#DIV/0!</v>
      </c>
      <c r="DO31" s="67" t="e">
        <f t="shared" si="37"/>
        <v>#DIV/0!</v>
      </c>
      <c r="DP31" s="67" t="e">
        <f t="shared" si="37"/>
        <v>#DIV/0!</v>
      </c>
      <c r="DQ31" s="67" t="e">
        <f t="shared" si="37"/>
        <v>#DIV/0!</v>
      </c>
      <c r="DR31" s="67" t="e">
        <f t="shared" si="37"/>
        <v>#DIV/0!</v>
      </c>
      <c r="DS31" s="67" t="e">
        <f t="shared" si="37"/>
        <v>#DIV/0!</v>
      </c>
      <c r="DT31" s="67" t="e">
        <f t="shared" si="37"/>
        <v>#DIV/0!</v>
      </c>
      <c r="DU31" s="67" t="e">
        <f t="shared" si="37"/>
        <v>#DIV/0!</v>
      </c>
      <c r="DV31" s="67" t="e">
        <f t="shared" si="37"/>
        <v>#DIV/0!</v>
      </c>
      <c r="DW31" s="67" t="e">
        <f t="shared" si="37"/>
        <v>#DIV/0!</v>
      </c>
      <c r="DX31" s="67" t="e">
        <f t="shared" si="37"/>
        <v>#DIV/0!</v>
      </c>
      <c r="DY31" s="67" t="e">
        <f t="shared" si="37"/>
        <v>#DIV/0!</v>
      </c>
      <c r="DZ31" s="67" t="e">
        <f t="shared" si="37"/>
        <v>#DIV/0!</v>
      </c>
      <c r="EA31" s="67" t="e">
        <f t="shared" si="37"/>
        <v>#DIV/0!</v>
      </c>
      <c r="EB31" s="67" t="e">
        <f t="shared" si="37"/>
        <v>#DIV/0!</v>
      </c>
      <c r="EC31" s="67" t="e">
        <f t="shared" si="37"/>
        <v>#DIV/0!</v>
      </c>
      <c r="ED31" s="67" t="e">
        <f t="shared" si="37"/>
        <v>#DIV/0!</v>
      </c>
    </row>
    <row r="32" spans="1:135" ht="12.5" x14ac:dyDescent="0.25">
      <c r="B32" s="46" t="s">
        <v>202</v>
      </c>
      <c r="C32" s="53"/>
      <c r="D32" s="62" t="e">
        <f t="shared" ref="D32:H32" si="38">SUMIFS($O32:$BV32,$O$4:$BV$4,D$3)</f>
        <v>#DIV/0!</v>
      </c>
      <c r="E32" s="62" t="e">
        <f t="shared" si="38"/>
        <v>#DIV/0!</v>
      </c>
      <c r="F32" s="62" t="e">
        <f t="shared" si="38"/>
        <v>#DIV/0!</v>
      </c>
      <c r="G32" s="62" t="e">
        <f t="shared" si="38"/>
        <v>#DIV/0!</v>
      </c>
      <c r="H32" s="62" t="e">
        <f t="shared" si="38"/>
        <v>#DIV/0!</v>
      </c>
      <c r="I32" s="62" t="e">
        <f t="shared" ref="I32:M32" si="39">SUMIFS($O32:$ED32,$O$4:$ED$4,I$3)</f>
        <v>#DIV/0!</v>
      </c>
      <c r="J32" s="62" t="e">
        <f t="shared" si="39"/>
        <v>#DIV/0!</v>
      </c>
      <c r="K32" s="62" t="e">
        <f t="shared" si="39"/>
        <v>#DIV/0!</v>
      </c>
      <c r="L32" s="62" t="e">
        <f t="shared" si="39"/>
        <v>#DIV/0!</v>
      </c>
      <c r="M32" s="62" t="e">
        <f t="shared" si="39"/>
        <v>#DIV/0!</v>
      </c>
      <c r="N32" s="53"/>
      <c r="O32" s="62" t="e">
        <f>O7*Premissas!$C$5</f>
        <v>#DIV/0!</v>
      </c>
      <c r="P32" s="62" t="e">
        <f>P7*Premissas!$C$5</f>
        <v>#DIV/0!</v>
      </c>
      <c r="Q32" s="62" t="e">
        <f>Q7*Premissas!$C$5</f>
        <v>#DIV/0!</v>
      </c>
      <c r="R32" s="62" t="e">
        <f>R7*Premissas!$C$5</f>
        <v>#DIV/0!</v>
      </c>
      <c r="S32" s="62" t="e">
        <f>S7*Premissas!$C$5</f>
        <v>#DIV/0!</v>
      </c>
      <c r="T32" s="62" t="e">
        <f>T7*Premissas!$C$5</f>
        <v>#DIV/0!</v>
      </c>
      <c r="U32" s="62" t="e">
        <f>U7*Premissas!$C$5</f>
        <v>#DIV/0!</v>
      </c>
      <c r="V32" s="62" t="e">
        <f>V7*Premissas!$C$5</f>
        <v>#DIV/0!</v>
      </c>
      <c r="W32" s="62" t="e">
        <f>W7*Premissas!$C$5</f>
        <v>#DIV/0!</v>
      </c>
      <c r="X32" s="62" t="e">
        <f>X7*Premissas!$C$5</f>
        <v>#DIV/0!</v>
      </c>
      <c r="Y32" s="62" t="e">
        <f>Y7*Premissas!$C$5</f>
        <v>#DIV/0!</v>
      </c>
      <c r="Z32" s="62" t="e">
        <f>Z7*Premissas!$C$5</f>
        <v>#DIV/0!</v>
      </c>
      <c r="AA32" s="62" t="e">
        <f>AA7*Premissas!$C$5</f>
        <v>#DIV/0!</v>
      </c>
      <c r="AB32" s="62" t="e">
        <f>AB7*Premissas!$C$5</f>
        <v>#DIV/0!</v>
      </c>
      <c r="AC32" s="62" t="e">
        <f>AC7*Premissas!$C$5</f>
        <v>#DIV/0!</v>
      </c>
      <c r="AD32" s="62" t="e">
        <f>AD7*Premissas!$C$5</f>
        <v>#DIV/0!</v>
      </c>
      <c r="AE32" s="62" t="e">
        <f>AE7*Premissas!$C$5</f>
        <v>#DIV/0!</v>
      </c>
      <c r="AF32" s="62" t="e">
        <f>AF7*Premissas!$C$5</f>
        <v>#DIV/0!</v>
      </c>
      <c r="AG32" s="62" t="e">
        <f>AG7*Premissas!$C$5</f>
        <v>#DIV/0!</v>
      </c>
      <c r="AH32" s="62" t="e">
        <f>AH7*Premissas!$C$5</f>
        <v>#DIV/0!</v>
      </c>
      <c r="AI32" s="62" t="e">
        <f>AI7*Premissas!$C$5</f>
        <v>#DIV/0!</v>
      </c>
      <c r="AJ32" s="62" t="e">
        <f>AJ7*Premissas!$C$5</f>
        <v>#DIV/0!</v>
      </c>
      <c r="AK32" s="62" t="e">
        <f>AK7*Premissas!$C$5</f>
        <v>#DIV/0!</v>
      </c>
      <c r="AL32" s="62" t="e">
        <f>AL7*Premissas!$C$5</f>
        <v>#DIV/0!</v>
      </c>
      <c r="AM32" s="62" t="e">
        <f>AM7*Premissas!$C$5</f>
        <v>#DIV/0!</v>
      </c>
      <c r="AN32" s="62" t="e">
        <f>AN7*Premissas!$C$5</f>
        <v>#DIV/0!</v>
      </c>
      <c r="AO32" s="62" t="e">
        <f>AO7*Premissas!$C$5</f>
        <v>#DIV/0!</v>
      </c>
      <c r="AP32" s="62" t="e">
        <f>AP7*Premissas!$C$5</f>
        <v>#DIV/0!</v>
      </c>
      <c r="AQ32" s="62" t="e">
        <f>AQ7*Premissas!$C$5</f>
        <v>#DIV/0!</v>
      </c>
      <c r="AR32" s="62" t="e">
        <f>AR7*Premissas!$C$5</f>
        <v>#DIV/0!</v>
      </c>
      <c r="AS32" s="62" t="e">
        <f>AS7*Premissas!$C$5</f>
        <v>#DIV/0!</v>
      </c>
      <c r="AT32" s="62" t="e">
        <f>AT7*Premissas!$C$5</f>
        <v>#DIV/0!</v>
      </c>
      <c r="AU32" s="62" t="e">
        <f>AU7*Premissas!$C$5</f>
        <v>#DIV/0!</v>
      </c>
      <c r="AV32" s="62" t="e">
        <f>AV7*Premissas!$C$5</f>
        <v>#DIV/0!</v>
      </c>
      <c r="AW32" s="62" t="e">
        <f>AW7*Premissas!$C$5</f>
        <v>#DIV/0!</v>
      </c>
      <c r="AX32" s="62" t="e">
        <f>AX7*Premissas!$C$5</f>
        <v>#DIV/0!</v>
      </c>
      <c r="AY32" s="62" t="e">
        <f>AY7*Premissas!$C$5</f>
        <v>#DIV/0!</v>
      </c>
      <c r="AZ32" s="62" t="e">
        <f>AZ7*Premissas!$C$5</f>
        <v>#DIV/0!</v>
      </c>
      <c r="BA32" s="62" t="e">
        <f>BA7*Premissas!$C$5</f>
        <v>#DIV/0!</v>
      </c>
      <c r="BB32" s="62" t="e">
        <f>BB7*Premissas!$C$5</f>
        <v>#DIV/0!</v>
      </c>
      <c r="BC32" s="62" t="e">
        <f>BC7*Premissas!$C$5</f>
        <v>#DIV/0!</v>
      </c>
      <c r="BD32" s="62" t="e">
        <f>BD7*Premissas!$C$5</f>
        <v>#DIV/0!</v>
      </c>
      <c r="BE32" s="62" t="e">
        <f>BE7*Premissas!$C$5</f>
        <v>#DIV/0!</v>
      </c>
      <c r="BF32" s="62" t="e">
        <f>BF7*Premissas!$C$5</f>
        <v>#DIV/0!</v>
      </c>
      <c r="BG32" s="62" t="e">
        <f>BG7*Premissas!$C$5</f>
        <v>#DIV/0!</v>
      </c>
      <c r="BH32" s="62" t="e">
        <f>BH7*Premissas!$C$5</f>
        <v>#DIV/0!</v>
      </c>
      <c r="BI32" s="62" t="e">
        <f>BI7*Premissas!$C$5</f>
        <v>#DIV/0!</v>
      </c>
      <c r="BJ32" s="62" t="e">
        <f>BJ7*Premissas!$C$5</f>
        <v>#DIV/0!</v>
      </c>
      <c r="BK32" s="62" t="e">
        <f>BK7*Premissas!$C$5</f>
        <v>#DIV/0!</v>
      </c>
      <c r="BL32" s="62" t="e">
        <f>BL7*Premissas!$C$5</f>
        <v>#DIV/0!</v>
      </c>
      <c r="BM32" s="62" t="e">
        <f>BM7*Premissas!$C$5</f>
        <v>#DIV/0!</v>
      </c>
      <c r="BN32" s="62" t="e">
        <f>BN7*Premissas!$C$5</f>
        <v>#DIV/0!</v>
      </c>
      <c r="BO32" s="62" t="e">
        <f>BO7*Premissas!$C$5</f>
        <v>#DIV/0!</v>
      </c>
      <c r="BP32" s="62" t="e">
        <f>BP7*Premissas!$C$5</f>
        <v>#DIV/0!</v>
      </c>
      <c r="BQ32" s="62" t="e">
        <f>BQ7*Premissas!$C$5</f>
        <v>#DIV/0!</v>
      </c>
      <c r="BR32" s="62" t="e">
        <f>BR7*Premissas!$C$5</f>
        <v>#DIV/0!</v>
      </c>
      <c r="BS32" s="62" t="e">
        <f>BS7*Premissas!$C$5</f>
        <v>#DIV/0!</v>
      </c>
      <c r="BT32" s="62" t="e">
        <f>BT7*Premissas!$C$5</f>
        <v>#DIV/0!</v>
      </c>
      <c r="BU32" s="62" t="e">
        <f>BU7*Premissas!$C$5</f>
        <v>#DIV/0!</v>
      </c>
      <c r="BV32" s="62" t="e">
        <f>BV7*Premissas!$C$5</f>
        <v>#DIV/0!</v>
      </c>
      <c r="BW32" s="62" t="e">
        <f>BW7*Premissas!$C$5</f>
        <v>#DIV/0!</v>
      </c>
      <c r="BX32" s="62" t="e">
        <f>BX7*Premissas!$C$5</f>
        <v>#DIV/0!</v>
      </c>
      <c r="BY32" s="62" t="e">
        <f>BY7*Premissas!$C$5</f>
        <v>#DIV/0!</v>
      </c>
      <c r="BZ32" s="62" t="e">
        <f>BZ7*Premissas!$C$5</f>
        <v>#DIV/0!</v>
      </c>
      <c r="CA32" s="62" t="e">
        <f>CA7*Premissas!$C$5</f>
        <v>#DIV/0!</v>
      </c>
      <c r="CB32" s="62" t="e">
        <f>CB7*Premissas!$C$5</f>
        <v>#DIV/0!</v>
      </c>
      <c r="CC32" s="62" t="e">
        <f>CC7*Premissas!$C$5</f>
        <v>#DIV/0!</v>
      </c>
      <c r="CD32" s="62" t="e">
        <f>CD7*Premissas!$C$5</f>
        <v>#DIV/0!</v>
      </c>
      <c r="CE32" s="62" t="e">
        <f>CE7*Premissas!$C$5</f>
        <v>#DIV/0!</v>
      </c>
      <c r="CF32" s="62" t="e">
        <f>CF7*Premissas!$C$5</f>
        <v>#DIV/0!</v>
      </c>
      <c r="CG32" s="62" t="e">
        <f>CG7*Premissas!$C$5</f>
        <v>#DIV/0!</v>
      </c>
      <c r="CH32" s="62" t="e">
        <f>CH7*Premissas!$C$5</f>
        <v>#DIV/0!</v>
      </c>
      <c r="CI32" s="62" t="e">
        <f>CI7*Premissas!$C$5</f>
        <v>#DIV/0!</v>
      </c>
      <c r="CJ32" s="62" t="e">
        <f>CJ7*Premissas!$C$5</f>
        <v>#DIV/0!</v>
      </c>
      <c r="CK32" s="62" t="e">
        <f>CK7*Premissas!$C$5</f>
        <v>#DIV/0!</v>
      </c>
      <c r="CL32" s="62" t="e">
        <f>CL7*Premissas!$C$5</f>
        <v>#DIV/0!</v>
      </c>
      <c r="CM32" s="62" t="e">
        <f>CM7*Premissas!$C$5</f>
        <v>#DIV/0!</v>
      </c>
      <c r="CN32" s="62" t="e">
        <f>CN7*Premissas!$C$5</f>
        <v>#DIV/0!</v>
      </c>
      <c r="CO32" s="62" t="e">
        <f>CO7*Premissas!$C$5</f>
        <v>#DIV/0!</v>
      </c>
      <c r="CP32" s="62" t="e">
        <f>CP7*Premissas!$C$5</f>
        <v>#DIV/0!</v>
      </c>
      <c r="CQ32" s="62" t="e">
        <f>CQ7*Premissas!$C$5</f>
        <v>#DIV/0!</v>
      </c>
      <c r="CR32" s="62" t="e">
        <f>CR7*Premissas!$C$5</f>
        <v>#DIV/0!</v>
      </c>
      <c r="CS32" s="62" t="e">
        <f>CS7*Premissas!$C$5</f>
        <v>#DIV/0!</v>
      </c>
      <c r="CT32" s="62" t="e">
        <f>CT7*Premissas!$C$5</f>
        <v>#DIV/0!</v>
      </c>
      <c r="CU32" s="62" t="e">
        <f>CU7*Premissas!$C$5</f>
        <v>#DIV/0!</v>
      </c>
      <c r="CV32" s="62" t="e">
        <f>CV7*Premissas!$C$5</f>
        <v>#DIV/0!</v>
      </c>
      <c r="CW32" s="62" t="e">
        <f>CW7*Premissas!$C$5</f>
        <v>#DIV/0!</v>
      </c>
      <c r="CX32" s="62" t="e">
        <f>CX7*Premissas!$C$5</f>
        <v>#DIV/0!</v>
      </c>
      <c r="CY32" s="62" t="e">
        <f>CY7*Premissas!$C$5</f>
        <v>#DIV/0!</v>
      </c>
      <c r="CZ32" s="62" t="e">
        <f>CZ7*Premissas!$C$5</f>
        <v>#DIV/0!</v>
      </c>
      <c r="DA32" s="62" t="e">
        <f>DA7*Premissas!$C$5</f>
        <v>#DIV/0!</v>
      </c>
      <c r="DB32" s="62" t="e">
        <f>DB7*Premissas!$C$5</f>
        <v>#DIV/0!</v>
      </c>
      <c r="DC32" s="62" t="e">
        <f>DC7*Premissas!$C$5</f>
        <v>#DIV/0!</v>
      </c>
      <c r="DD32" s="62" t="e">
        <f>DD7*Premissas!$C$5</f>
        <v>#DIV/0!</v>
      </c>
      <c r="DE32" s="62" t="e">
        <f>DE7*Premissas!$C$5</f>
        <v>#DIV/0!</v>
      </c>
      <c r="DF32" s="62" t="e">
        <f>DF7*Premissas!$C$5</f>
        <v>#DIV/0!</v>
      </c>
      <c r="DG32" s="62" t="e">
        <f>DG7*Premissas!$C$5</f>
        <v>#DIV/0!</v>
      </c>
      <c r="DH32" s="62" t="e">
        <f>DH7*Premissas!$C$5</f>
        <v>#DIV/0!</v>
      </c>
      <c r="DI32" s="62" t="e">
        <f>DI7*Premissas!$C$5</f>
        <v>#DIV/0!</v>
      </c>
      <c r="DJ32" s="62" t="e">
        <f>DJ7*Premissas!$C$5</f>
        <v>#DIV/0!</v>
      </c>
      <c r="DK32" s="62" t="e">
        <f>DK7*Premissas!$C$5</f>
        <v>#DIV/0!</v>
      </c>
      <c r="DL32" s="62" t="e">
        <f>DL7*Premissas!$C$5</f>
        <v>#DIV/0!</v>
      </c>
      <c r="DM32" s="62" t="e">
        <f>DM7*Premissas!$C$5</f>
        <v>#DIV/0!</v>
      </c>
      <c r="DN32" s="62" t="e">
        <f>DN7*Premissas!$C$5</f>
        <v>#DIV/0!</v>
      </c>
      <c r="DO32" s="62" t="e">
        <f>DO7*Premissas!$C$5</f>
        <v>#DIV/0!</v>
      </c>
      <c r="DP32" s="62" t="e">
        <f>DP7*Premissas!$C$5</f>
        <v>#DIV/0!</v>
      </c>
      <c r="DQ32" s="62" t="e">
        <f>DQ7*Premissas!$C$5</f>
        <v>#DIV/0!</v>
      </c>
      <c r="DR32" s="62" t="e">
        <f>DR7*Premissas!$C$5</f>
        <v>#DIV/0!</v>
      </c>
      <c r="DS32" s="62" t="e">
        <f>DS7*Premissas!$C$5</f>
        <v>#DIV/0!</v>
      </c>
      <c r="DT32" s="62" t="e">
        <f>DT7*Premissas!$C$5</f>
        <v>#DIV/0!</v>
      </c>
      <c r="DU32" s="62" t="e">
        <f>DU7*Premissas!$C$5</f>
        <v>#DIV/0!</v>
      </c>
      <c r="DV32" s="62" t="e">
        <f>DV7*Premissas!$C$5</f>
        <v>#DIV/0!</v>
      </c>
      <c r="DW32" s="62" t="e">
        <f>DW7*Premissas!$C$5</f>
        <v>#DIV/0!</v>
      </c>
      <c r="DX32" s="62" t="e">
        <f>DX7*Premissas!$C$5</f>
        <v>#DIV/0!</v>
      </c>
      <c r="DY32" s="62" t="e">
        <f>DY7*Premissas!$C$5</f>
        <v>#DIV/0!</v>
      </c>
      <c r="DZ32" s="62" t="e">
        <f>DZ7*Premissas!$C$5</f>
        <v>#DIV/0!</v>
      </c>
      <c r="EA32" s="62" t="e">
        <f>EA7*Premissas!$C$5</f>
        <v>#DIV/0!</v>
      </c>
      <c r="EB32" s="62" t="e">
        <f>EB7*Premissas!$C$5</f>
        <v>#DIV/0!</v>
      </c>
      <c r="EC32" s="62" t="e">
        <f>EC7*Premissas!$C$5</f>
        <v>#DIV/0!</v>
      </c>
      <c r="ED32" s="62" t="e">
        <f>ED7*Premissas!$C$5</f>
        <v>#DIV/0!</v>
      </c>
    </row>
    <row r="33" spans="1:135" ht="12.5" x14ac:dyDescent="0.25">
      <c r="B33" s="46" t="s">
        <v>203</v>
      </c>
      <c r="C33" s="53"/>
      <c r="D33" s="62" t="e">
        <f t="shared" ref="D33:H33" si="40">SUMIFS($O33:$BV33,$O$4:$BV$4,D$3)</f>
        <v>#DIV/0!</v>
      </c>
      <c r="E33" s="62" t="e">
        <f t="shared" si="40"/>
        <v>#DIV/0!</v>
      </c>
      <c r="F33" s="62" t="e">
        <f t="shared" si="40"/>
        <v>#DIV/0!</v>
      </c>
      <c r="G33" s="62" t="e">
        <f t="shared" si="40"/>
        <v>#DIV/0!</v>
      </c>
      <c r="H33" s="62" t="e">
        <f t="shared" si="40"/>
        <v>#DIV/0!</v>
      </c>
      <c r="I33" s="62" t="e">
        <f t="shared" ref="I33:M33" si="41">SUMIFS($O33:$ED33,$O$4:$ED$4,I$3)</f>
        <v>#DIV/0!</v>
      </c>
      <c r="J33" s="62" t="e">
        <f t="shared" si="41"/>
        <v>#DIV/0!</v>
      </c>
      <c r="K33" s="62" t="e">
        <f t="shared" si="41"/>
        <v>#DIV/0!</v>
      </c>
      <c r="L33" s="62" t="e">
        <f t="shared" si="41"/>
        <v>#DIV/0!</v>
      </c>
      <c r="M33" s="62" t="e">
        <f t="shared" si="41"/>
        <v>#DIV/0!</v>
      </c>
      <c r="N33" s="53"/>
      <c r="O33" s="62" t="e">
        <f>O7*Premissas!$C$7</f>
        <v>#DIV/0!</v>
      </c>
      <c r="P33" s="62" t="e">
        <f>P7*Premissas!$C$7</f>
        <v>#DIV/0!</v>
      </c>
      <c r="Q33" s="62" t="e">
        <f>Q7*Premissas!$C$7</f>
        <v>#DIV/0!</v>
      </c>
      <c r="R33" s="62" t="e">
        <f>R7*Premissas!$C$7</f>
        <v>#DIV/0!</v>
      </c>
      <c r="S33" s="62" t="e">
        <f>S7*Premissas!$C$7</f>
        <v>#DIV/0!</v>
      </c>
      <c r="T33" s="62" t="e">
        <f>T7*Premissas!$C$7</f>
        <v>#DIV/0!</v>
      </c>
      <c r="U33" s="62" t="e">
        <f>U7*Premissas!$C$7</f>
        <v>#DIV/0!</v>
      </c>
      <c r="V33" s="62" t="e">
        <f>V7*Premissas!$C$7</f>
        <v>#DIV/0!</v>
      </c>
      <c r="W33" s="62" t="e">
        <f>W7*Premissas!$C$7</f>
        <v>#DIV/0!</v>
      </c>
      <c r="X33" s="62" t="e">
        <f>X7*Premissas!$C$7</f>
        <v>#DIV/0!</v>
      </c>
      <c r="Y33" s="62" t="e">
        <f>Y7*Premissas!$C$7</f>
        <v>#DIV/0!</v>
      </c>
      <c r="Z33" s="62" t="e">
        <f>Z7*Premissas!$C$7</f>
        <v>#DIV/0!</v>
      </c>
      <c r="AA33" s="62" t="e">
        <f>AA7*Premissas!$C$7</f>
        <v>#DIV/0!</v>
      </c>
      <c r="AB33" s="62" t="e">
        <f>AB7*Premissas!$C$7</f>
        <v>#DIV/0!</v>
      </c>
      <c r="AC33" s="62" t="e">
        <f>AC7*Premissas!$C$7</f>
        <v>#DIV/0!</v>
      </c>
      <c r="AD33" s="62" t="e">
        <f>AD7*Premissas!$C$7</f>
        <v>#DIV/0!</v>
      </c>
      <c r="AE33" s="62" t="e">
        <f>AE7*Premissas!$C$7</f>
        <v>#DIV/0!</v>
      </c>
      <c r="AF33" s="62" t="e">
        <f>AF7*Premissas!$C$7</f>
        <v>#DIV/0!</v>
      </c>
      <c r="AG33" s="62" t="e">
        <f>AG7*Premissas!$C$7</f>
        <v>#DIV/0!</v>
      </c>
      <c r="AH33" s="62" t="e">
        <f>AH7*Premissas!$C$7</f>
        <v>#DIV/0!</v>
      </c>
      <c r="AI33" s="62" t="e">
        <f>AI7*Premissas!$C$7</f>
        <v>#DIV/0!</v>
      </c>
      <c r="AJ33" s="62" t="e">
        <f>AJ7*Premissas!$C$7</f>
        <v>#DIV/0!</v>
      </c>
      <c r="AK33" s="62" t="e">
        <f>AK7*Premissas!$C$7</f>
        <v>#DIV/0!</v>
      </c>
      <c r="AL33" s="62" t="e">
        <f>AL7*Premissas!$C$7</f>
        <v>#DIV/0!</v>
      </c>
      <c r="AM33" s="62" t="e">
        <f>AM7*Premissas!$C$7</f>
        <v>#DIV/0!</v>
      </c>
      <c r="AN33" s="62" t="e">
        <f>AN7*Premissas!$C$7</f>
        <v>#DIV/0!</v>
      </c>
      <c r="AO33" s="62" t="e">
        <f>AO7*Premissas!$C$7</f>
        <v>#DIV/0!</v>
      </c>
      <c r="AP33" s="62" t="e">
        <f>AP7*Premissas!$C$7</f>
        <v>#DIV/0!</v>
      </c>
      <c r="AQ33" s="62" t="e">
        <f>AQ7*Premissas!$C$7</f>
        <v>#DIV/0!</v>
      </c>
      <c r="AR33" s="62" t="e">
        <f>AR7*Premissas!$C$7</f>
        <v>#DIV/0!</v>
      </c>
      <c r="AS33" s="62" t="e">
        <f>AS7*Premissas!$C$7</f>
        <v>#DIV/0!</v>
      </c>
      <c r="AT33" s="62" t="e">
        <f>AT7*Premissas!$C$7</f>
        <v>#DIV/0!</v>
      </c>
      <c r="AU33" s="62" t="e">
        <f>AU7*Premissas!$C$7</f>
        <v>#DIV/0!</v>
      </c>
      <c r="AV33" s="62" t="e">
        <f>AV7*Premissas!$C$7</f>
        <v>#DIV/0!</v>
      </c>
      <c r="AW33" s="62" t="e">
        <f>AW7*Premissas!$C$7</f>
        <v>#DIV/0!</v>
      </c>
      <c r="AX33" s="62" t="e">
        <f>AX7*Premissas!$C$7</f>
        <v>#DIV/0!</v>
      </c>
      <c r="AY33" s="62" t="e">
        <f>AY7*Premissas!$C$7</f>
        <v>#DIV/0!</v>
      </c>
      <c r="AZ33" s="62" t="e">
        <f>AZ7*Premissas!$C$7</f>
        <v>#DIV/0!</v>
      </c>
      <c r="BA33" s="62" t="e">
        <f>BA7*Premissas!$C$7</f>
        <v>#DIV/0!</v>
      </c>
      <c r="BB33" s="62" t="e">
        <f>BB7*Premissas!$C$7</f>
        <v>#DIV/0!</v>
      </c>
      <c r="BC33" s="62" t="e">
        <f>BC7*Premissas!$C$7</f>
        <v>#DIV/0!</v>
      </c>
      <c r="BD33" s="62" t="e">
        <f>BD7*Premissas!$C$7</f>
        <v>#DIV/0!</v>
      </c>
      <c r="BE33" s="62" t="e">
        <f>BE7*Premissas!$C$7</f>
        <v>#DIV/0!</v>
      </c>
      <c r="BF33" s="62" t="e">
        <f>BF7*Premissas!$C$7</f>
        <v>#DIV/0!</v>
      </c>
      <c r="BG33" s="62" t="e">
        <f>BG7*Premissas!$C$7</f>
        <v>#DIV/0!</v>
      </c>
      <c r="BH33" s="62" t="e">
        <f>BH7*Premissas!$C$7</f>
        <v>#DIV/0!</v>
      </c>
      <c r="BI33" s="62" t="e">
        <f>BI7*Premissas!$C$7</f>
        <v>#DIV/0!</v>
      </c>
      <c r="BJ33" s="62" t="e">
        <f>BJ7*Premissas!$C$7</f>
        <v>#DIV/0!</v>
      </c>
      <c r="BK33" s="62" t="e">
        <f>BK7*Premissas!$C$7</f>
        <v>#DIV/0!</v>
      </c>
      <c r="BL33" s="62" t="e">
        <f>BL7*Premissas!$C$7</f>
        <v>#DIV/0!</v>
      </c>
      <c r="BM33" s="62" t="e">
        <f>BM7*Premissas!$C$7</f>
        <v>#DIV/0!</v>
      </c>
      <c r="BN33" s="62" t="e">
        <f>BN7*Premissas!$C$7</f>
        <v>#DIV/0!</v>
      </c>
      <c r="BO33" s="62" t="e">
        <f>BO7*Premissas!$C$7</f>
        <v>#DIV/0!</v>
      </c>
      <c r="BP33" s="62" t="e">
        <f>BP7*Premissas!$C$7</f>
        <v>#DIV/0!</v>
      </c>
      <c r="BQ33" s="62" t="e">
        <f>BQ7*Premissas!$C$7</f>
        <v>#DIV/0!</v>
      </c>
      <c r="BR33" s="62" t="e">
        <f>BR7*Premissas!$C$7</f>
        <v>#DIV/0!</v>
      </c>
      <c r="BS33" s="62" t="e">
        <f>BS7*Premissas!$C$7</f>
        <v>#DIV/0!</v>
      </c>
      <c r="BT33" s="62" t="e">
        <f>BT7*Premissas!$C$7</f>
        <v>#DIV/0!</v>
      </c>
      <c r="BU33" s="62" t="e">
        <f>BU7*Premissas!$C$7</f>
        <v>#DIV/0!</v>
      </c>
      <c r="BV33" s="62" t="e">
        <f>BV7*Premissas!$C$7</f>
        <v>#DIV/0!</v>
      </c>
      <c r="BW33" s="62" t="e">
        <f>BW7*Premissas!$C$7</f>
        <v>#DIV/0!</v>
      </c>
      <c r="BX33" s="62" t="e">
        <f>BX7*Premissas!$C$7</f>
        <v>#DIV/0!</v>
      </c>
      <c r="BY33" s="62" t="e">
        <f>BY7*Premissas!$C$7</f>
        <v>#DIV/0!</v>
      </c>
      <c r="BZ33" s="62" t="e">
        <f>BZ7*Premissas!$C$7</f>
        <v>#DIV/0!</v>
      </c>
      <c r="CA33" s="62" t="e">
        <f>CA7*Premissas!$C$7</f>
        <v>#DIV/0!</v>
      </c>
      <c r="CB33" s="62" t="e">
        <f>CB7*Premissas!$C$7</f>
        <v>#DIV/0!</v>
      </c>
      <c r="CC33" s="62" t="e">
        <f>CC7*Premissas!$C$7</f>
        <v>#DIV/0!</v>
      </c>
      <c r="CD33" s="62" t="e">
        <f>CD7*Premissas!$C$7</f>
        <v>#DIV/0!</v>
      </c>
      <c r="CE33" s="62" t="e">
        <f>CE7*Premissas!$C$7</f>
        <v>#DIV/0!</v>
      </c>
      <c r="CF33" s="62" t="e">
        <f>CF7*Premissas!$C$7</f>
        <v>#DIV/0!</v>
      </c>
      <c r="CG33" s="62" t="e">
        <f>CG7*Premissas!$C$7</f>
        <v>#DIV/0!</v>
      </c>
      <c r="CH33" s="62" t="e">
        <f>CH7*Premissas!$C$7</f>
        <v>#DIV/0!</v>
      </c>
      <c r="CI33" s="62" t="e">
        <f>CI7*Premissas!$C$7</f>
        <v>#DIV/0!</v>
      </c>
      <c r="CJ33" s="62" t="e">
        <f>CJ7*Premissas!$C$7</f>
        <v>#DIV/0!</v>
      </c>
      <c r="CK33" s="62" t="e">
        <f>CK7*Premissas!$C$7</f>
        <v>#DIV/0!</v>
      </c>
      <c r="CL33" s="62" t="e">
        <f>CL7*Premissas!$C$7</f>
        <v>#DIV/0!</v>
      </c>
      <c r="CM33" s="62" t="e">
        <f>CM7*Premissas!$C$7</f>
        <v>#DIV/0!</v>
      </c>
      <c r="CN33" s="62" t="e">
        <f>CN7*Premissas!$C$7</f>
        <v>#DIV/0!</v>
      </c>
      <c r="CO33" s="62" t="e">
        <f>CO7*Premissas!$C$7</f>
        <v>#DIV/0!</v>
      </c>
      <c r="CP33" s="62" t="e">
        <f>CP7*Premissas!$C$7</f>
        <v>#DIV/0!</v>
      </c>
      <c r="CQ33" s="62" t="e">
        <f>CQ7*Premissas!$C$7</f>
        <v>#DIV/0!</v>
      </c>
      <c r="CR33" s="62" t="e">
        <f>CR7*Premissas!$C$7</f>
        <v>#DIV/0!</v>
      </c>
      <c r="CS33" s="62" t="e">
        <f>CS7*Premissas!$C$7</f>
        <v>#DIV/0!</v>
      </c>
      <c r="CT33" s="62" t="e">
        <f>CT7*Premissas!$C$7</f>
        <v>#DIV/0!</v>
      </c>
      <c r="CU33" s="62" t="e">
        <f>CU7*Premissas!$C$7</f>
        <v>#DIV/0!</v>
      </c>
      <c r="CV33" s="62" t="e">
        <f>CV7*Premissas!$C$7</f>
        <v>#DIV/0!</v>
      </c>
      <c r="CW33" s="62" t="e">
        <f>CW7*Premissas!$C$7</f>
        <v>#DIV/0!</v>
      </c>
      <c r="CX33" s="62" t="e">
        <f>CX7*Premissas!$C$7</f>
        <v>#DIV/0!</v>
      </c>
      <c r="CY33" s="62" t="e">
        <f>CY7*Premissas!$C$7</f>
        <v>#DIV/0!</v>
      </c>
      <c r="CZ33" s="62" t="e">
        <f>CZ7*Premissas!$C$7</f>
        <v>#DIV/0!</v>
      </c>
      <c r="DA33" s="62" t="e">
        <f>DA7*Premissas!$C$7</f>
        <v>#DIV/0!</v>
      </c>
      <c r="DB33" s="62" t="e">
        <f>DB7*Premissas!$C$7</f>
        <v>#DIV/0!</v>
      </c>
      <c r="DC33" s="62" t="e">
        <f>DC7*Premissas!$C$7</f>
        <v>#DIV/0!</v>
      </c>
      <c r="DD33" s="62" t="e">
        <f>DD7*Premissas!$C$7</f>
        <v>#DIV/0!</v>
      </c>
      <c r="DE33" s="62" t="e">
        <f>DE7*Premissas!$C$7</f>
        <v>#DIV/0!</v>
      </c>
      <c r="DF33" s="62" t="e">
        <f>DF7*Premissas!$C$7</f>
        <v>#DIV/0!</v>
      </c>
      <c r="DG33" s="62" t="e">
        <f>DG7*Premissas!$C$7</f>
        <v>#DIV/0!</v>
      </c>
      <c r="DH33" s="62" t="e">
        <f>DH7*Premissas!$C$7</f>
        <v>#DIV/0!</v>
      </c>
      <c r="DI33" s="62" t="e">
        <f>DI7*Premissas!$C$7</f>
        <v>#DIV/0!</v>
      </c>
      <c r="DJ33" s="62" t="e">
        <f>DJ7*Premissas!$C$7</f>
        <v>#DIV/0!</v>
      </c>
      <c r="DK33" s="62" t="e">
        <f>DK7*Premissas!$C$7</f>
        <v>#DIV/0!</v>
      </c>
      <c r="DL33" s="62" t="e">
        <f>DL7*Premissas!$C$7</f>
        <v>#DIV/0!</v>
      </c>
      <c r="DM33" s="62" t="e">
        <f>DM7*Premissas!$C$7</f>
        <v>#DIV/0!</v>
      </c>
      <c r="DN33" s="62" t="e">
        <f>DN7*Premissas!$C$7</f>
        <v>#DIV/0!</v>
      </c>
      <c r="DO33" s="62" t="e">
        <f>DO7*Premissas!$C$7</f>
        <v>#DIV/0!</v>
      </c>
      <c r="DP33" s="62" t="e">
        <f>DP7*Premissas!$C$7</f>
        <v>#DIV/0!</v>
      </c>
      <c r="DQ33" s="62" t="e">
        <f>DQ7*Premissas!$C$7</f>
        <v>#DIV/0!</v>
      </c>
      <c r="DR33" s="62" t="e">
        <f>DR7*Premissas!$C$7</f>
        <v>#DIV/0!</v>
      </c>
      <c r="DS33" s="62" t="e">
        <f>DS7*Premissas!$C$7</f>
        <v>#DIV/0!</v>
      </c>
      <c r="DT33" s="62" t="e">
        <f>DT7*Premissas!$C$7</f>
        <v>#DIV/0!</v>
      </c>
      <c r="DU33" s="62" t="e">
        <f>DU7*Premissas!$C$7</f>
        <v>#DIV/0!</v>
      </c>
      <c r="DV33" s="62" t="e">
        <f>DV7*Premissas!$C$7</f>
        <v>#DIV/0!</v>
      </c>
      <c r="DW33" s="62" t="e">
        <f>DW7*Premissas!$C$7</f>
        <v>#DIV/0!</v>
      </c>
      <c r="DX33" s="62" t="e">
        <f>DX7*Premissas!$C$7</f>
        <v>#DIV/0!</v>
      </c>
      <c r="DY33" s="62" t="e">
        <f>DY7*Premissas!$C$7</f>
        <v>#DIV/0!</v>
      </c>
      <c r="DZ33" s="62" t="e">
        <f>DZ7*Premissas!$C$7</f>
        <v>#DIV/0!</v>
      </c>
      <c r="EA33" s="62" t="e">
        <f>EA7*Premissas!$C$7</f>
        <v>#DIV/0!</v>
      </c>
      <c r="EB33" s="62" t="e">
        <f>EB7*Premissas!$C$7</f>
        <v>#DIV/0!</v>
      </c>
      <c r="EC33" s="62" t="e">
        <f>EC7*Premissas!$C$7</f>
        <v>#DIV/0!</v>
      </c>
      <c r="ED33" s="62" t="e">
        <f>ED7*Premissas!$C$7</f>
        <v>#DIV/0!</v>
      </c>
    </row>
    <row r="34" spans="1:135" ht="12.5" x14ac:dyDescent="0.25">
      <c r="B34" s="46" t="s">
        <v>204</v>
      </c>
      <c r="D34" s="62" t="e">
        <f t="shared" ref="D34:H34" si="42">SUMIFS($O34:$BV34,$O$4:$BV$4,D$3)</f>
        <v>#DIV/0!</v>
      </c>
      <c r="E34" s="62" t="e">
        <f t="shared" si="42"/>
        <v>#DIV/0!</v>
      </c>
      <c r="F34" s="62" t="e">
        <f t="shared" si="42"/>
        <v>#DIV/0!</v>
      </c>
      <c r="G34" s="62" t="e">
        <f t="shared" si="42"/>
        <v>#DIV/0!</v>
      </c>
      <c r="H34" s="62" t="e">
        <f t="shared" si="42"/>
        <v>#DIV/0!</v>
      </c>
      <c r="I34" s="62" t="e">
        <f t="shared" ref="I34:M34" si="43">SUMIFS($O34:$ED34,$O$4:$ED$4,I$3)</f>
        <v>#DIV/0!</v>
      </c>
      <c r="J34" s="62" t="e">
        <f t="shared" si="43"/>
        <v>#DIV/0!</v>
      </c>
      <c r="K34" s="62" t="e">
        <f t="shared" si="43"/>
        <v>#DIV/0!</v>
      </c>
      <c r="L34" s="62" t="e">
        <f t="shared" si="43"/>
        <v>#DIV/0!</v>
      </c>
      <c r="M34" s="62" t="e">
        <f t="shared" si="43"/>
        <v>#DIV/0!</v>
      </c>
      <c r="O34" s="62" t="e">
        <f>IF(O7&gt;0,Simulador!$I$60*Premissas!$C$17,0)</f>
        <v>#DIV/0!</v>
      </c>
      <c r="P34" s="62" t="e">
        <f>IF(P7&gt;0,Simulador!$I$60*Premissas!$C$17,0)</f>
        <v>#DIV/0!</v>
      </c>
      <c r="Q34" s="62" t="e">
        <f>IF(Q7&gt;0,Simulador!$I$60*Premissas!$C$17,0)</f>
        <v>#DIV/0!</v>
      </c>
      <c r="R34" s="62" t="e">
        <f>IF(R7&gt;0,Simulador!$I$60*Premissas!$C$17,0)</f>
        <v>#DIV/0!</v>
      </c>
      <c r="S34" s="62" t="e">
        <f>IF(S7&gt;0,Simulador!$I$60*Premissas!$C$17,0)</f>
        <v>#DIV/0!</v>
      </c>
      <c r="T34" s="62" t="e">
        <f>IF(T7&gt;0,Simulador!$I$60*Premissas!$C$17,0)</f>
        <v>#DIV/0!</v>
      </c>
      <c r="U34" s="62" t="e">
        <f>IF(U7&gt;0,Simulador!$I$60*Premissas!$C$17,0)</f>
        <v>#DIV/0!</v>
      </c>
      <c r="V34" s="62" t="e">
        <f>IF(V7&gt;0,Simulador!$I$60*Premissas!$C$17,0)</f>
        <v>#DIV/0!</v>
      </c>
      <c r="W34" s="62" t="e">
        <f>IF(W7&gt;0,Simulador!$I$60*Premissas!$C$17,0)</f>
        <v>#DIV/0!</v>
      </c>
      <c r="X34" s="62" t="e">
        <f>IF(X7&gt;0,Simulador!$I$60*Premissas!$C$17,0)</f>
        <v>#DIV/0!</v>
      </c>
      <c r="Y34" s="62" t="e">
        <f>IF(Y7&gt;0,Simulador!$I$60*Premissas!$C$17,0)</f>
        <v>#DIV/0!</v>
      </c>
      <c r="Z34" s="62" t="e">
        <f>IF(Z7&gt;0,Simulador!$I$60*Premissas!$C$17,0)</f>
        <v>#DIV/0!</v>
      </c>
      <c r="AA34" s="62" t="e">
        <f>IF(AA7&gt;0,Simulador!$I$60*Premissas!$C$17,0)</f>
        <v>#DIV/0!</v>
      </c>
      <c r="AB34" s="62" t="e">
        <f>IF(AB7&gt;0,Simulador!$I$60*Premissas!$C$17,0)</f>
        <v>#DIV/0!</v>
      </c>
      <c r="AC34" s="62" t="e">
        <f>IF(AC7&gt;0,Simulador!$I$60*Premissas!$C$17,0)</f>
        <v>#DIV/0!</v>
      </c>
      <c r="AD34" s="62" t="e">
        <f>IF(AD7&gt;0,Simulador!$I$60*Premissas!$C$17,0)</f>
        <v>#DIV/0!</v>
      </c>
      <c r="AE34" s="62" t="e">
        <f>IF(AE7&gt;0,Simulador!$I$60*Premissas!$C$17,0)</f>
        <v>#DIV/0!</v>
      </c>
      <c r="AF34" s="62" t="e">
        <f>IF(AF7&gt;0,Simulador!$I$60*Premissas!$C$17,0)</f>
        <v>#DIV/0!</v>
      </c>
      <c r="AG34" s="62" t="e">
        <f>IF(AG7&gt;0,Simulador!$I$60*Premissas!$C$17,0)</f>
        <v>#DIV/0!</v>
      </c>
      <c r="AH34" s="62" t="e">
        <f>IF(AH7&gt;0,Simulador!$I$60*Premissas!$C$17,0)</f>
        <v>#DIV/0!</v>
      </c>
      <c r="AI34" s="62" t="e">
        <f>IF(AI7&gt;0,Simulador!$I$60*Premissas!$C$17,0)</f>
        <v>#DIV/0!</v>
      </c>
      <c r="AJ34" s="62" t="e">
        <f>IF(AJ7&gt;0,Simulador!$I$60*Premissas!$C$17,0)</f>
        <v>#DIV/0!</v>
      </c>
      <c r="AK34" s="62" t="e">
        <f>IF(AK7&gt;0,Simulador!$I$60*Premissas!$C$17,0)</f>
        <v>#DIV/0!</v>
      </c>
      <c r="AL34" s="62" t="e">
        <f>IF(AL7&gt;0,Simulador!$I$60*Premissas!$C$17,0)</f>
        <v>#DIV/0!</v>
      </c>
      <c r="AM34" s="62" t="e">
        <f>IF(AM7&gt;0,Simulador!$I$60*Premissas!$C$17,0)</f>
        <v>#DIV/0!</v>
      </c>
      <c r="AN34" s="62" t="e">
        <f>IF(AN7&gt;0,Simulador!$I$60*Premissas!$C$17,0)</f>
        <v>#DIV/0!</v>
      </c>
      <c r="AO34" s="62" t="e">
        <f>IF(AO7&gt;0,Simulador!$I$60*Premissas!$C$17,0)</f>
        <v>#DIV/0!</v>
      </c>
      <c r="AP34" s="62" t="e">
        <f>IF(AP7&gt;0,Simulador!$I$60*Premissas!$C$17,0)</f>
        <v>#DIV/0!</v>
      </c>
      <c r="AQ34" s="62" t="e">
        <f>IF(AQ7&gt;0,Simulador!$I$60*Premissas!$C$17,0)</f>
        <v>#DIV/0!</v>
      </c>
      <c r="AR34" s="62" t="e">
        <f>IF(AR7&gt;0,Simulador!$I$60*Premissas!$C$17,0)</f>
        <v>#DIV/0!</v>
      </c>
      <c r="AS34" s="62" t="e">
        <f>IF(AS7&gt;0,Simulador!$I$60*Premissas!$C$17,0)</f>
        <v>#DIV/0!</v>
      </c>
      <c r="AT34" s="62" t="e">
        <f>IF(AT7&gt;0,Simulador!$I$60*Premissas!$C$17,0)</f>
        <v>#DIV/0!</v>
      </c>
      <c r="AU34" s="62" t="e">
        <f>IF(AU7&gt;0,Simulador!$I$60*Premissas!$C$17,0)</f>
        <v>#DIV/0!</v>
      </c>
      <c r="AV34" s="62" t="e">
        <f>IF(AV7&gt;0,Simulador!$I$60*Premissas!$C$17,0)</f>
        <v>#DIV/0!</v>
      </c>
      <c r="AW34" s="62" t="e">
        <f>IF(AW7&gt;0,Simulador!$I$60*Premissas!$C$17,0)</f>
        <v>#DIV/0!</v>
      </c>
      <c r="AX34" s="62" t="e">
        <f>IF(AX7&gt;0,Simulador!$I$60*Premissas!$C$17,0)</f>
        <v>#DIV/0!</v>
      </c>
      <c r="AY34" s="62" t="e">
        <f>IF(AY7&gt;0,Simulador!$I$60*Premissas!$C$17,0)</f>
        <v>#DIV/0!</v>
      </c>
      <c r="AZ34" s="62" t="e">
        <f>IF(AZ7&gt;0,Simulador!$I$60*Premissas!$C$17,0)</f>
        <v>#DIV/0!</v>
      </c>
      <c r="BA34" s="62" t="e">
        <f>IF(BA7&gt;0,Simulador!$I$60*Premissas!$C$17,0)</f>
        <v>#DIV/0!</v>
      </c>
      <c r="BB34" s="62" t="e">
        <f>IF(BB7&gt;0,Simulador!$I$60*Premissas!$C$17,0)</f>
        <v>#DIV/0!</v>
      </c>
      <c r="BC34" s="62" t="e">
        <f>IF(BC7&gt;0,Simulador!$I$60*Premissas!$C$17,0)</f>
        <v>#DIV/0!</v>
      </c>
      <c r="BD34" s="62" t="e">
        <f>IF(BD7&gt;0,Simulador!$I$60*Premissas!$C$17,0)</f>
        <v>#DIV/0!</v>
      </c>
      <c r="BE34" s="62" t="e">
        <f>IF(BE7&gt;0,Simulador!$I$60*Premissas!$C$17,0)</f>
        <v>#DIV/0!</v>
      </c>
      <c r="BF34" s="62" t="e">
        <f>IF(BF7&gt;0,Simulador!$I$60*Premissas!$C$17,0)</f>
        <v>#DIV/0!</v>
      </c>
      <c r="BG34" s="62" t="e">
        <f>IF(BG7&gt;0,Simulador!$I$60*Premissas!$C$17,0)</f>
        <v>#DIV/0!</v>
      </c>
      <c r="BH34" s="62" t="e">
        <f>IF(BH7&gt;0,Simulador!$I$60*Premissas!$C$17,0)</f>
        <v>#DIV/0!</v>
      </c>
      <c r="BI34" s="62" t="e">
        <f>IF(BI7&gt;0,Simulador!$I$60*Premissas!$C$17,0)</f>
        <v>#DIV/0!</v>
      </c>
      <c r="BJ34" s="62" t="e">
        <f>IF(BJ7&gt;0,Simulador!$I$60*Premissas!$C$17,0)</f>
        <v>#DIV/0!</v>
      </c>
      <c r="BK34" s="62" t="e">
        <f>IF(BK7&gt;0,Simulador!$I$60*Premissas!$C$17,0)</f>
        <v>#DIV/0!</v>
      </c>
      <c r="BL34" s="62" t="e">
        <f>IF(BL7&gt;0,Simulador!$I$60*Premissas!$C$17,0)</f>
        <v>#DIV/0!</v>
      </c>
      <c r="BM34" s="62" t="e">
        <f>IF(BM7&gt;0,Simulador!$I$60*Premissas!$C$17,0)</f>
        <v>#DIV/0!</v>
      </c>
      <c r="BN34" s="62" t="e">
        <f>IF(BN7&gt;0,Simulador!$I$60*Premissas!$C$17,0)</f>
        <v>#DIV/0!</v>
      </c>
      <c r="BO34" s="62" t="e">
        <f>IF(BO7&gt;0,Simulador!$I$60*Premissas!$C$17,0)</f>
        <v>#DIV/0!</v>
      </c>
      <c r="BP34" s="62" t="e">
        <f>IF(BP7&gt;0,Simulador!$I$60*Premissas!$C$17,0)</f>
        <v>#DIV/0!</v>
      </c>
      <c r="BQ34" s="62" t="e">
        <f>IF(BQ7&gt;0,Simulador!$I$60*Premissas!$C$17,0)</f>
        <v>#DIV/0!</v>
      </c>
      <c r="BR34" s="62" t="e">
        <f>IF(BR7&gt;0,Simulador!$I$60*Premissas!$C$17,0)</f>
        <v>#DIV/0!</v>
      </c>
      <c r="BS34" s="62" t="e">
        <f>IF(BS7&gt;0,Simulador!$I$60*Premissas!$C$17,0)</f>
        <v>#DIV/0!</v>
      </c>
      <c r="BT34" s="62" t="e">
        <f>IF(BT7&gt;0,Simulador!$I$60*Premissas!$C$17,0)</f>
        <v>#DIV/0!</v>
      </c>
      <c r="BU34" s="62" t="e">
        <f>IF(BU7&gt;0,Simulador!$I$60*Premissas!$C$17,0)</f>
        <v>#DIV/0!</v>
      </c>
      <c r="BV34" s="62" t="e">
        <f>IF(BV7&gt;0,Simulador!$I$60*Premissas!$C$17,0)</f>
        <v>#DIV/0!</v>
      </c>
      <c r="BW34" s="62" t="e">
        <f>IF(BW7&gt;0,Simulador!$I$60*Premissas!$C$17,0)</f>
        <v>#DIV/0!</v>
      </c>
      <c r="BX34" s="62" t="e">
        <f>IF(BX7&gt;0,Simulador!$I$60*Premissas!$C$17,0)</f>
        <v>#DIV/0!</v>
      </c>
      <c r="BY34" s="62" t="e">
        <f>IF(BY7&gt;0,Simulador!$I$60*Premissas!$C$17,0)</f>
        <v>#DIV/0!</v>
      </c>
      <c r="BZ34" s="62" t="e">
        <f>IF(BZ7&gt;0,Simulador!$I$60*Premissas!$C$17,0)</f>
        <v>#DIV/0!</v>
      </c>
      <c r="CA34" s="62" t="e">
        <f>IF(CA7&gt;0,Simulador!$I$60*Premissas!$C$17,0)</f>
        <v>#DIV/0!</v>
      </c>
      <c r="CB34" s="62" t="e">
        <f>IF(CB7&gt;0,Simulador!$I$60*Premissas!$C$17,0)</f>
        <v>#DIV/0!</v>
      </c>
      <c r="CC34" s="62" t="e">
        <f>IF(CC7&gt;0,Simulador!$I$60*Premissas!$C$17,0)</f>
        <v>#DIV/0!</v>
      </c>
      <c r="CD34" s="62" t="e">
        <f>IF(CD7&gt;0,Simulador!$I$60*Premissas!$C$17,0)</f>
        <v>#DIV/0!</v>
      </c>
      <c r="CE34" s="62" t="e">
        <f>IF(CE7&gt;0,Simulador!$I$60*Premissas!$C$17,0)</f>
        <v>#DIV/0!</v>
      </c>
      <c r="CF34" s="62" t="e">
        <f>IF(CF7&gt;0,Simulador!$I$60*Premissas!$C$17,0)</f>
        <v>#DIV/0!</v>
      </c>
      <c r="CG34" s="62" t="e">
        <f>IF(CG7&gt;0,Simulador!$I$60*Premissas!$C$17,0)</f>
        <v>#DIV/0!</v>
      </c>
      <c r="CH34" s="62" t="e">
        <f>IF(CH7&gt;0,Simulador!$I$60*Premissas!$C$17,0)</f>
        <v>#DIV/0!</v>
      </c>
      <c r="CI34" s="62" t="e">
        <f>IF(CI7&gt;0,Simulador!$I$60*Premissas!$C$17,0)</f>
        <v>#DIV/0!</v>
      </c>
      <c r="CJ34" s="62" t="e">
        <f>IF(CJ7&gt;0,Simulador!$I$60*Premissas!$C$17,0)</f>
        <v>#DIV/0!</v>
      </c>
      <c r="CK34" s="62" t="e">
        <f>IF(CK7&gt;0,Simulador!$I$60*Premissas!$C$17,0)</f>
        <v>#DIV/0!</v>
      </c>
      <c r="CL34" s="62" t="e">
        <f>IF(CL7&gt;0,Simulador!$I$60*Premissas!$C$17,0)</f>
        <v>#DIV/0!</v>
      </c>
      <c r="CM34" s="62" t="e">
        <f>IF(CM7&gt;0,Simulador!$I$60*Premissas!$C$17,0)</f>
        <v>#DIV/0!</v>
      </c>
      <c r="CN34" s="62" t="e">
        <f>IF(CN7&gt;0,Simulador!$I$60*Premissas!$C$17,0)</f>
        <v>#DIV/0!</v>
      </c>
      <c r="CO34" s="62" t="e">
        <f>IF(CO7&gt;0,Simulador!$I$60*Premissas!$C$17,0)</f>
        <v>#DIV/0!</v>
      </c>
      <c r="CP34" s="62" t="e">
        <f>IF(CP7&gt;0,Simulador!$I$60*Premissas!$C$17,0)</f>
        <v>#DIV/0!</v>
      </c>
      <c r="CQ34" s="62" t="e">
        <f>IF(CQ7&gt;0,Simulador!$I$60*Premissas!$C$17,0)</f>
        <v>#DIV/0!</v>
      </c>
      <c r="CR34" s="62" t="e">
        <f>IF(CR7&gt;0,Simulador!$I$60*Premissas!$C$17,0)</f>
        <v>#DIV/0!</v>
      </c>
      <c r="CS34" s="62" t="e">
        <f>IF(CS7&gt;0,Simulador!$I$60*Premissas!$C$17,0)</f>
        <v>#DIV/0!</v>
      </c>
      <c r="CT34" s="62" t="e">
        <f>IF(CT7&gt;0,Simulador!$I$60*Premissas!$C$17,0)</f>
        <v>#DIV/0!</v>
      </c>
      <c r="CU34" s="62" t="e">
        <f>IF(CU7&gt;0,Simulador!$I$60*Premissas!$C$17,0)</f>
        <v>#DIV/0!</v>
      </c>
      <c r="CV34" s="62" t="e">
        <f>IF(CV7&gt;0,Simulador!$I$60*Premissas!$C$17,0)</f>
        <v>#DIV/0!</v>
      </c>
      <c r="CW34" s="62" t="e">
        <f>IF(CW7&gt;0,Simulador!$I$60*Premissas!$C$17,0)</f>
        <v>#DIV/0!</v>
      </c>
      <c r="CX34" s="62" t="e">
        <f>IF(CX7&gt;0,Simulador!$I$60*Premissas!$C$17,0)</f>
        <v>#DIV/0!</v>
      </c>
      <c r="CY34" s="62" t="e">
        <f>IF(CY7&gt;0,Simulador!$I$60*Premissas!$C$17,0)</f>
        <v>#DIV/0!</v>
      </c>
      <c r="CZ34" s="62" t="e">
        <f>IF(CZ7&gt;0,Simulador!$I$60*Premissas!$C$17,0)</f>
        <v>#DIV/0!</v>
      </c>
      <c r="DA34" s="62" t="e">
        <f>IF(DA7&gt;0,Simulador!$I$60*Premissas!$C$17,0)</f>
        <v>#DIV/0!</v>
      </c>
      <c r="DB34" s="62" t="e">
        <f>IF(DB7&gt;0,Simulador!$I$60*Premissas!$C$17,0)</f>
        <v>#DIV/0!</v>
      </c>
      <c r="DC34" s="62" t="e">
        <f>IF(DC7&gt;0,Simulador!$I$60*Premissas!$C$17,0)</f>
        <v>#DIV/0!</v>
      </c>
      <c r="DD34" s="62" t="e">
        <f>IF(DD7&gt;0,Simulador!$I$60*Premissas!$C$17,0)</f>
        <v>#DIV/0!</v>
      </c>
      <c r="DE34" s="62" t="e">
        <f>IF(DE7&gt;0,Simulador!$I$60*Premissas!$C$17,0)</f>
        <v>#DIV/0!</v>
      </c>
      <c r="DF34" s="62" t="e">
        <f>IF(DF7&gt;0,Simulador!$I$60*Premissas!$C$17,0)</f>
        <v>#DIV/0!</v>
      </c>
      <c r="DG34" s="62" t="e">
        <f>IF(DG7&gt;0,Simulador!$I$60*Premissas!$C$17,0)</f>
        <v>#DIV/0!</v>
      </c>
      <c r="DH34" s="62" t="e">
        <f>IF(DH7&gt;0,Simulador!$I$60*Premissas!$C$17,0)</f>
        <v>#DIV/0!</v>
      </c>
      <c r="DI34" s="62" t="e">
        <f>IF(DI7&gt;0,Simulador!$I$60*Premissas!$C$17,0)</f>
        <v>#DIV/0!</v>
      </c>
      <c r="DJ34" s="62" t="e">
        <f>IF(DJ7&gt;0,Simulador!$I$60*Premissas!$C$17,0)</f>
        <v>#DIV/0!</v>
      </c>
      <c r="DK34" s="62" t="e">
        <f>IF(DK7&gt;0,Simulador!$I$60*Premissas!$C$17,0)</f>
        <v>#DIV/0!</v>
      </c>
      <c r="DL34" s="62" t="e">
        <f>IF(DL7&gt;0,Simulador!$I$60*Premissas!$C$17,0)</f>
        <v>#DIV/0!</v>
      </c>
      <c r="DM34" s="62" t="e">
        <f>IF(DM7&gt;0,Simulador!$I$60*Premissas!$C$17,0)</f>
        <v>#DIV/0!</v>
      </c>
      <c r="DN34" s="62" t="e">
        <f>IF(DN7&gt;0,Simulador!$I$60*Premissas!$C$17,0)</f>
        <v>#DIV/0!</v>
      </c>
      <c r="DO34" s="62" t="e">
        <f>IF(DO7&gt;0,Simulador!$I$60*Premissas!$C$17,0)</f>
        <v>#DIV/0!</v>
      </c>
      <c r="DP34" s="62" t="e">
        <f>IF(DP7&gt;0,Simulador!$I$60*Premissas!$C$17,0)</f>
        <v>#DIV/0!</v>
      </c>
      <c r="DQ34" s="62" t="e">
        <f>IF(DQ7&gt;0,Simulador!$I$60*Premissas!$C$17,0)</f>
        <v>#DIV/0!</v>
      </c>
      <c r="DR34" s="62" t="e">
        <f>IF(DR7&gt;0,Simulador!$I$60*Premissas!$C$17,0)</f>
        <v>#DIV/0!</v>
      </c>
      <c r="DS34" s="62" t="e">
        <f>IF(DS7&gt;0,Simulador!$I$60*Premissas!$C$17,0)</f>
        <v>#DIV/0!</v>
      </c>
      <c r="DT34" s="62" t="e">
        <f>IF(DT7&gt;0,Simulador!$I$60*Premissas!$C$17,0)</f>
        <v>#DIV/0!</v>
      </c>
      <c r="DU34" s="62" t="e">
        <f>IF(DU7&gt;0,Simulador!$I$60*Premissas!$C$17,0)</f>
        <v>#DIV/0!</v>
      </c>
      <c r="DV34" s="62" t="e">
        <f>IF(DV7&gt;0,Simulador!$I$60*Premissas!$C$17,0)</f>
        <v>#DIV/0!</v>
      </c>
      <c r="DW34" s="62" t="e">
        <f>IF(DW7&gt;0,Simulador!$I$60*Premissas!$C$17,0)</f>
        <v>#DIV/0!</v>
      </c>
      <c r="DX34" s="62" t="e">
        <f>IF(DX7&gt;0,Simulador!$I$60*Premissas!$C$17,0)</f>
        <v>#DIV/0!</v>
      </c>
      <c r="DY34" s="62" t="e">
        <f>IF(DY7&gt;0,Simulador!$I$60*Premissas!$C$17,0)</f>
        <v>#DIV/0!</v>
      </c>
      <c r="DZ34" s="62" t="e">
        <f>IF(DZ7&gt;0,Simulador!$I$60*Premissas!$C$17,0)</f>
        <v>#DIV/0!</v>
      </c>
      <c r="EA34" s="62" t="e">
        <f>IF(EA7&gt;0,Simulador!$I$60*Premissas!$C$17,0)</f>
        <v>#DIV/0!</v>
      </c>
      <c r="EB34" s="62" t="e">
        <f>IF(EB7&gt;0,Simulador!$I$60*Premissas!$C$17,0)</f>
        <v>#DIV/0!</v>
      </c>
      <c r="EC34" s="62" t="e">
        <f>IF(EC7&gt;0,Simulador!$I$60*Premissas!$C$17,0)</f>
        <v>#DIV/0!</v>
      </c>
      <c r="ED34" s="62" t="e">
        <f>IF(ED7&gt;0,Simulador!$I$60*Premissas!$C$17,0)</f>
        <v>#DIV/0!</v>
      </c>
    </row>
    <row r="35" spans="1:135" ht="12.5" x14ac:dyDescent="0.25">
      <c r="B35" s="46" t="s">
        <v>205</v>
      </c>
      <c r="D35" s="62" t="e">
        <f t="shared" ref="D35:H35" si="44">SUMIFS($O35:$BV35,$O$4:$BV$4,D$3)</f>
        <v>#DIV/0!</v>
      </c>
      <c r="E35" s="62" t="e">
        <f t="shared" si="44"/>
        <v>#DIV/0!</v>
      </c>
      <c r="F35" s="62" t="e">
        <f t="shared" si="44"/>
        <v>#DIV/0!</v>
      </c>
      <c r="G35" s="62" t="e">
        <f t="shared" si="44"/>
        <v>#DIV/0!</v>
      </c>
      <c r="H35" s="62" t="e">
        <f t="shared" si="44"/>
        <v>#DIV/0!</v>
      </c>
      <c r="I35" s="62" t="e">
        <f t="shared" ref="I35:M35" si="45">SUMIFS($O35:$ED35,$O$4:$ED$4,I$3)</f>
        <v>#DIV/0!</v>
      </c>
      <c r="J35" s="62" t="e">
        <f t="shared" si="45"/>
        <v>#DIV/0!</v>
      </c>
      <c r="K35" s="62" t="e">
        <f t="shared" si="45"/>
        <v>#DIV/0!</v>
      </c>
      <c r="L35" s="62" t="e">
        <f t="shared" si="45"/>
        <v>#DIV/0!</v>
      </c>
      <c r="M35" s="62" t="e">
        <f t="shared" si="45"/>
        <v>#DIV/0!</v>
      </c>
      <c r="O35" s="62" t="e">
        <f>Premissas!$C$9*MAX((O7-N7),0)</f>
        <v>#DIV/0!</v>
      </c>
      <c r="P35" s="62" t="e">
        <f>Premissas!$C$9*MAX((P7-O7),0)</f>
        <v>#DIV/0!</v>
      </c>
      <c r="Q35" s="62" t="e">
        <f>Premissas!$C$9*MAX((Q7-P7),0)</f>
        <v>#DIV/0!</v>
      </c>
      <c r="R35" s="62" t="e">
        <f>Premissas!$C$9*MAX((R7-Q7),0)</f>
        <v>#DIV/0!</v>
      </c>
      <c r="S35" s="62" t="e">
        <f>Premissas!$C$9*MAX((S7-R7),0)</f>
        <v>#DIV/0!</v>
      </c>
      <c r="T35" s="62" t="e">
        <f>Premissas!$C$9*MAX((T7-S7),0)</f>
        <v>#DIV/0!</v>
      </c>
      <c r="U35" s="62" t="e">
        <f>Premissas!$C$9*MAX((U7-T7),0)</f>
        <v>#DIV/0!</v>
      </c>
      <c r="V35" s="62" t="e">
        <f>Premissas!$C$9*MAX((V7-U7),0)</f>
        <v>#DIV/0!</v>
      </c>
      <c r="W35" s="62" t="e">
        <f>Premissas!$C$9*MAX((W7-V7),0)</f>
        <v>#DIV/0!</v>
      </c>
      <c r="X35" s="62" t="e">
        <f>Premissas!$C$9*MAX((X7-W7),0)</f>
        <v>#DIV/0!</v>
      </c>
      <c r="Y35" s="62" t="e">
        <f>Premissas!$C$9*MAX((Y7-X7),0)</f>
        <v>#DIV/0!</v>
      </c>
      <c r="Z35" s="62" t="e">
        <f>Premissas!$C$9*MAX((Z7-Y7),0)</f>
        <v>#DIV/0!</v>
      </c>
      <c r="AA35" s="62" t="e">
        <f>Premissas!$C$9*MAX((AA7-Z7),0)</f>
        <v>#DIV/0!</v>
      </c>
      <c r="AB35" s="62" t="e">
        <f>Premissas!$C$9*MAX((AB7-AA7),0)</f>
        <v>#DIV/0!</v>
      </c>
      <c r="AC35" s="62" t="e">
        <f>Premissas!$C$9*MAX((AC7-AB7),0)</f>
        <v>#DIV/0!</v>
      </c>
      <c r="AD35" s="62" t="e">
        <f>Premissas!$C$9*MAX((AD7-AC7),0)</f>
        <v>#DIV/0!</v>
      </c>
      <c r="AE35" s="62" t="e">
        <f>Premissas!$C$9*MAX((AE7-AD7),0)</f>
        <v>#DIV/0!</v>
      </c>
      <c r="AF35" s="62" t="e">
        <f>Premissas!$C$9*MAX((AF7-AE7),0)</f>
        <v>#DIV/0!</v>
      </c>
      <c r="AG35" s="62" t="e">
        <f>Premissas!$C$9*MAX((AG7-AF7),0)</f>
        <v>#DIV/0!</v>
      </c>
      <c r="AH35" s="62" t="e">
        <f>Premissas!$C$9*MAX((AH7-AG7),0)</f>
        <v>#DIV/0!</v>
      </c>
      <c r="AI35" s="62" t="e">
        <f>Premissas!$C$9*MAX((AI7-AH7),0)</f>
        <v>#DIV/0!</v>
      </c>
      <c r="AJ35" s="62" t="e">
        <f>Premissas!$C$9*MAX((AJ7-AI7),0)</f>
        <v>#DIV/0!</v>
      </c>
      <c r="AK35" s="62" t="e">
        <f>Premissas!$C$9*MAX((AK7-AJ7),0)</f>
        <v>#DIV/0!</v>
      </c>
      <c r="AL35" s="62" t="e">
        <f>Premissas!$C$9*MAX((AL7-AK7),0)</f>
        <v>#DIV/0!</v>
      </c>
      <c r="AM35" s="62" t="e">
        <f>Premissas!$C$9*MAX((AM7-AL7),0)</f>
        <v>#DIV/0!</v>
      </c>
      <c r="AN35" s="62" t="e">
        <f>Premissas!$C$9*MAX((AN7-AM7),0)</f>
        <v>#DIV/0!</v>
      </c>
      <c r="AO35" s="62" t="e">
        <f>Premissas!$C$9*MAX((AO7-AN7),0)</f>
        <v>#DIV/0!</v>
      </c>
      <c r="AP35" s="62" t="e">
        <f>Premissas!$C$9*MAX((AP7-AO7),0)</f>
        <v>#DIV/0!</v>
      </c>
      <c r="AQ35" s="62" t="e">
        <f>Premissas!$C$9*MAX((AQ7-AP7),0)</f>
        <v>#DIV/0!</v>
      </c>
      <c r="AR35" s="62" t="e">
        <f>Premissas!$C$9*MAX((AR7-AQ7),0)</f>
        <v>#DIV/0!</v>
      </c>
      <c r="AS35" s="62" t="e">
        <f>Premissas!$C$9*MAX((AS7-AR7),0)</f>
        <v>#DIV/0!</v>
      </c>
      <c r="AT35" s="62" t="e">
        <f>Premissas!$C$9*MAX((AT7-AS7),0)</f>
        <v>#DIV/0!</v>
      </c>
      <c r="AU35" s="62" t="e">
        <f>Premissas!$C$9*MAX((AU7-AT7),0)</f>
        <v>#DIV/0!</v>
      </c>
      <c r="AV35" s="62" t="e">
        <f>Premissas!$C$9*MAX((AV7-AU7),0)</f>
        <v>#DIV/0!</v>
      </c>
      <c r="AW35" s="62" t="e">
        <f>Premissas!$C$9*MAX((AW7-AV7),0)</f>
        <v>#DIV/0!</v>
      </c>
      <c r="AX35" s="62" t="e">
        <f>Premissas!$C$9*MAX((AX7-AW7),0)</f>
        <v>#DIV/0!</v>
      </c>
      <c r="AY35" s="62" t="e">
        <f>Premissas!$C$9*MAX((AY7-AX7),0)</f>
        <v>#DIV/0!</v>
      </c>
      <c r="AZ35" s="62" t="e">
        <f>Premissas!$C$9*MAX((AZ7-AY7),0)</f>
        <v>#DIV/0!</v>
      </c>
      <c r="BA35" s="62" t="e">
        <f>Premissas!$C$9*MAX((BA7-AZ7),0)</f>
        <v>#DIV/0!</v>
      </c>
      <c r="BB35" s="62" t="e">
        <f>Premissas!$C$9*MAX((BB7-BA7),0)</f>
        <v>#DIV/0!</v>
      </c>
      <c r="BC35" s="62" t="e">
        <f>Premissas!$C$9*MAX((BC7-BB7),0)</f>
        <v>#DIV/0!</v>
      </c>
      <c r="BD35" s="62" t="e">
        <f>Premissas!$C$9*MAX((BD7-BC7),0)</f>
        <v>#DIV/0!</v>
      </c>
      <c r="BE35" s="62" t="e">
        <f>Premissas!$C$9*MAX((BE7-BD7),0)</f>
        <v>#DIV/0!</v>
      </c>
      <c r="BF35" s="62" t="e">
        <f>Premissas!$C$9*MAX((BF7-BE7),0)</f>
        <v>#DIV/0!</v>
      </c>
      <c r="BG35" s="62" t="e">
        <f>Premissas!$C$9*MAX((BG7-BF7),0)</f>
        <v>#DIV/0!</v>
      </c>
      <c r="BH35" s="62" t="e">
        <f>Premissas!$C$9*MAX((BH7-BG7),0)</f>
        <v>#DIV/0!</v>
      </c>
      <c r="BI35" s="62" t="e">
        <f>Premissas!$C$9*MAX((BI7-BH7),0)</f>
        <v>#DIV/0!</v>
      </c>
      <c r="BJ35" s="62" t="e">
        <f>Premissas!$C$9*MAX((BJ7-BI7),0)</f>
        <v>#DIV/0!</v>
      </c>
      <c r="BK35" s="62" t="e">
        <f>Premissas!$C$9*MAX((BK7-BJ7),0)</f>
        <v>#DIV/0!</v>
      </c>
      <c r="BL35" s="62" t="e">
        <f>Premissas!$C$9*MAX((BL7-BK7),0)</f>
        <v>#DIV/0!</v>
      </c>
      <c r="BM35" s="62" t="e">
        <f>Premissas!$C$9*MAX((BM7-BL7),0)</f>
        <v>#DIV/0!</v>
      </c>
      <c r="BN35" s="62" t="e">
        <f>Premissas!$C$9*MAX((BN7-BM7),0)</f>
        <v>#DIV/0!</v>
      </c>
      <c r="BO35" s="62" t="e">
        <f>Premissas!$C$9*MAX((BO7-BN7),0)</f>
        <v>#DIV/0!</v>
      </c>
      <c r="BP35" s="62" t="e">
        <f>Premissas!$C$9*MAX((BP7-BO7),0)</f>
        <v>#DIV/0!</v>
      </c>
      <c r="BQ35" s="62" t="e">
        <f>Premissas!$C$9*MAX((BQ7-BP7),0)</f>
        <v>#DIV/0!</v>
      </c>
      <c r="BR35" s="62" t="e">
        <f>Premissas!$C$9*MAX((BR7-BQ7),0)</f>
        <v>#DIV/0!</v>
      </c>
      <c r="BS35" s="62" t="e">
        <f>Premissas!$C$9*MAX((BS7-BR7),0)</f>
        <v>#DIV/0!</v>
      </c>
      <c r="BT35" s="62" t="e">
        <f>Premissas!$C$9*MAX((BT7-BS7),0)</f>
        <v>#DIV/0!</v>
      </c>
      <c r="BU35" s="62" t="e">
        <f>Premissas!$C$9*MAX((BU7-BT7),0)</f>
        <v>#DIV/0!</v>
      </c>
      <c r="BV35" s="62" t="e">
        <f>Premissas!$C$9*MAX((BV7-BU7),0)</f>
        <v>#DIV/0!</v>
      </c>
      <c r="BW35" s="62" t="e">
        <f>Premissas!$C$9*MAX((BW7-BV7),0)</f>
        <v>#DIV/0!</v>
      </c>
      <c r="BX35" s="62" t="e">
        <f>Premissas!$C$9*MAX((BX7-BW7),0)</f>
        <v>#DIV/0!</v>
      </c>
      <c r="BY35" s="62" t="e">
        <f>Premissas!$C$9*MAX((BY7-BX7),0)</f>
        <v>#DIV/0!</v>
      </c>
      <c r="BZ35" s="62" t="e">
        <f>Premissas!$C$9*MAX((BZ7-BY7),0)</f>
        <v>#DIV/0!</v>
      </c>
      <c r="CA35" s="62" t="e">
        <f>Premissas!$C$9*MAX((CA7-BZ7),0)</f>
        <v>#DIV/0!</v>
      </c>
      <c r="CB35" s="62" t="e">
        <f>Premissas!$C$9*MAX((CB7-CA7),0)</f>
        <v>#DIV/0!</v>
      </c>
      <c r="CC35" s="62" t="e">
        <f>Premissas!$C$9*MAX((CC7-CB7),0)</f>
        <v>#DIV/0!</v>
      </c>
      <c r="CD35" s="62" t="e">
        <f>Premissas!$C$9*MAX((CD7-CC7),0)</f>
        <v>#DIV/0!</v>
      </c>
      <c r="CE35" s="62" t="e">
        <f>Premissas!$C$9*MAX((CE7-CD7),0)</f>
        <v>#DIV/0!</v>
      </c>
      <c r="CF35" s="62" t="e">
        <f>Premissas!$C$9*MAX((CF7-CE7),0)</f>
        <v>#DIV/0!</v>
      </c>
      <c r="CG35" s="62" t="e">
        <f>Premissas!$C$9*MAX((CG7-CF7),0)</f>
        <v>#DIV/0!</v>
      </c>
      <c r="CH35" s="62" t="e">
        <f>Premissas!$C$9*MAX((CH7-CG7),0)</f>
        <v>#DIV/0!</v>
      </c>
      <c r="CI35" s="62" t="e">
        <f>Premissas!$C$9*MAX((CI7-CH7),0)</f>
        <v>#DIV/0!</v>
      </c>
      <c r="CJ35" s="62" t="e">
        <f>Premissas!$C$9*MAX((CJ7-CI7),0)</f>
        <v>#DIV/0!</v>
      </c>
      <c r="CK35" s="62" t="e">
        <f>Premissas!$C$9*MAX((CK7-CJ7),0)</f>
        <v>#DIV/0!</v>
      </c>
      <c r="CL35" s="62" t="e">
        <f>Premissas!$C$9*MAX((CL7-CK7),0)</f>
        <v>#DIV/0!</v>
      </c>
      <c r="CM35" s="62" t="e">
        <f>Premissas!$C$9*MAX((CM7-CL7),0)</f>
        <v>#DIV/0!</v>
      </c>
      <c r="CN35" s="62" t="e">
        <f>Premissas!$C$9*MAX((CN7-CM7),0)</f>
        <v>#DIV/0!</v>
      </c>
      <c r="CO35" s="62" t="e">
        <f>Premissas!$C$9*MAX((CO7-CN7),0)</f>
        <v>#DIV/0!</v>
      </c>
      <c r="CP35" s="62" t="e">
        <f>Premissas!$C$9*MAX((CP7-CO7),0)</f>
        <v>#DIV/0!</v>
      </c>
      <c r="CQ35" s="62" t="e">
        <f>Premissas!$C$9*MAX((CQ7-CP7),0)</f>
        <v>#DIV/0!</v>
      </c>
      <c r="CR35" s="62" t="e">
        <f>Premissas!$C$9*MAX((CR7-CQ7),0)</f>
        <v>#DIV/0!</v>
      </c>
      <c r="CS35" s="62" t="e">
        <f>Premissas!$C$9*MAX((CS7-CR7),0)</f>
        <v>#DIV/0!</v>
      </c>
      <c r="CT35" s="62" t="e">
        <f>Premissas!$C$9*MAX((CT7-CS7),0)</f>
        <v>#DIV/0!</v>
      </c>
      <c r="CU35" s="62" t="e">
        <f>Premissas!$C$9*MAX((CU7-CT7),0)</f>
        <v>#DIV/0!</v>
      </c>
      <c r="CV35" s="62" t="e">
        <f>Premissas!$C$9*MAX((CV7-CU7),0)</f>
        <v>#DIV/0!</v>
      </c>
      <c r="CW35" s="62" t="e">
        <f>Premissas!$C$9*MAX((CW7-CV7),0)</f>
        <v>#DIV/0!</v>
      </c>
      <c r="CX35" s="62" t="e">
        <f>Premissas!$C$9*MAX((CX7-CW7),0)</f>
        <v>#DIV/0!</v>
      </c>
      <c r="CY35" s="62" t="e">
        <f>Premissas!$C$9*MAX((CY7-CX7),0)</f>
        <v>#DIV/0!</v>
      </c>
      <c r="CZ35" s="62" t="e">
        <f>Premissas!$C$9*MAX((CZ7-CY7),0)</f>
        <v>#DIV/0!</v>
      </c>
      <c r="DA35" s="62" t="e">
        <f>Premissas!$C$9*MAX((DA7-CZ7),0)</f>
        <v>#DIV/0!</v>
      </c>
      <c r="DB35" s="62" t="e">
        <f>Premissas!$C$9*MAX((DB7-DA7),0)</f>
        <v>#DIV/0!</v>
      </c>
      <c r="DC35" s="62" t="e">
        <f>Premissas!$C$9*MAX((DC7-DB7),0)</f>
        <v>#DIV/0!</v>
      </c>
      <c r="DD35" s="62" t="e">
        <f>Premissas!$C$9*MAX((DD7-DC7),0)</f>
        <v>#DIV/0!</v>
      </c>
      <c r="DE35" s="62" t="e">
        <f>Premissas!$C$9*MAX((DE7-DD7),0)</f>
        <v>#DIV/0!</v>
      </c>
      <c r="DF35" s="62" t="e">
        <f>Premissas!$C$9*MAX((DF7-DE7),0)</f>
        <v>#DIV/0!</v>
      </c>
      <c r="DG35" s="62" t="e">
        <f>Premissas!$C$9*MAX((DG7-DF7),0)</f>
        <v>#DIV/0!</v>
      </c>
      <c r="DH35" s="62" t="e">
        <f>Premissas!$C$9*MAX((DH7-DG7),0)</f>
        <v>#DIV/0!</v>
      </c>
      <c r="DI35" s="62" t="e">
        <f>Premissas!$C$9*MAX((DI7-DH7),0)</f>
        <v>#DIV/0!</v>
      </c>
      <c r="DJ35" s="62" t="e">
        <f>Premissas!$C$9*MAX((DJ7-DI7),0)</f>
        <v>#DIV/0!</v>
      </c>
      <c r="DK35" s="62" t="e">
        <f>Premissas!$C$9*MAX((DK7-DJ7),0)</f>
        <v>#DIV/0!</v>
      </c>
      <c r="DL35" s="62" t="e">
        <f>Premissas!$C$9*MAX((DL7-DK7),0)</f>
        <v>#DIV/0!</v>
      </c>
      <c r="DM35" s="62" t="e">
        <f>Premissas!$C$9*MAX((DM7-DL7),0)</f>
        <v>#DIV/0!</v>
      </c>
      <c r="DN35" s="62" t="e">
        <f>Premissas!$C$9*MAX((DN7-DM7),0)</f>
        <v>#DIV/0!</v>
      </c>
      <c r="DO35" s="62" t="e">
        <f>Premissas!$C$9*MAX((DO7-DN7),0)</f>
        <v>#DIV/0!</v>
      </c>
      <c r="DP35" s="62" t="e">
        <f>Premissas!$C$9*MAX((DP7-DO7),0)</f>
        <v>#DIV/0!</v>
      </c>
      <c r="DQ35" s="62" t="e">
        <f>Premissas!$C$9*MAX((DQ7-DP7),0)</f>
        <v>#DIV/0!</v>
      </c>
      <c r="DR35" s="62" t="e">
        <f>Premissas!$C$9*MAX((DR7-DQ7),0)</f>
        <v>#DIV/0!</v>
      </c>
      <c r="DS35" s="62" t="e">
        <f>Premissas!$C$9*MAX((DS7-DR7),0)</f>
        <v>#DIV/0!</v>
      </c>
      <c r="DT35" s="62" t="e">
        <f>Premissas!$C$9*MAX((DT7-DS7),0)</f>
        <v>#DIV/0!</v>
      </c>
      <c r="DU35" s="62" t="e">
        <f>Premissas!$C$9*MAX((DU7-DT7),0)</f>
        <v>#DIV/0!</v>
      </c>
      <c r="DV35" s="62" t="e">
        <f>Premissas!$C$9*MAX((DV7-DU7),0)</f>
        <v>#DIV/0!</v>
      </c>
      <c r="DW35" s="62" t="e">
        <f>Premissas!$C$9*MAX((DW7-DV7),0)</f>
        <v>#DIV/0!</v>
      </c>
      <c r="DX35" s="62" t="e">
        <f>Premissas!$C$9*MAX((DX7-DW7),0)</f>
        <v>#DIV/0!</v>
      </c>
      <c r="DY35" s="62" t="e">
        <f>Premissas!$C$9*MAX((DY7-DX7),0)</f>
        <v>#DIV/0!</v>
      </c>
      <c r="DZ35" s="62" t="e">
        <f>Premissas!$C$9*MAX((DZ7-DY7),0)</f>
        <v>#DIV/0!</v>
      </c>
      <c r="EA35" s="62" t="e">
        <f>Premissas!$C$9*MAX((EA7-DZ7),0)</f>
        <v>#DIV/0!</v>
      </c>
      <c r="EB35" s="62" t="e">
        <f>Premissas!$C$9*MAX((EB7-EA7),0)</f>
        <v>#DIV/0!</v>
      </c>
      <c r="EC35" s="62" t="e">
        <f>Premissas!$C$9*MAX((EC7-EB7),0)</f>
        <v>#DIV/0!</v>
      </c>
      <c r="ED35" s="62" t="e">
        <f>Premissas!$C$9*MAX((ED7-EC7),0)</f>
        <v>#DIV/0!</v>
      </c>
    </row>
    <row r="36" spans="1:135" ht="12.5" x14ac:dyDescent="0.25">
      <c r="B36" s="46" t="s">
        <v>59</v>
      </c>
      <c r="D36" s="62" t="e">
        <f t="shared" ref="D36:H36" si="46">SUMIFS($O36:$BV36,$O$4:$BV$4,D$3)</f>
        <v>#DIV/0!</v>
      </c>
      <c r="E36" s="62" t="e">
        <f t="shared" si="46"/>
        <v>#DIV/0!</v>
      </c>
      <c r="F36" s="62" t="e">
        <f t="shared" si="46"/>
        <v>#DIV/0!</v>
      </c>
      <c r="G36" s="62" t="e">
        <f t="shared" si="46"/>
        <v>#DIV/0!</v>
      </c>
      <c r="H36" s="62" t="e">
        <f t="shared" si="46"/>
        <v>#DIV/0!</v>
      </c>
      <c r="I36" s="62" t="e">
        <f t="shared" ref="I36:M36" si="47">SUMIFS($O36:$ED36,$O$4:$ED$4,I$3)</f>
        <v>#DIV/0!</v>
      </c>
      <c r="J36" s="62" t="e">
        <f t="shared" si="47"/>
        <v>#DIV/0!</v>
      </c>
      <c r="K36" s="62" t="e">
        <f t="shared" si="47"/>
        <v>#DIV/0!</v>
      </c>
      <c r="L36" s="62" t="e">
        <f t="shared" si="47"/>
        <v>#DIV/0!</v>
      </c>
      <c r="M36" s="62" t="e">
        <f t="shared" si="47"/>
        <v>#DIV/0!</v>
      </c>
      <c r="O36" s="62" t="e">
        <f>IF(O7=0,0,-Simulador!$I$64*SUM(O19:O21,O23))</f>
        <v>#DIV/0!</v>
      </c>
      <c r="P36" s="62" t="e">
        <f>IF(P7=0,0,-Simulador!$I$64*SUM(P19:P21,P23))</f>
        <v>#DIV/0!</v>
      </c>
      <c r="Q36" s="62" t="e">
        <f>IF(Q7=0,0,-Simulador!$I$64*SUM(Q19:Q21,Q23))</f>
        <v>#DIV/0!</v>
      </c>
      <c r="R36" s="62" t="e">
        <f>IF(R7=0,0,-Simulador!$I$64*SUM(R19:R21,R23))</f>
        <v>#DIV/0!</v>
      </c>
      <c r="S36" s="62" t="e">
        <f>IF(S7=0,0,-Simulador!$I$64*SUM(S19:S21,S23))</f>
        <v>#DIV/0!</v>
      </c>
      <c r="T36" s="62" t="e">
        <f>IF(T7=0,0,-Simulador!$I$64*SUM(T19:T21,T23))</f>
        <v>#DIV/0!</v>
      </c>
      <c r="U36" s="62" t="e">
        <f>IF(U7=0,0,-Simulador!$I$64*SUM(U19:U21,U23))</f>
        <v>#DIV/0!</v>
      </c>
      <c r="V36" s="62" t="e">
        <f>IF(V7=0,0,-Simulador!$I$64*SUM(V19:V21,V23))</f>
        <v>#DIV/0!</v>
      </c>
      <c r="W36" s="62" t="e">
        <f>IF(W7=0,0,-Simulador!$I$64*SUM(W19:W21,W23))</f>
        <v>#DIV/0!</v>
      </c>
      <c r="X36" s="62" t="e">
        <f>IF(X7=0,0,-Simulador!$I$64*SUM(X19:X21,X23))</f>
        <v>#DIV/0!</v>
      </c>
      <c r="Y36" s="62" t="e">
        <f>IF(Y7=0,0,-Simulador!$I$64*SUM(Y19:Y21,Y23))</f>
        <v>#DIV/0!</v>
      </c>
      <c r="Z36" s="62" t="e">
        <f>IF(Z7=0,0,-Simulador!$I$64*SUM(Z19:Z21,Z23))</f>
        <v>#DIV/0!</v>
      </c>
      <c r="AA36" s="62" t="e">
        <f>IF(AA7=0,0,-Simulador!$I$64*SUM(AA19:AA21,AA23))</f>
        <v>#DIV/0!</v>
      </c>
      <c r="AB36" s="62" t="e">
        <f>IF(AB7=0,0,-Simulador!$I$64*SUM(AB19:AB21,AB23))</f>
        <v>#DIV/0!</v>
      </c>
      <c r="AC36" s="62" t="e">
        <f>IF(AC7=0,0,-Simulador!$I$64*SUM(AC19:AC21,AC23))</f>
        <v>#DIV/0!</v>
      </c>
      <c r="AD36" s="62" t="e">
        <f>IF(AD7=0,0,-Simulador!$I$64*SUM(AD19:AD21,AD23))</f>
        <v>#DIV/0!</v>
      </c>
      <c r="AE36" s="62" t="e">
        <f>IF(AE7=0,0,-Simulador!$I$64*SUM(AE19:AE21,AE23))</f>
        <v>#DIV/0!</v>
      </c>
      <c r="AF36" s="62" t="e">
        <f>IF(AF7=0,0,-Simulador!$I$64*SUM(AF19:AF21,AF23))</f>
        <v>#DIV/0!</v>
      </c>
      <c r="AG36" s="62" t="e">
        <f>IF(AG7=0,0,-Simulador!$I$64*SUM(AG19:AG21,AG23))</f>
        <v>#DIV/0!</v>
      </c>
      <c r="AH36" s="62" t="e">
        <f>IF(AH7=0,0,-Simulador!$I$64*SUM(AH19:AH21,AH23))</f>
        <v>#DIV/0!</v>
      </c>
      <c r="AI36" s="62" t="e">
        <f>IF(AI7=0,0,-Simulador!$I$64*SUM(AI19:AI21,AI23))</f>
        <v>#DIV/0!</v>
      </c>
      <c r="AJ36" s="62" t="e">
        <f>IF(AJ7=0,0,-Simulador!$I$64*SUM(AJ19:AJ21,AJ23))</f>
        <v>#DIV/0!</v>
      </c>
      <c r="AK36" s="62" t="e">
        <f>IF(AK7=0,0,-Simulador!$I$64*SUM(AK19:AK21,AK23))</f>
        <v>#DIV/0!</v>
      </c>
      <c r="AL36" s="62" t="e">
        <f>IF(AL7=0,0,-Simulador!$I$64*SUM(AL19:AL21,AL23))</f>
        <v>#DIV/0!</v>
      </c>
      <c r="AM36" s="62" t="e">
        <f>IF(AM7=0,0,-Simulador!$I$64*SUM(AM19:AM21,AM23))</f>
        <v>#DIV/0!</v>
      </c>
      <c r="AN36" s="62" t="e">
        <f>IF(AN7=0,0,-Simulador!$I$64*SUM(AN19:AN21,AN23))</f>
        <v>#DIV/0!</v>
      </c>
      <c r="AO36" s="62" t="e">
        <f>IF(AO7=0,0,-Simulador!$I$64*SUM(AO19:AO21,AO23))</f>
        <v>#DIV/0!</v>
      </c>
      <c r="AP36" s="62" t="e">
        <f>IF(AP7=0,0,-Simulador!$I$64*SUM(AP19:AP21,AP23))</f>
        <v>#DIV/0!</v>
      </c>
      <c r="AQ36" s="62" t="e">
        <f>IF(AQ7=0,0,-Simulador!$I$64*SUM(AQ19:AQ21,AQ23))</f>
        <v>#DIV/0!</v>
      </c>
      <c r="AR36" s="62" t="e">
        <f>IF(AR7=0,0,-Simulador!$I$64*SUM(AR19:AR21,AR23))</f>
        <v>#DIV/0!</v>
      </c>
      <c r="AS36" s="62" t="e">
        <f>IF(AS7=0,0,-Simulador!$I$64*SUM(AS19:AS21,AS23))</f>
        <v>#DIV/0!</v>
      </c>
      <c r="AT36" s="62" t="e">
        <f>IF(AT7=0,0,-Simulador!$I$64*SUM(AT19:AT21,AT23))</f>
        <v>#DIV/0!</v>
      </c>
      <c r="AU36" s="62" t="e">
        <f>IF(AU7=0,0,-Simulador!$I$64*SUM(AU19:AU21,AU23))</f>
        <v>#DIV/0!</v>
      </c>
      <c r="AV36" s="62" t="e">
        <f>IF(AV7=0,0,-Simulador!$I$64*SUM(AV19:AV21,AV23))</f>
        <v>#DIV/0!</v>
      </c>
      <c r="AW36" s="62" t="e">
        <f>IF(AW7=0,0,-Simulador!$I$64*SUM(AW19:AW21,AW23))</f>
        <v>#DIV/0!</v>
      </c>
      <c r="AX36" s="62" t="e">
        <f>IF(AX7=0,0,-Simulador!$I$64*SUM(AX19:AX21,AX23))</f>
        <v>#DIV/0!</v>
      </c>
      <c r="AY36" s="62" t="e">
        <f>IF(AY7=0,0,-Simulador!$I$64*SUM(AY19:AY21,AY23))</f>
        <v>#DIV/0!</v>
      </c>
      <c r="AZ36" s="62" t="e">
        <f>IF(AZ7=0,0,-Simulador!$I$64*SUM(AZ19:AZ21,AZ23))</f>
        <v>#DIV/0!</v>
      </c>
      <c r="BA36" s="62" t="e">
        <f>IF(BA7=0,0,-Simulador!$I$64*SUM(BA19:BA21,BA23))</f>
        <v>#DIV/0!</v>
      </c>
      <c r="BB36" s="62" t="e">
        <f>IF(BB7=0,0,-Simulador!$I$64*SUM(BB19:BB21,BB23))</f>
        <v>#DIV/0!</v>
      </c>
      <c r="BC36" s="62" t="e">
        <f>IF(BC7=0,0,-Simulador!$I$64*SUM(BC19:BC21,BC23))</f>
        <v>#DIV/0!</v>
      </c>
      <c r="BD36" s="62" t="e">
        <f>IF(BD7=0,0,-Simulador!$I$64*SUM(BD19:BD21,BD23))</f>
        <v>#DIV/0!</v>
      </c>
      <c r="BE36" s="62" t="e">
        <f>IF(BE7=0,0,-Simulador!$I$64*SUM(BE19:BE21,BE23))</f>
        <v>#DIV/0!</v>
      </c>
      <c r="BF36" s="62" t="e">
        <f>IF(BF7=0,0,-Simulador!$I$64*SUM(BF19:BF21,BF23))</f>
        <v>#DIV/0!</v>
      </c>
      <c r="BG36" s="62" t="e">
        <f>IF(BG7=0,0,-Simulador!$I$64*SUM(BG19:BG21,BG23))</f>
        <v>#DIV/0!</v>
      </c>
      <c r="BH36" s="62" t="e">
        <f>IF(BH7=0,0,-Simulador!$I$64*SUM(BH19:BH21,BH23))</f>
        <v>#DIV/0!</v>
      </c>
      <c r="BI36" s="62" t="e">
        <f>IF(BI7=0,0,-Simulador!$I$64*SUM(BI19:BI21,BI23))</f>
        <v>#DIV/0!</v>
      </c>
      <c r="BJ36" s="62" t="e">
        <f>IF(BJ7=0,0,-Simulador!$I$64*SUM(BJ19:BJ21,BJ23))</f>
        <v>#DIV/0!</v>
      </c>
      <c r="BK36" s="62" t="e">
        <f>IF(BK7=0,0,-Simulador!$I$64*SUM(BK19:BK21,BK23))</f>
        <v>#DIV/0!</v>
      </c>
      <c r="BL36" s="62" t="e">
        <f>IF(BL7=0,0,-Simulador!$I$64*SUM(BL19:BL21,BL23))</f>
        <v>#DIV/0!</v>
      </c>
      <c r="BM36" s="62" t="e">
        <f>IF(BM7=0,0,-Simulador!$I$64*SUM(BM19:BM21,BM23))</f>
        <v>#DIV/0!</v>
      </c>
      <c r="BN36" s="62" t="e">
        <f>IF(BN7=0,0,-Simulador!$I$64*SUM(BN19:BN21,BN23))</f>
        <v>#DIV/0!</v>
      </c>
      <c r="BO36" s="62" t="e">
        <f>IF(BO7=0,0,-Simulador!$I$64*SUM(BO19:BO21,BO23))</f>
        <v>#DIV/0!</v>
      </c>
      <c r="BP36" s="62" t="e">
        <f>IF(BP7=0,0,-Simulador!$I$64*SUM(BP19:BP21,BP23))</f>
        <v>#DIV/0!</v>
      </c>
      <c r="BQ36" s="62" t="e">
        <f>IF(BQ7=0,0,-Simulador!$I$64*SUM(BQ19:BQ21,BQ23))</f>
        <v>#DIV/0!</v>
      </c>
      <c r="BR36" s="62" t="e">
        <f>IF(BR7=0,0,-Simulador!$I$64*SUM(BR19:BR21,BR23))</f>
        <v>#DIV/0!</v>
      </c>
      <c r="BS36" s="62" t="e">
        <f>IF(BS7=0,0,-Simulador!$I$64*SUM(BS19:BS21,BS23))</f>
        <v>#DIV/0!</v>
      </c>
      <c r="BT36" s="62" t="e">
        <f>IF(BT7=0,0,-Simulador!$I$64*SUM(BT19:BT21,BT23))</f>
        <v>#DIV/0!</v>
      </c>
      <c r="BU36" s="62" t="e">
        <f>IF(BU7=0,0,-Simulador!$I$64*SUM(BU19:BU21,BU23))</f>
        <v>#DIV/0!</v>
      </c>
      <c r="BV36" s="62" t="e">
        <f>IF(BV7=0,0,-Simulador!$I$64*SUM(BV19:BV21,BV23))</f>
        <v>#DIV/0!</v>
      </c>
      <c r="BW36" s="62" t="e">
        <f>IF(BW7=0,0,-Simulador!$I$64*SUM(BW19:BW21,BW23))</f>
        <v>#DIV/0!</v>
      </c>
      <c r="BX36" s="62" t="e">
        <f>IF(BX7=0,0,-Simulador!$I$64*SUM(BX19:BX21,BX23))</f>
        <v>#DIV/0!</v>
      </c>
      <c r="BY36" s="62" t="e">
        <f>IF(BY7=0,0,-Simulador!$I$64*SUM(BY19:BY21,BY23))</f>
        <v>#DIV/0!</v>
      </c>
      <c r="BZ36" s="62" t="e">
        <f>IF(BZ7=0,0,-Simulador!$I$64*SUM(BZ19:BZ21,BZ23))</f>
        <v>#DIV/0!</v>
      </c>
      <c r="CA36" s="62" t="e">
        <f>IF(CA7=0,0,-Simulador!$I$64*SUM(CA19:CA21,CA23))</f>
        <v>#DIV/0!</v>
      </c>
      <c r="CB36" s="62" t="e">
        <f>IF(CB7=0,0,-Simulador!$I$64*SUM(CB19:CB21,CB23))</f>
        <v>#DIV/0!</v>
      </c>
      <c r="CC36" s="62" t="e">
        <f>IF(CC7=0,0,-Simulador!$I$64*SUM(CC19:CC21,CC23))</f>
        <v>#DIV/0!</v>
      </c>
      <c r="CD36" s="62" t="e">
        <f>IF(CD7=0,0,-Simulador!$I$64*SUM(CD19:CD21,CD23))</f>
        <v>#DIV/0!</v>
      </c>
      <c r="CE36" s="62" t="e">
        <f>IF(CE7=0,0,-Simulador!$I$64*SUM(CE19:CE21,CE23))</f>
        <v>#DIV/0!</v>
      </c>
      <c r="CF36" s="62" t="e">
        <f>IF(CF7=0,0,-Simulador!$I$64*SUM(CF19:CF21,CF23))</f>
        <v>#DIV/0!</v>
      </c>
      <c r="CG36" s="62" t="e">
        <f>IF(CG7=0,0,-Simulador!$I$64*SUM(CG19:CG21,CG23))</f>
        <v>#DIV/0!</v>
      </c>
      <c r="CH36" s="62" t="e">
        <f>IF(CH7=0,0,-Simulador!$I$64*SUM(CH19:CH21,CH23))</f>
        <v>#DIV/0!</v>
      </c>
      <c r="CI36" s="62" t="e">
        <f>IF(CI7=0,0,-Simulador!$I$64*SUM(CI19:CI21,CI23))</f>
        <v>#DIV/0!</v>
      </c>
      <c r="CJ36" s="62" t="e">
        <f>IF(CJ7=0,0,-Simulador!$I$64*SUM(CJ19:CJ21,CJ23))</f>
        <v>#DIV/0!</v>
      </c>
      <c r="CK36" s="62" t="e">
        <f>IF(CK7=0,0,-Simulador!$I$64*SUM(CK19:CK21,CK23))</f>
        <v>#DIV/0!</v>
      </c>
      <c r="CL36" s="62" t="e">
        <f>IF(CL7=0,0,-Simulador!$I$64*SUM(CL19:CL21,CL23))</f>
        <v>#DIV/0!</v>
      </c>
      <c r="CM36" s="62" t="e">
        <f>IF(CM7=0,0,-Simulador!$I$64*SUM(CM19:CM21,CM23))</f>
        <v>#DIV/0!</v>
      </c>
      <c r="CN36" s="62" t="e">
        <f>IF(CN7=0,0,-Simulador!$I$64*SUM(CN19:CN21,CN23))</f>
        <v>#DIV/0!</v>
      </c>
      <c r="CO36" s="62" t="e">
        <f>IF(CO7=0,0,-Simulador!$I$64*SUM(CO19:CO21,CO23))</f>
        <v>#DIV/0!</v>
      </c>
      <c r="CP36" s="62" t="e">
        <f>IF(CP7=0,0,-Simulador!$I$64*SUM(CP19:CP21,CP23))</f>
        <v>#DIV/0!</v>
      </c>
      <c r="CQ36" s="62" t="e">
        <f>IF(CQ7=0,0,-Simulador!$I$64*SUM(CQ19:CQ21,CQ23))</f>
        <v>#DIV/0!</v>
      </c>
      <c r="CR36" s="62" t="e">
        <f>IF(CR7=0,0,-Simulador!$I$64*SUM(CR19:CR21,CR23))</f>
        <v>#DIV/0!</v>
      </c>
      <c r="CS36" s="62" t="e">
        <f>IF(CS7=0,0,-Simulador!$I$64*SUM(CS19:CS21,CS23))</f>
        <v>#DIV/0!</v>
      </c>
      <c r="CT36" s="62" t="e">
        <f>IF(CT7=0,0,-Simulador!$I$64*SUM(CT19:CT21,CT23))</f>
        <v>#DIV/0!</v>
      </c>
      <c r="CU36" s="62" t="e">
        <f>IF(CU7=0,0,-Simulador!$I$64*SUM(CU19:CU21,CU23))</f>
        <v>#DIV/0!</v>
      </c>
      <c r="CV36" s="62" t="e">
        <f>IF(CV7=0,0,-Simulador!$I$64*SUM(CV19:CV21,CV23))</f>
        <v>#DIV/0!</v>
      </c>
      <c r="CW36" s="62" t="e">
        <f>IF(CW7=0,0,-Simulador!$I$64*SUM(CW19:CW21,CW23))</f>
        <v>#DIV/0!</v>
      </c>
      <c r="CX36" s="62" t="e">
        <f>IF(CX7=0,0,-Simulador!$I$64*SUM(CX19:CX21,CX23))</f>
        <v>#DIV/0!</v>
      </c>
      <c r="CY36" s="62" t="e">
        <f>IF(CY7=0,0,-Simulador!$I$64*SUM(CY19:CY21,CY23))</f>
        <v>#DIV/0!</v>
      </c>
      <c r="CZ36" s="62" t="e">
        <f>IF(CZ7=0,0,-Simulador!$I$64*SUM(CZ19:CZ21,CZ23))</f>
        <v>#DIV/0!</v>
      </c>
      <c r="DA36" s="62" t="e">
        <f>IF(DA7=0,0,-Simulador!$I$64*SUM(DA19:DA21,DA23))</f>
        <v>#DIV/0!</v>
      </c>
      <c r="DB36" s="62" t="e">
        <f>IF(DB7=0,0,-Simulador!$I$64*SUM(DB19:DB21,DB23))</f>
        <v>#DIV/0!</v>
      </c>
      <c r="DC36" s="62" t="e">
        <f>IF(DC7=0,0,-Simulador!$I$64*SUM(DC19:DC21,DC23))</f>
        <v>#DIV/0!</v>
      </c>
      <c r="DD36" s="62" t="e">
        <f>IF(DD7=0,0,-Simulador!$I$64*SUM(DD19:DD21,DD23))</f>
        <v>#DIV/0!</v>
      </c>
      <c r="DE36" s="62" t="e">
        <f>IF(DE7=0,0,-Simulador!$I$64*SUM(DE19:DE21,DE23))</f>
        <v>#DIV/0!</v>
      </c>
      <c r="DF36" s="62" t="e">
        <f>IF(DF7=0,0,-Simulador!$I$64*SUM(DF19:DF21,DF23))</f>
        <v>#DIV/0!</v>
      </c>
      <c r="DG36" s="62" t="e">
        <f>IF(DG7=0,0,-Simulador!$I$64*SUM(DG19:DG21,DG23))</f>
        <v>#DIV/0!</v>
      </c>
      <c r="DH36" s="62" t="e">
        <f>IF(DH7=0,0,-Simulador!$I$64*SUM(DH19:DH21,DH23))</f>
        <v>#DIV/0!</v>
      </c>
      <c r="DI36" s="62" t="e">
        <f>IF(DI7=0,0,-Simulador!$I$64*SUM(DI19:DI21,DI23))</f>
        <v>#DIV/0!</v>
      </c>
      <c r="DJ36" s="62" t="e">
        <f>IF(DJ7=0,0,-Simulador!$I$64*SUM(DJ19:DJ21,DJ23))</f>
        <v>#DIV/0!</v>
      </c>
      <c r="DK36" s="62" t="e">
        <f>IF(DK7=0,0,-Simulador!$I$64*SUM(DK19:DK21,DK23))</f>
        <v>#DIV/0!</v>
      </c>
      <c r="DL36" s="62" t="e">
        <f>IF(DL7=0,0,-Simulador!$I$64*SUM(DL19:DL21,DL23))</f>
        <v>#DIV/0!</v>
      </c>
      <c r="DM36" s="62" t="e">
        <f>IF(DM7=0,0,-Simulador!$I$64*SUM(DM19:DM21,DM23))</f>
        <v>#DIV/0!</v>
      </c>
      <c r="DN36" s="62" t="e">
        <f>IF(DN7=0,0,-Simulador!$I$64*SUM(DN19:DN21,DN23))</f>
        <v>#DIV/0!</v>
      </c>
      <c r="DO36" s="62" t="e">
        <f>IF(DO7=0,0,-Simulador!$I$64*SUM(DO19:DO21,DO23))</f>
        <v>#DIV/0!</v>
      </c>
      <c r="DP36" s="62" t="e">
        <f>IF(DP7=0,0,-Simulador!$I$64*SUM(DP19:DP21,DP23))</f>
        <v>#DIV/0!</v>
      </c>
      <c r="DQ36" s="62" t="e">
        <f>IF(DQ7=0,0,-Simulador!$I$64*SUM(DQ19:DQ21,DQ23))</f>
        <v>#DIV/0!</v>
      </c>
      <c r="DR36" s="62" t="e">
        <f>IF(DR7=0,0,-Simulador!$I$64*SUM(DR19:DR21,DR23))</f>
        <v>#DIV/0!</v>
      </c>
      <c r="DS36" s="62" t="e">
        <f>IF(DS7=0,0,-Simulador!$I$64*SUM(DS19:DS21,DS23))</f>
        <v>#DIV/0!</v>
      </c>
      <c r="DT36" s="62" t="e">
        <f>IF(DT7=0,0,-Simulador!$I$64*SUM(DT19:DT21,DT23))</f>
        <v>#DIV/0!</v>
      </c>
      <c r="DU36" s="62" t="e">
        <f>IF(DU7=0,0,-Simulador!$I$64*SUM(DU19:DU21,DU23))</f>
        <v>#DIV/0!</v>
      </c>
      <c r="DV36" s="62" t="e">
        <f>IF(DV7=0,0,-Simulador!$I$64*SUM(DV19:DV21,DV23))</f>
        <v>#DIV/0!</v>
      </c>
      <c r="DW36" s="62" t="e">
        <f>IF(DW7=0,0,-Simulador!$I$64*SUM(DW19:DW21,DW23))</f>
        <v>#DIV/0!</v>
      </c>
      <c r="DX36" s="62" t="e">
        <f>IF(DX7=0,0,-Simulador!$I$64*SUM(DX19:DX21,DX23))</f>
        <v>#DIV/0!</v>
      </c>
      <c r="DY36" s="62" t="e">
        <f>IF(DY7=0,0,-Simulador!$I$64*SUM(DY19:DY21,DY23))</f>
        <v>#DIV/0!</v>
      </c>
      <c r="DZ36" s="62" t="e">
        <f>IF(DZ7=0,0,-Simulador!$I$64*SUM(DZ19:DZ21,DZ23))</f>
        <v>#DIV/0!</v>
      </c>
      <c r="EA36" s="62" t="e">
        <f>IF(EA7=0,0,-Simulador!$I$64*SUM(EA19:EA21,EA23))</f>
        <v>#DIV/0!</v>
      </c>
      <c r="EB36" s="62" t="e">
        <f>IF(EB7=0,0,-Simulador!$I$64*SUM(EB19:EB21,EB23))</f>
        <v>#DIV/0!</v>
      </c>
      <c r="EC36" s="62" t="e">
        <f>IF(EC7=0,0,-Simulador!$I$64*SUM(EC19:EC21,EC23))</f>
        <v>#DIV/0!</v>
      </c>
      <c r="ED36" s="62" t="e">
        <f>IF(ED7=0,0,-Simulador!$I$64*SUM(ED19:ED21,ED23))</f>
        <v>#DIV/0!</v>
      </c>
      <c r="EE36" s="62"/>
    </row>
    <row r="37" spans="1:135" ht="13" x14ac:dyDescent="0.3">
      <c r="B37" s="38"/>
      <c r="C37" s="53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3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46"/>
    </row>
    <row r="38" spans="1:135" ht="13" x14ac:dyDescent="0.3">
      <c r="B38" s="38" t="s">
        <v>206</v>
      </c>
      <c r="C38" s="53"/>
      <c r="D38" s="62">
        <f t="shared" ref="D38:H38" si="48">SUMIFS($O38:$BV38,$O$4:$BV$4,D$3)</f>
        <v>-6085.1063829787236</v>
      </c>
      <c r="E38" s="62">
        <f t="shared" si="48"/>
        <v>0</v>
      </c>
      <c r="F38" s="62">
        <f t="shared" si="48"/>
        <v>0</v>
      </c>
      <c r="G38" s="62">
        <f t="shared" si="48"/>
        <v>0</v>
      </c>
      <c r="H38" s="62">
        <f t="shared" si="48"/>
        <v>0</v>
      </c>
      <c r="I38" s="62">
        <f t="shared" ref="I38:M38" si="49">SUMIFS($O38:$ED38,$O$4:$ED$4,I$3)</f>
        <v>0</v>
      </c>
      <c r="J38" s="62">
        <f t="shared" si="49"/>
        <v>0</v>
      </c>
      <c r="K38" s="62">
        <f t="shared" si="49"/>
        <v>0</v>
      </c>
      <c r="L38" s="62">
        <f t="shared" si="49"/>
        <v>0</v>
      </c>
      <c r="M38" s="62">
        <f t="shared" si="49"/>
        <v>0</v>
      </c>
      <c r="N38" s="53"/>
      <c r="O38" s="67">
        <f t="shared" ref="O38:ED38" si="50">SUM(O39:O44)</f>
        <v>-6085.1063829787236</v>
      </c>
      <c r="P38" s="67">
        <f t="shared" si="50"/>
        <v>0</v>
      </c>
      <c r="Q38" s="67">
        <f t="shared" si="50"/>
        <v>0</v>
      </c>
      <c r="R38" s="67">
        <f t="shared" si="50"/>
        <v>0</v>
      </c>
      <c r="S38" s="67">
        <f t="shared" si="50"/>
        <v>0</v>
      </c>
      <c r="T38" s="67">
        <f t="shared" si="50"/>
        <v>0</v>
      </c>
      <c r="U38" s="67">
        <f t="shared" si="50"/>
        <v>0</v>
      </c>
      <c r="V38" s="67">
        <f t="shared" si="50"/>
        <v>0</v>
      </c>
      <c r="W38" s="67">
        <f t="shared" si="50"/>
        <v>0</v>
      </c>
      <c r="X38" s="67">
        <f t="shared" si="50"/>
        <v>0</v>
      </c>
      <c r="Y38" s="67">
        <f t="shared" si="50"/>
        <v>0</v>
      </c>
      <c r="Z38" s="67">
        <f t="shared" si="50"/>
        <v>0</v>
      </c>
      <c r="AA38" s="67">
        <f t="shared" si="50"/>
        <v>0</v>
      </c>
      <c r="AB38" s="67">
        <f t="shared" si="50"/>
        <v>0</v>
      </c>
      <c r="AC38" s="67">
        <f t="shared" si="50"/>
        <v>0</v>
      </c>
      <c r="AD38" s="67">
        <f t="shared" si="50"/>
        <v>0</v>
      </c>
      <c r="AE38" s="67">
        <f t="shared" si="50"/>
        <v>0</v>
      </c>
      <c r="AF38" s="67">
        <f t="shared" si="50"/>
        <v>0</v>
      </c>
      <c r="AG38" s="67">
        <f t="shared" si="50"/>
        <v>0</v>
      </c>
      <c r="AH38" s="67">
        <f t="shared" si="50"/>
        <v>0</v>
      </c>
      <c r="AI38" s="67">
        <f t="shared" si="50"/>
        <v>0</v>
      </c>
      <c r="AJ38" s="67">
        <f t="shared" si="50"/>
        <v>0</v>
      </c>
      <c r="AK38" s="67">
        <f t="shared" si="50"/>
        <v>0</v>
      </c>
      <c r="AL38" s="67">
        <f t="shared" si="50"/>
        <v>0</v>
      </c>
      <c r="AM38" s="67">
        <f t="shared" si="50"/>
        <v>0</v>
      </c>
      <c r="AN38" s="67">
        <f t="shared" si="50"/>
        <v>0</v>
      </c>
      <c r="AO38" s="67">
        <f t="shared" si="50"/>
        <v>0</v>
      </c>
      <c r="AP38" s="67">
        <f t="shared" si="50"/>
        <v>0</v>
      </c>
      <c r="AQ38" s="67">
        <f t="shared" si="50"/>
        <v>0</v>
      </c>
      <c r="AR38" s="67">
        <f t="shared" si="50"/>
        <v>0</v>
      </c>
      <c r="AS38" s="67">
        <f t="shared" si="50"/>
        <v>0</v>
      </c>
      <c r="AT38" s="67">
        <f t="shared" si="50"/>
        <v>0</v>
      </c>
      <c r="AU38" s="67">
        <f t="shared" si="50"/>
        <v>0</v>
      </c>
      <c r="AV38" s="67">
        <f t="shared" si="50"/>
        <v>0</v>
      </c>
      <c r="AW38" s="67">
        <f t="shared" si="50"/>
        <v>0</v>
      </c>
      <c r="AX38" s="67">
        <f t="shared" si="50"/>
        <v>0</v>
      </c>
      <c r="AY38" s="67">
        <f t="shared" si="50"/>
        <v>0</v>
      </c>
      <c r="AZ38" s="67">
        <f t="shared" si="50"/>
        <v>0</v>
      </c>
      <c r="BA38" s="67">
        <f t="shared" si="50"/>
        <v>0</v>
      </c>
      <c r="BB38" s="67">
        <f t="shared" si="50"/>
        <v>0</v>
      </c>
      <c r="BC38" s="67">
        <f t="shared" si="50"/>
        <v>0</v>
      </c>
      <c r="BD38" s="67">
        <f t="shared" si="50"/>
        <v>0</v>
      </c>
      <c r="BE38" s="67">
        <f t="shared" si="50"/>
        <v>0</v>
      </c>
      <c r="BF38" s="67">
        <f t="shared" si="50"/>
        <v>0</v>
      </c>
      <c r="BG38" s="67">
        <f t="shared" si="50"/>
        <v>0</v>
      </c>
      <c r="BH38" s="67">
        <f t="shared" si="50"/>
        <v>0</v>
      </c>
      <c r="BI38" s="67">
        <f t="shared" si="50"/>
        <v>0</v>
      </c>
      <c r="BJ38" s="67">
        <f t="shared" si="50"/>
        <v>0</v>
      </c>
      <c r="BK38" s="67">
        <f t="shared" si="50"/>
        <v>0</v>
      </c>
      <c r="BL38" s="67">
        <f t="shared" si="50"/>
        <v>0</v>
      </c>
      <c r="BM38" s="67">
        <f t="shared" si="50"/>
        <v>0</v>
      </c>
      <c r="BN38" s="67">
        <f t="shared" si="50"/>
        <v>0</v>
      </c>
      <c r="BO38" s="67">
        <f t="shared" si="50"/>
        <v>0</v>
      </c>
      <c r="BP38" s="67">
        <f t="shared" si="50"/>
        <v>0</v>
      </c>
      <c r="BQ38" s="67">
        <f t="shared" si="50"/>
        <v>0</v>
      </c>
      <c r="BR38" s="67">
        <f t="shared" si="50"/>
        <v>0</v>
      </c>
      <c r="BS38" s="67">
        <f t="shared" si="50"/>
        <v>0</v>
      </c>
      <c r="BT38" s="67">
        <f t="shared" si="50"/>
        <v>0</v>
      </c>
      <c r="BU38" s="67">
        <f t="shared" si="50"/>
        <v>0</v>
      </c>
      <c r="BV38" s="67">
        <f t="shared" si="50"/>
        <v>0</v>
      </c>
      <c r="BW38" s="67">
        <f t="shared" si="50"/>
        <v>0</v>
      </c>
      <c r="BX38" s="67">
        <f t="shared" si="50"/>
        <v>0</v>
      </c>
      <c r="BY38" s="67">
        <f t="shared" si="50"/>
        <v>0</v>
      </c>
      <c r="BZ38" s="67">
        <f t="shared" si="50"/>
        <v>0</v>
      </c>
      <c r="CA38" s="67">
        <f t="shared" si="50"/>
        <v>0</v>
      </c>
      <c r="CB38" s="67">
        <f t="shared" si="50"/>
        <v>0</v>
      </c>
      <c r="CC38" s="67">
        <f t="shared" si="50"/>
        <v>0</v>
      </c>
      <c r="CD38" s="67">
        <f t="shared" si="50"/>
        <v>0</v>
      </c>
      <c r="CE38" s="67">
        <f t="shared" si="50"/>
        <v>0</v>
      </c>
      <c r="CF38" s="67">
        <f t="shared" si="50"/>
        <v>0</v>
      </c>
      <c r="CG38" s="67">
        <f t="shared" si="50"/>
        <v>0</v>
      </c>
      <c r="CH38" s="67">
        <f t="shared" si="50"/>
        <v>0</v>
      </c>
      <c r="CI38" s="67">
        <f t="shared" si="50"/>
        <v>0</v>
      </c>
      <c r="CJ38" s="67">
        <f t="shared" si="50"/>
        <v>0</v>
      </c>
      <c r="CK38" s="67">
        <f t="shared" si="50"/>
        <v>0</v>
      </c>
      <c r="CL38" s="67">
        <f t="shared" si="50"/>
        <v>0</v>
      </c>
      <c r="CM38" s="67">
        <f t="shared" si="50"/>
        <v>0</v>
      </c>
      <c r="CN38" s="67">
        <f t="shared" si="50"/>
        <v>0</v>
      </c>
      <c r="CO38" s="67">
        <f t="shared" si="50"/>
        <v>0</v>
      </c>
      <c r="CP38" s="67">
        <f t="shared" si="50"/>
        <v>0</v>
      </c>
      <c r="CQ38" s="67">
        <f t="shared" si="50"/>
        <v>0</v>
      </c>
      <c r="CR38" s="67">
        <f t="shared" si="50"/>
        <v>0</v>
      </c>
      <c r="CS38" s="67">
        <f t="shared" si="50"/>
        <v>0</v>
      </c>
      <c r="CT38" s="67">
        <f t="shared" si="50"/>
        <v>0</v>
      </c>
      <c r="CU38" s="67">
        <f t="shared" si="50"/>
        <v>0</v>
      </c>
      <c r="CV38" s="67">
        <f t="shared" si="50"/>
        <v>0</v>
      </c>
      <c r="CW38" s="67">
        <f t="shared" si="50"/>
        <v>0</v>
      </c>
      <c r="CX38" s="67">
        <f t="shared" si="50"/>
        <v>0</v>
      </c>
      <c r="CY38" s="67">
        <f t="shared" si="50"/>
        <v>0</v>
      </c>
      <c r="CZ38" s="67">
        <f t="shared" si="50"/>
        <v>0</v>
      </c>
      <c r="DA38" s="67">
        <f t="shared" si="50"/>
        <v>0</v>
      </c>
      <c r="DB38" s="67">
        <f t="shared" si="50"/>
        <v>0</v>
      </c>
      <c r="DC38" s="67">
        <f t="shared" si="50"/>
        <v>0</v>
      </c>
      <c r="DD38" s="67">
        <f t="shared" si="50"/>
        <v>0</v>
      </c>
      <c r="DE38" s="67">
        <f t="shared" si="50"/>
        <v>0</v>
      </c>
      <c r="DF38" s="67">
        <f t="shared" si="50"/>
        <v>0</v>
      </c>
      <c r="DG38" s="67">
        <f t="shared" si="50"/>
        <v>0</v>
      </c>
      <c r="DH38" s="67">
        <f t="shared" si="50"/>
        <v>0</v>
      </c>
      <c r="DI38" s="67">
        <f t="shared" si="50"/>
        <v>0</v>
      </c>
      <c r="DJ38" s="67">
        <f t="shared" si="50"/>
        <v>0</v>
      </c>
      <c r="DK38" s="67">
        <f t="shared" si="50"/>
        <v>0</v>
      </c>
      <c r="DL38" s="67">
        <f t="shared" si="50"/>
        <v>0</v>
      </c>
      <c r="DM38" s="67">
        <f t="shared" si="50"/>
        <v>0</v>
      </c>
      <c r="DN38" s="67">
        <f t="shared" si="50"/>
        <v>0</v>
      </c>
      <c r="DO38" s="67">
        <f t="shared" si="50"/>
        <v>0</v>
      </c>
      <c r="DP38" s="67">
        <f t="shared" si="50"/>
        <v>0</v>
      </c>
      <c r="DQ38" s="67">
        <f t="shared" si="50"/>
        <v>0</v>
      </c>
      <c r="DR38" s="67">
        <f t="shared" si="50"/>
        <v>0</v>
      </c>
      <c r="DS38" s="67">
        <f t="shared" si="50"/>
        <v>0</v>
      </c>
      <c r="DT38" s="67">
        <f t="shared" si="50"/>
        <v>0</v>
      </c>
      <c r="DU38" s="67">
        <f t="shared" si="50"/>
        <v>0</v>
      </c>
      <c r="DV38" s="67">
        <f t="shared" si="50"/>
        <v>0</v>
      </c>
      <c r="DW38" s="67">
        <f t="shared" si="50"/>
        <v>0</v>
      </c>
      <c r="DX38" s="67">
        <f t="shared" si="50"/>
        <v>0</v>
      </c>
      <c r="DY38" s="67">
        <f t="shared" si="50"/>
        <v>0</v>
      </c>
      <c r="DZ38" s="67">
        <f t="shared" si="50"/>
        <v>0</v>
      </c>
      <c r="EA38" s="67">
        <f t="shared" si="50"/>
        <v>0</v>
      </c>
      <c r="EB38" s="67">
        <f t="shared" si="50"/>
        <v>0</v>
      </c>
      <c r="EC38" s="67">
        <f t="shared" si="50"/>
        <v>0</v>
      </c>
      <c r="ED38" s="67">
        <f t="shared" si="50"/>
        <v>0</v>
      </c>
      <c r="EE38" s="46"/>
    </row>
    <row r="39" spans="1:135" ht="12.5" x14ac:dyDescent="0.25">
      <c r="B39" s="46" t="s">
        <v>207</v>
      </c>
      <c r="C39" s="53"/>
      <c r="D39" s="62">
        <f t="shared" ref="D39:H39" si="51">SUMIFS($O39:$BV39,$O$4:$BV$4,D$3)</f>
        <v>-6085.1063829787236</v>
      </c>
      <c r="E39" s="62">
        <f t="shared" si="51"/>
        <v>0</v>
      </c>
      <c r="F39" s="62">
        <f t="shared" si="51"/>
        <v>0</v>
      </c>
      <c r="G39" s="62">
        <f t="shared" si="51"/>
        <v>0</v>
      </c>
      <c r="H39" s="62">
        <f t="shared" si="51"/>
        <v>0</v>
      </c>
      <c r="I39" s="62">
        <f t="shared" ref="I39:M39" si="52">SUMIFS($O39:$ED39,$O$4:$ED$4,I$3)</f>
        <v>0</v>
      </c>
      <c r="J39" s="62">
        <f t="shared" si="52"/>
        <v>0</v>
      </c>
      <c r="K39" s="62">
        <f t="shared" si="52"/>
        <v>0</v>
      </c>
      <c r="L39" s="62">
        <f t="shared" si="52"/>
        <v>0</v>
      </c>
      <c r="M39" s="62">
        <f t="shared" si="52"/>
        <v>0</v>
      </c>
      <c r="N39" s="53"/>
      <c r="O39" s="62">
        <f>((1/47)*-143000)*2</f>
        <v>-6085.1063829787236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46"/>
    </row>
    <row r="40" spans="1:135" ht="12.5" x14ac:dyDescent="0.25">
      <c r="B40" s="46" t="s">
        <v>208</v>
      </c>
      <c r="C40" s="53"/>
      <c r="D40" s="62">
        <f t="shared" ref="D40:H40" si="53">SUMIFS($O40:$BV40,$O$4:$BV$4,D$3)</f>
        <v>0</v>
      </c>
      <c r="E40" s="62">
        <f t="shared" si="53"/>
        <v>0</v>
      </c>
      <c r="F40" s="62">
        <f t="shared" si="53"/>
        <v>0</v>
      </c>
      <c r="G40" s="62">
        <f t="shared" si="53"/>
        <v>0</v>
      </c>
      <c r="H40" s="62">
        <f t="shared" si="53"/>
        <v>0</v>
      </c>
      <c r="I40" s="62">
        <f t="shared" ref="I40:M40" si="54">SUMIFS($O40:$ED40,$O$4:$ED$4,I$3)</f>
        <v>0</v>
      </c>
      <c r="J40" s="62">
        <f t="shared" si="54"/>
        <v>0</v>
      </c>
      <c r="K40" s="62">
        <f t="shared" si="54"/>
        <v>0</v>
      </c>
      <c r="L40" s="62">
        <f t="shared" si="54"/>
        <v>0</v>
      </c>
      <c r="M40" s="62">
        <f t="shared" si="54"/>
        <v>0</v>
      </c>
      <c r="N40" s="53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46"/>
    </row>
    <row r="41" spans="1:135" ht="12.5" x14ac:dyDescent="0.25">
      <c r="B41" s="46" t="s">
        <v>45</v>
      </c>
      <c r="C41" s="53"/>
      <c r="D41" s="62">
        <f t="shared" ref="D41:H41" si="55">SUMIFS($O41:$BV41,$O$4:$BV$4,D$3)</f>
        <v>0</v>
      </c>
      <c r="E41" s="62">
        <f t="shared" si="55"/>
        <v>0</v>
      </c>
      <c r="F41" s="62">
        <f t="shared" si="55"/>
        <v>0</v>
      </c>
      <c r="G41" s="62">
        <f t="shared" si="55"/>
        <v>0</v>
      </c>
      <c r="H41" s="62">
        <f t="shared" si="55"/>
        <v>0</v>
      </c>
      <c r="I41" s="62">
        <f t="shared" ref="I41:M41" si="56">SUMIFS($O41:$ED41,$O$4:$ED$4,I$3)</f>
        <v>0</v>
      </c>
      <c r="J41" s="62">
        <f t="shared" si="56"/>
        <v>0</v>
      </c>
      <c r="K41" s="62">
        <f t="shared" si="56"/>
        <v>0</v>
      </c>
      <c r="L41" s="62">
        <f t="shared" si="56"/>
        <v>0</v>
      </c>
      <c r="M41" s="62">
        <f t="shared" si="56"/>
        <v>0</v>
      </c>
      <c r="N41" s="53"/>
      <c r="O41" s="62">
        <v>0</v>
      </c>
      <c r="P41" s="62">
        <f>IF(P1&lt;=Simulador!$I$50,-Simulador!$I$51,0)</f>
        <v>0</v>
      </c>
      <c r="Q41" s="62">
        <f>IF(Q1&lt;=Simulador!$I$50,-Simulador!$I$51,0)</f>
        <v>0</v>
      </c>
      <c r="R41" s="62">
        <f>IF(R1&lt;=Simulador!$I$50,-Simulador!$I$51,0)</f>
        <v>0</v>
      </c>
      <c r="S41" s="62">
        <f>IF(S1&lt;=Simulador!$I$50,-Simulador!$I$51,0)</f>
        <v>0</v>
      </c>
      <c r="T41" s="62">
        <f>IF(T1&lt;=Simulador!$I$50,-Simulador!$I$51,0)</f>
        <v>0</v>
      </c>
      <c r="U41" s="62">
        <f>IF(U1&lt;=Simulador!$I$50,-Simulador!$I$51,0)</f>
        <v>0</v>
      </c>
      <c r="V41" s="62">
        <f>IF(V1&lt;=Simulador!$I$50,-Simulador!$I$51,0)</f>
        <v>0</v>
      </c>
      <c r="W41" s="62">
        <f>IF(W1&lt;=Simulador!$I$50,-Simulador!$I$51,0)</f>
        <v>0</v>
      </c>
      <c r="X41" s="62">
        <f>IF(X1&lt;=Simulador!$I$50,-Simulador!$I$51,0)</f>
        <v>0</v>
      </c>
      <c r="Y41" s="62">
        <f>IF(Y1&lt;=Simulador!$I$50,-Simulador!$I$51,0)</f>
        <v>0</v>
      </c>
      <c r="Z41" s="62">
        <f>IF(Z1&lt;=Simulador!$I$50,-Simulador!$I$51,0)</f>
        <v>0</v>
      </c>
      <c r="AA41" s="62">
        <f>IF(AA1&lt;=Simulador!$I$50,-Simulador!$I$51,0)</f>
        <v>0</v>
      </c>
      <c r="AB41" s="62">
        <f>IF(AB1&lt;=Simulador!$I$50,-Simulador!$I$51,0)</f>
        <v>0</v>
      </c>
      <c r="AC41" s="62">
        <f>IF(AC1&lt;=Simulador!$I$50,-Simulador!$I$51,0)</f>
        <v>0</v>
      </c>
      <c r="AD41" s="62">
        <f>IF(AD1&lt;=Simulador!$I$50,-Simulador!$I$51,0)</f>
        <v>0</v>
      </c>
      <c r="AE41" s="62">
        <f>IF(AE1&lt;=Simulador!$I$50,-Simulador!$I$51,0)</f>
        <v>0</v>
      </c>
      <c r="AF41" s="62">
        <f>IF(AF1&lt;=Simulador!$I$50,-Simulador!$I$51,0)</f>
        <v>0</v>
      </c>
      <c r="AG41" s="62">
        <f>IF(AG1&lt;=Simulador!$I$50,-Simulador!$I$51,0)</f>
        <v>0</v>
      </c>
      <c r="AH41" s="62">
        <f>IF(AH1&lt;=Simulador!$I$50,-Simulador!$I$51,0)</f>
        <v>0</v>
      </c>
      <c r="AI41" s="62">
        <f>IF(AI1&lt;=Simulador!$I$50,-Simulador!$I$51,0)</f>
        <v>0</v>
      </c>
      <c r="AJ41" s="62">
        <f>IF(AJ1&lt;=Simulador!$I$50,-Simulador!$I$51,0)</f>
        <v>0</v>
      </c>
      <c r="AK41" s="62">
        <f>IF(AK1&lt;=Simulador!$I$50,-Simulador!$I$51,0)</f>
        <v>0</v>
      </c>
      <c r="AL41" s="62">
        <f>IF(AL1&lt;=Simulador!$I$50,-Simulador!$I$51,0)</f>
        <v>0</v>
      </c>
      <c r="AM41" s="62">
        <f>IF(AM1&lt;=Simulador!$I$50,-Simulador!$I$51,0)</f>
        <v>0</v>
      </c>
      <c r="AN41" s="62">
        <f>IF(AN1&lt;=Simulador!$I$50,-Simulador!$I$51,0)</f>
        <v>0</v>
      </c>
      <c r="AO41" s="62">
        <f>IF(AO1&lt;=Simulador!$I$50,-Simulador!$I$51,0)</f>
        <v>0</v>
      </c>
      <c r="AP41" s="62">
        <f>IF(AP1&lt;=Simulador!$I$50,-Simulador!$I$51,0)</f>
        <v>0</v>
      </c>
      <c r="AQ41" s="62">
        <f>IF(AQ1&lt;=Simulador!$I$50,-Simulador!$I$51,0)</f>
        <v>0</v>
      </c>
      <c r="AR41" s="62">
        <f>IF(AR1&lt;=Simulador!$I$50,-Simulador!$I$51,0)</f>
        <v>0</v>
      </c>
      <c r="AS41" s="62">
        <f>IF(AS1&lt;=Simulador!$I$50,-Simulador!$I$51,0)</f>
        <v>0</v>
      </c>
      <c r="AT41" s="62">
        <f>IF(AT1&lt;=Simulador!$I$50,-Simulador!$I$51,0)</f>
        <v>0</v>
      </c>
      <c r="AU41" s="62">
        <f>IF(AU1&lt;=Simulador!$I$50,-Simulador!$I$51,0)</f>
        <v>0</v>
      </c>
      <c r="AV41" s="62">
        <f>IF(AV1&lt;=Simulador!$I$50,-Simulador!$I$51,0)</f>
        <v>0</v>
      </c>
      <c r="AW41" s="62">
        <f>IF(AW1&lt;=Simulador!$I$50,-Simulador!$I$51,0)</f>
        <v>0</v>
      </c>
      <c r="AX41" s="62">
        <f>IF(AX1&lt;=Simulador!$I$50,-Simulador!$I$51,0)</f>
        <v>0</v>
      </c>
      <c r="AY41" s="62">
        <f>IF(AY1&lt;=Simulador!$I$50,-Simulador!$I$51,0)</f>
        <v>0</v>
      </c>
      <c r="AZ41" s="62">
        <f>IF(AZ1&lt;=Simulador!$I$50,-Simulador!$I$51,0)</f>
        <v>0</v>
      </c>
      <c r="BA41" s="62">
        <f>IF(BA1&lt;=Simulador!$I$50,-Simulador!$I$51,0)</f>
        <v>0</v>
      </c>
      <c r="BB41" s="62">
        <f>IF(BB1&lt;=Simulador!$I$50,-Simulador!$I$51,0)</f>
        <v>0</v>
      </c>
      <c r="BC41" s="62">
        <f>IF(BC1&lt;=Simulador!$I$50,-Simulador!$I$51,0)</f>
        <v>0</v>
      </c>
      <c r="BD41" s="62">
        <f>IF(BD1&lt;=Simulador!$I$50,-Simulador!$I$51,0)</f>
        <v>0</v>
      </c>
      <c r="BE41" s="62">
        <f>IF(BE1&lt;=Simulador!$I$50,-Simulador!$I$51,0)</f>
        <v>0</v>
      </c>
      <c r="BF41" s="62">
        <f>IF(BF1&lt;=Simulador!$I$50,-Simulador!$I$51,0)</f>
        <v>0</v>
      </c>
      <c r="BG41" s="62">
        <f>IF(BG1&lt;=Simulador!$I$50,-Simulador!$I$51,0)</f>
        <v>0</v>
      </c>
      <c r="BH41" s="62">
        <f>IF(BH1&lt;=Simulador!$I$50,-Simulador!$I$51,0)</f>
        <v>0</v>
      </c>
      <c r="BI41" s="62">
        <f>IF(BI1&lt;=Simulador!$I$50,-Simulador!$I$51,0)</f>
        <v>0</v>
      </c>
      <c r="BJ41" s="62">
        <f>IF(BJ1&lt;=Simulador!$I$50,-Simulador!$I$51,0)</f>
        <v>0</v>
      </c>
      <c r="BK41" s="62">
        <f>IF(BK1&lt;=Simulador!$I$50,-Simulador!$I$51,0)</f>
        <v>0</v>
      </c>
      <c r="BL41" s="62">
        <f>IF(BL1&lt;=Simulador!$I$50,-Simulador!$I$51,0)</f>
        <v>0</v>
      </c>
      <c r="BM41" s="62">
        <f>IF(BM1&lt;=Simulador!$I$50,-Simulador!$I$51,0)</f>
        <v>0</v>
      </c>
      <c r="BN41" s="62">
        <f>IF(BN1&lt;=Simulador!$I$50,-Simulador!$I$51,0)</f>
        <v>0</v>
      </c>
      <c r="BO41" s="62">
        <f>IF(BO1&lt;=Simulador!$I$50,-Simulador!$I$51,0)</f>
        <v>0</v>
      </c>
      <c r="BP41" s="62">
        <f>IF(BP1&lt;=Simulador!$I$50,-Simulador!$I$51,0)</f>
        <v>0</v>
      </c>
      <c r="BQ41" s="62">
        <f>IF(BQ1&lt;=Simulador!$I$50,-Simulador!$I$51,0)</f>
        <v>0</v>
      </c>
      <c r="BR41" s="62">
        <f>IF(BR1&lt;=Simulador!$I$50,-Simulador!$I$51,0)</f>
        <v>0</v>
      </c>
      <c r="BS41" s="62">
        <f>IF(BS1&lt;=Simulador!$I$50,-Simulador!$I$51,0)</f>
        <v>0</v>
      </c>
      <c r="BT41" s="62">
        <f>IF(BT1&lt;=Simulador!$I$50,-Simulador!$I$51,0)</f>
        <v>0</v>
      </c>
      <c r="BU41" s="62">
        <f>IF(BU1&lt;=Simulador!$I$50,-Simulador!$I$51,0)</f>
        <v>0</v>
      </c>
      <c r="BV41" s="62">
        <f>IF(BV1&lt;=Simulador!$I$50,-Simulador!$I$51,0)</f>
        <v>0</v>
      </c>
      <c r="BW41" s="62">
        <f>IF(BW1&lt;=Simulador!$I$50,-Simulador!$I$51,0)</f>
        <v>0</v>
      </c>
      <c r="BX41" s="62">
        <f>IF(BX1&lt;=Simulador!$I$50,-Simulador!$I$51,0)</f>
        <v>0</v>
      </c>
      <c r="BY41" s="62">
        <f>IF(BY1&lt;=Simulador!$I$50,-Simulador!$I$51,0)</f>
        <v>0</v>
      </c>
      <c r="BZ41" s="62">
        <f>IF(BZ1&lt;=Simulador!$I$50,-Simulador!$I$51,0)</f>
        <v>0</v>
      </c>
      <c r="CA41" s="62">
        <f>IF(CA1&lt;=Simulador!$I$50,-Simulador!$I$51,0)</f>
        <v>0</v>
      </c>
      <c r="CB41" s="62">
        <f>IF(CB1&lt;=Simulador!$I$50,-Simulador!$I$51,0)</f>
        <v>0</v>
      </c>
      <c r="CC41" s="62">
        <f>IF(CC1&lt;=Simulador!$I$50,-Simulador!$I$51,0)</f>
        <v>0</v>
      </c>
      <c r="CD41" s="62">
        <f>IF(CD1&lt;=Simulador!$I$50,-Simulador!$I$51,0)</f>
        <v>0</v>
      </c>
      <c r="CE41" s="62">
        <f>IF(CE1&lt;=Simulador!$I$50,-Simulador!$I$51,0)</f>
        <v>0</v>
      </c>
      <c r="CF41" s="62">
        <f>IF(CF1&lt;=Simulador!$I$50,-Simulador!$I$51,0)</f>
        <v>0</v>
      </c>
      <c r="CG41" s="62">
        <f>IF(CG1&lt;=Simulador!$I$50,-Simulador!$I$51,0)</f>
        <v>0</v>
      </c>
      <c r="CH41" s="62">
        <f>IF(CH1&lt;=Simulador!$I$50,-Simulador!$I$51,0)</f>
        <v>0</v>
      </c>
      <c r="CI41" s="62">
        <f>IF(CI1&lt;=Simulador!$I$50,-Simulador!$I$51,0)</f>
        <v>0</v>
      </c>
      <c r="CJ41" s="62">
        <f>IF(CJ1&lt;=Simulador!$I$50,-Simulador!$I$51,0)</f>
        <v>0</v>
      </c>
      <c r="CK41" s="62">
        <f>IF(CK1&lt;=Simulador!$I$50,-Simulador!$I$51,0)</f>
        <v>0</v>
      </c>
      <c r="CL41" s="62">
        <f>IF(CL1&lt;=Simulador!$I$50,-Simulador!$I$51,0)</f>
        <v>0</v>
      </c>
      <c r="CM41" s="62">
        <f>IF(CM1&lt;=Simulador!$I$50,-Simulador!$I$51,0)</f>
        <v>0</v>
      </c>
      <c r="CN41" s="62">
        <f>IF(CN1&lt;=Simulador!$I$50,-Simulador!$I$51,0)</f>
        <v>0</v>
      </c>
      <c r="CO41" s="62">
        <f>IF(CO1&lt;=Simulador!$I$50,-Simulador!$I$51,0)</f>
        <v>0</v>
      </c>
      <c r="CP41" s="62">
        <f>IF(CP1&lt;=Simulador!$I$50,-Simulador!$I$51,0)</f>
        <v>0</v>
      </c>
      <c r="CQ41" s="62">
        <f>IF(CQ1&lt;=Simulador!$I$50,-Simulador!$I$51,0)</f>
        <v>0</v>
      </c>
      <c r="CR41" s="62">
        <f>IF(CR1&lt;=Simulador!$I$50,-Simulador!$I$51,0)</f>
        <v>0</v>
      </c>
      <c r="CS41" s="62">
        <f>IF(CS1&lt;=Simulador!$I$50,-Simulador!$I$51,0)</f>
        <v>0</v>
      </c>
      <c r="CT41" s="62">
        <f>IF(CT1&lt;=Simulador!$I$50,-Simulador!$I$51,0)</f>
        <v>0</v>
      </c>
      <c r="CU41" s="62">
        <f>IF(CU1&lt;=Simulador!$I$50,-Simulador!$I$51,0)</f>
        <v>0</v>
      </c>
      <c r="CV41" s="62">
        <f>IF(CV1&lt;=Simulador!$I$50,-Simulador!$I$51,0)</f>
        <v>0</v>
      </c>
      <c r="CW41" s="62">
        <f>IF(CW1&lt;=Simulador!$I$50,-Simulador!$I$51,0)</f>
        <v>0</v>
      </c>
      <c r="CX41" s="62">
        <f>IF(CX1&lt;=Simulador!$I$50,-Simulador!$I$51,0)</f>
        <v>0</v>
      </c>
      <c r="CY41" s="62">
        <f>IF(CY1&lt;=Simulador!$I$50,-Simulador!$I$51,0)</f>
        <v>0</v>
      </c>
      <c r="CZ41" s="62">
        <f>IF(CZ1&lt;=Simulador!$I$50,-Simulador!$I$51,0)</f>
        <v>0</v>
      </c>
      <c r="DA41" s="62">
        <f>IF(DA1&lt;=Simulador!$I$50,-Simulador!$I$51,0)</f>
        <v>0</v>
      </c>
      <c r="DB41" s="62">
        <f>IF(DB1&lt;=Simulador!$I$50,-Simulador!$I$51,0)</f>
        <v>0</v>
      </c>
      <c r="DC41" s="62">
        <f>IF(DC1&lt;=Simulador!$I$50,-Simulador!$I$51,0)</f>
        <v>0</v>
      </c>
      <c r="DD41" s="62">
        <f>IF(DD1&lt;=Simulador!$I$50,-Simulador!$I$51,0)</f>
        <v>0</v>
      </c>
      <c r="DE41" s="62">
        <f>IF(DE1&lt;=Simulador!$I$50,-Simulador!$I$51,0)</f>
        <v>0</v>
      </c>
      <c r="DF41" s="62">
        <f>IF(DF1&lt;=Simulador!$I$50,-Simulador!$I$51,0)</f>
        <v>0</v>
      </c>
      <c r="DG41" s="62">
        <f>IF(DG1&lt;=Simulador!$I$50,-Simulador!$I$51,0)</f>
        <v>0</v>
      </c>
      <c r="DH41" s="62">
        <f>IF(DH1&lt;=Simulador!$I$50,-Simulador!$I$51,0)</f>
        <v>0</v>
      </c>
      <c r="DI41" s="62">
        <f>IF(DI1&lt;=Simulador!$I$50,-Simulador!$I$51,0)</f>
        <v>0</v>
      </c>
      <c r="DJ41" s="62">
        <f>IF(DJ1&lt;=Simulador!$I$50,-Simulador!$I$51,0)</f>
        <v>0</v>
      </c>
      <c r="DK41" s="62">
        <f>IF(DK1&lt;=Simulador!$I$50,-Simulador!$I$51,0)</f>
        <v>0</v>
      </c>
      <c r="DL41" s="62">
        <f>IF(DL1&lt;=Simulador!$I$50,-Simulador!$I$51,0)</f>
        <v>0</v>
      </c>
      <c r="DM41" s="62">
        <f>IF(DM1&lt;=Simulador!$I$50,-Simulador!$I$51,0)</f>
        <v>0</v>
      </c>
      <c r="DN41" s="62">
        <f>IF(DN1&lt;=Simulador!$I$50,-Simulador!$I$51,0)</f>
        <v>0</v>
      </c>
      <c r="DO41" s="62">
        <f>IF(DO1&lt;=Simulador!$I$50,-Simulador!$I$51,0)</f>
        <v>0</v>
      </c>
      <c r="DP41" s="62">
        <f>IF(DP1&lt;=Simulador!$I$50,-Simulador!$I$51,0)</f>
        <v>0</v>
      </c>
      <c r="DQ41" s="62">
        <f>IF(DQ1&lt;=Simulador!$I$50,-Simulador!$I$51,0)</f>
        <v>0</v>
      </c>
      <c r="DR41" s="62">
        <f>IF(DR1&lt;=Simulador!$I$50,-Simulador!$I$51,0)</f>
        <v>0</v>
      </c>
      <c r="DS41" s="62">
        <f>IF(DS1&lt;=Simulador!$I$50,-Simulador!$I$51,0)</f>
        <v>0</v>
      </c>
      <c r="DT41" s="62">
        <f>IF(DT1&lt;=Simulador!$I$50,-Simulador!$I$51,0)</f>
        <v>0</v>
      </c>
      <c r="DU41" s="62">
        <f>IF(DU1&lt;=Simulador!$I$50,-Simulador!$I$51,0)</f>
        <v>0</v>
      </c>
      <c r="DV41" s="62">
        <f>IF(DV1&lt;=Simulador!$I$50,-Simulador!$I$51,0)</f>
        <v>0</v>
      </c>
      <c r="DW41" s="62">
        <f>IF(DW1&lt;=Simulador!$I$50,-Simulador!$I$51,0)</f>
        <v>0</v>
      </c>
      <c r="DX41" s="62">
        <f>IF(DX1&lt;=Simulador!$I$50,-Simulador!$I$51,0)</f>
        <v>0</v>
      </c>
      <c r="DY41" s="62">
        <f>IF(DY1&lt;=Simulador!$I$50,-Simulador!$I$51,0)</f>
        <v>0</v>
      </c>
      <c r="DZ41" s="62">
        <f>IF(DZ1&lt;=Simulador!$I$50,-Simulador!$I$51,0)</f>
        <v>0</v>
      </c>
      <c r="EA41" s="62">
        <f>IF(EA1&lt;=Simulador!$I$50,-Simulador!$I$51,0)</f>
        <v>0</v>
      </c>
      <c r="EB41" s="62">
        <f>IF(EB1&lt;=Simulador!$I$50,-Simulador!$I$51,0)</f>
        <v>0</v>
      </c>
      <c r="EC41" s="62">
        <f>IF(EC1&lt;=Simulador!$I$50,-Simulador!$I$51,0)</f>
        <v>0</v>
      </c>
      <c r="ED41" s="62">
        <f>IF(ED1&lt;=Simulador!$I$50,-Simulador!$I$51,0)</f>
        <v>0</v>
      </c>
      <c r="EE41" s="46"/>
    </row>
    <row r="42" spans="1:135" ht="12.5" x14ac:dyDescent="0.25">
      <c r="A42" s="26"/>
      <c r="B42" s="46" t="s">
        <v>53</v>
      </c>
      <c r="C42" s="26"/>
      <c r="D42" s="62">
        <f t="shared" ref="D42:H42" si="57">SUMIFS($O42:$BV42,$O$4:$BV$4,D$3)</f>
        <v>0</v>
      </c>
      <c r="E42" s="62">
        <f t="shared" si="57"/>
        <v>0</v>
      </c>
      <c r="F42" s="62">
        <f t="shared" si="57"/>
        <v>0</v>
      </c>
      <c r="G42" s="62">
        <f t="shared" si="57"/>
        <v>0</v>
      </c>
      <c r="H42" s="62">
        <f t="shared" si="57"/>
        <v>0</v>
      </c>
      <c r="I42" s="62">
        <f t="shared" ref="I42:M42" si="58">SUMIFS($O42:$ED42,$O$4:$ED$4,I$3)</f>
        <v>0</v>
      </c>
      <c r="J42" s="62">
        <f t="shared" si="58"/>
        <v>0</v>
      </c>
      <c r="K42" s="62">
        <f t="shared" si="58"/>
        <v>0</v>
      </c>
      <c r="L42" s="62">
        <f t="shared" si="58"/>
        <v>0</v>
      </c>
      <c r="M42" s="62">
        <f t="shared" si="58"/>
        <v>0</v>
      </c>
      <c r="N42" s="26"/>
      <c r="O42" s="68">
        <f>-Simulador!$I$58</f>
        <v>0</v>
      </c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26"/>
    </row>
    <row r="43" spans="1:135" ht="12.5" x14ac:dyDescent="0.25">
      <c r="A43" s="26"/>
      <c r="B43" s="46" t="s">
        <v>209</v>
      </c>
      <c r="C43" s="26"/>
      <c r="D43" s="68">
        <f t="shared" ref="D43:H43" si="59">SUMIFS($O43:$BV43,$O$4:$BV$4,D$3)</f>
        <v>0</v>
      </c>
      <c r="E43" s="68">
        <f t="shared" si="59"/>
        <v>0</v>
      </c>
      <c r="F43" s="68">
        <f t="shared" si="59"/>
        <v>0</v>
      </c>
      <c r="G43" s="68">
        <f t="shared" si="59"/>
        <v>0</v>
      </c>
      <c r="H43" s="68">
        <f t="shared" si="59"/>
        <v>0</v>
      </c>
      <c r="I43" s="68">
        <f t="shared" ref="I43:M43" si="60">SUMIFS($O43:$ED43,$O$4:$ED$4,I$3)</f>
        <v>0</v>
      </c>
      <c r="J43" s="68">
        <f t="shared" si="60"/>
        <v>0</v>
      </c>
      <c r="K43" s="68">
        <f t="shared" si="60"/>
        <v>0</v>
      </c>
      <c r="L43" s="68">
        <f t="shared" si="60"/>
        <v>0</v>
      </c>
      <c r="M43" s="68">
        <f t="shared" si="60"/>
        <v>0</v>
      </c>
      <c r="N43" s="26"/>
      <c r="O43" s="68">
        <v>0</v>
      </c>
      <c r="P43" s="68">
        <f>IF(AND(P1&lt;=Simulador!$I$8,MOD(P1-1,12)+1=Simulador!$I$55),-Simulador!$I$56,0)</f>
        <v>0</v>
      </c>
      <c r="Q43" s="68">
        <f>IF(AND(Q1&lt;=Simulador!$I$8,MOD(Q1-1,12)+1=Simulador!$I$55),-Simulador!$I$56,0)</f>
        <v>0</v>
      </c>
      <c r="R43" s="68">
        <f>IF(AND(R1&lt;=Simulador!$I$8,MOD(R1-1,12)+1=Simulador!$I$55),-Simulador!$I$56,0)</f>
        <v>0</v>
      </c>
      <c r="S43" s="68">
        <f>IF(AND(S1&lt;=Simulador!$I$8,MOD(S1-1,12)+1=Simulador!$I$55),-Simulador!$I$56,0)</f>
        <v>0</v>
      </c>
      <c r="T43" s="68">
        <f>IF(AND(T1&lt;=Simulador!$I$8,MOD(T1-1,12)+1=Simulador!$I$55),-Simulador!$I$56,0)</f>
        <v>0</v>
      </c>
      <c r="U43" s="68">
        <f>IF(AND(U1&lt;=Simulador!$I$8,MOD(U1-1,12)+1=Simulador!$I$55),-Simulador!$I$56,0)</f>
        <v>0</v>
      </c>
      <c r="V43" s="68">
        <f>IF(AND(V1&lt;=Simulador!$I$8,MOD(V1-1,12)+1=Simulador!$I$55),-Simulador!$I$56,0)</f>
        <v>0</v>
      </c>
      <c r="W43" s="68">
        <f>IF(AND(W1&lt;=Simulador!$I$8,MOD(W1-1,12)+1=Simulador!$I$55),-Simulador!$I$56,0)</f>
        <v>0</v>
      </c>
      <c r="X43" s="68">
        <f>IF(AND(X1&lt;=Simulador!$I$8,MOD(X1-1,12)+1=Simulador!$I$55),-Simulador!$I$56,0)</f>
        <v>0</v>
      </c>
      <c r="Y43" s="68">
        <f>IF(AND(Y1&lt;=Simulador!$I$8,MOD(Y1-1,12)+1=Simulador!$I$55),-Simulador!$I$56,0)</f>
        <v>0</v>
      </c>
      <c r="Z43" s="68">
        <f>IF(AND(Z1&lt;=Simulador!$I$8,MOD(Z1-1,12)+1=Simulador!$I$55),-Simulador!$I$56,0)</f>
        <v>0</v>
      </c>
      <c r="AA43" s="68">
        <f>IF(AND(AA1&lt;=Simulador!$I$8,MOD(AA1-1,12)+1=Simulador!$I$55),-Simulador!$I$56,0)</f>
        <v>0</v>
      </c>
      <c r="AB43" s="68">
        <f>IF(AND(AB1&lt;=Simulador!$I$8,MOD(AB1-1,12)+1=Simulador!$I$55),-Simulador!$I$56,0)</f>
        <v>0</v>
      </c>
      <c r="AC43" s="68">
        <f>IF(AND(AC1&lt;=Simulador!$I$8,MOD(AC1-1,12)+1=Simulador!$I$55),-Simulador!$I$56,0)</f>
        <v>0</v>
      </c>
      <c r="AD43" s="68">
        <f>IF(AND(AD1&lt;=Simulador!$I$8,MOD(AD1-1,12)+1=Simulador!$I$55),-Simulador!$I$56,0)</f>
        <v>0</v>
      </c>
      <c r="AE43" s="68">
        <f>IF(AND(AE1&lt;=Simulador!$I$8,MOD(AE1-1,12)+1=Simulador!$I$55),-Simulador!$I$56,0)</f>
        <v>0</v>
      </c>
      <c r="AF43" s="68">
        <f>IF(AND(AF1&lt;=Simulador!$I$8,MOD(AF1-1,12)+1=Simulador!$I$55),-Simulador!$I$56,0)</f>
        <v>0</v>
      </c>
      <c r="AG43" s="68">
        <f>IF(AND(AG1&lt;=Simulador!$I$8,MOD(AG1-1,12)+1=Simulador!$I$55),-Simulador!$I$56,0)</f>
        <v>0</v>
      </c>
      <c r="AH43" s="68">
        <f>IF(AND(AH1&lt;=Simulador!$I$8,MOD(AH1-1,12)+1=Simulador!$I$55),-Simulador!$I$56,0)</f>
        <v>0</v>
      </c>
      <c r="AI43" s="68">
        <f>IF(AND(AI1&lt;=Simulador!$I$8,MOD(AI1-1,12)+1=Simulador!$I$55),-Simulador!$I$56,0)</f>
        <v>0</v>
      </c>
      <c r="AJ43" s="68">
        <f>IF(AND(AJ1&lt;=Simulador!$I$8,MOD(AJ1-1,12)+1=Simulador!$I$55),-Simulador!$I$56,0)</f>
        <v>0</v>
      </c>
      <c r="AK43" s="68">
        <f>IF(AND(AK1&lt;=Simulador!$I$8,MOD(AK1-1,12)+1=Simulador!$I$55),-Simulador!$I$56,0)</f>
        <v>0</v>
      </c>
      <c r="AL43" s="68">
        <f>IF(AND(AL1&lt;=Simulador!$I$8,MOD(AL1-1,12)+1=Simulador!$I$55),-Simulador!$I$56,0)</f>
        <v>0</v>
      </c>
      <c r="AM43" s="68">
        <f>IF(AND(AM1&lt;=Simulador!$I$8,MOD(AM1-1,12)+1=Simulador!$I$55),-Simulador!$I$56,0)</f>
        <v>0</v>
      </c>
      <c r="AN43" s="68">
        <f>IF(AND(AN1&lt;=Simulador!$I$8,MOD(AN1-1,12)+1=Simulador!$I$55),-Simulador!$I$56,0)</f>
        <v>0</v>
      </c>
      <c r="AO43" s="68">
        <f>IF(AND(AO1&lt;=Simulador!$I$8,MOD(AO1-1,12)+1=Simulador!$I$55),-Simulador!$I$56,0)</f>
        <v>0</v>
      </c>
      <c r="AP43" s="68">
        <f>IF(AND(AP1&lt;=Simulador!$I$8,MOD(AP1-1,12)+1=Simulador!$I$55),-Simulador!$I$56,0)</f>
        <v>0</v>
      </c>
      <c r="AQ43" s="68">
        <f>IF(AND(AQ1&lt;=Simulador!$I$8,MOD(AQ1-1,12)+1=Simulador!$I$55),-Simulador!$I$56,0)</f>
        <v>0</v>
      </c>
      <c r="AR43" s="68">
        <f>IF(AND(AR1&lt;=Simulador!$I$8,MOD(AR1-1,12)+1=Simulador!$I$55),-Simulador!$I$56,0)</f>
        <v>0</v>
      </c>
      <c r="AS43" s="68">
        <f>IF(AND(AS1&lt;=Simulador!$I$8,MOD(AS1-1,12)+1=Simulador!$I$55),-Simulador!$I$56,0)</f>
        <v>0</v>
      </c>
      <c r="AT43" s="68">
        <f>IF(AND(AT1&lt;=Simulador!$I$8,MOD(AT1-1,12)+1=Simulador!$I$55),-Simulador!$I$56,0)</f>
        <v>0</v>
      </c>
      <c r="AU43" s="68">
        <f>IF(AND(AU1&lt;=Simulador!$I$8,MOD(AU1-1,12)+1=Simulador!$I$55),-Simulador!$I$56,0)</f>
        <v>0</v>
      </c>
      <c r="AV43" s="68">
        <f>IF(AND(AV1&lt;=Simulador!$I$8,MOD(AV1-1,12)+1=Simulador!$I$55),-Simulador!$I$56,0)</f>
        <v>0</v>
      </c>
      <c r="AW43" s="68">
        <f>IF(AND(AW1&lt;=Simulador!$I$8,MOD(AW1-1,12)+1=Simulador!$I$55),-Simulador!$I$56,0)</f>
        <v>0</v>
      </c>
      <c r="AX43" s="68">
        <f>IF(AND(AX1&lt;=Simulador!$I$8,MOD(AX1-1,12)+1=Simulador!$I$55),-Simulador!$I$56,0)</f>
        <v>0</v>
      </c>
      <c r="AY43" s="68">
        <f>IF(AND(AY1&lt;=Simulador!$I$8,MOD(AY1-1,12)+1=Simulador!$I$55),-Simulador!$I$56,0)</f>
        <v>0</v>
      </c>
      <c r="AZ43" s="68">
        <f>IF(AND(AZ1&lt;=Simulador!$I$8,MOD(AZ1-1,12)+1=Simulador!$I$55),-Simulador!$I$56,0)</f>
        <v>0</v>
      </c>
      <c r="BA43" s="68">
        <f>IF(AND(BA1&lt;=Simulador!$I$8,MOD(BA1-1,12)+1=Simulador!$I$55),-Simulador!$I$56,0)</f>
        <v>0</v>
      </c>
      <c r="BB43" s="68">
        <f>IF(AND(BB1&lt;=Simulador!$I$8,MOD(BB1-1,12)+1=Simulador!$I$55),-Simulador!$I$56,0)</f>
        <v>0</v>
      </c>
      <c r="BC43" s="68">
        <f>IF(AND(BC1&lt;=Simulador!$I$8,MOD(BC1-1,12)+1=Simulador!$I$55),-Simulador!$I$56,0)</f>
        <v>0</v>
      </c>
      <c r="BD43" s="68">
        <f>IF(AND(BD1&lt;=Simulador!$I$8,MOD(BD1-1,12)+1=Simulador!$I$55),-Simulador!$I$56,0)</f>
        <v>0</v>
      </c>
      <c r="BE43" s="68">
        <f>IF(AND(BE1&lt;=Simulador!$I$8,MOD(BE1-1,12)+1=Simulador!$I$55),-Simulador!$I$56,0)</f>
        <v>0</v>
      </c>
      <c r="BF43" s="68">
        <f>IF(AND(BF1&lt;=Simulador!$I$8,MOD(BF1-1,12)+1=Simulador!$I$55),-Simulador!$I$56,0)</f>
        <v>0</v>
      </c>
      <c r="BG43" s="68">
        <f>IF(AND(BG1&lt;=Simulador!$I$8,MOD(BG1-1,12)+1=Simulador!$I$55),-Simulador!$I$56,0)</f>
        <v>0</v>
      </c>
      <c r="BH43" s="68">
        <f>IF(AND(BH1&lt;=Simulador!$I$8,MOD(BH1-1,12)+1=Simulador!$I$55),-Simulador!$I$56,0)</f>
        <v>0</v>
      </c>
      <c r="BI43" s="68">
        <f>IF(AND(BI1&lt;=Simulador!$I$8,MOD(BI1-1,12)+1=Simulador!$I$55),-Simulador!$I$56,0)</f>
        <v>0</v>
      </c>
      <c r="BJ43" s="68">
        <f>IF(AND(BJ1&lt;=Simulador!$I$8,MOD(BJ1-1,12)+1=Simulador!$I$55),-Simulador!$I$56,0)</f>
        <v>0</v>
      </c>
      <c r="BK43" s="68">
        <f>IF(AND(BK1&lt;=Simulador!$I$8,MOD(BK1-1,12)+1=Simulador!$I$55),-Simulador!$I$56,0)</f>
        <v>0</v>
      </c>
      <c r="BL43" s="68">
        <f>IF(AND(BL1&lt;=Simulador!$I$8,MOD(BL1-1,12)+1=Simulador!$I$55),-Simulador!$I$56,0)</f>
        <v>0</v>
      </c>
      <c r="BM43" s="68">
        <f>IF(AND(BM1&lt;=Simulador!$I$8,MOD(BM1-1,12)+1=Simulador!$I$55),-Simulador!$I$56,0)</f>
        <v>0</v>
      </c>
      <c r="BN43" s="68">
        <f>IF(AND(BN1&lt;=Simulador!$I$8,MOD(BN1-1,12)+1=Simulador!$I$55),-Simulador!$I$56,0)</f>
        <v>0</v>
      </c>
      <c r="BO43" s="68">
        <f>IF(AND(BO1&lt;=Simulador!$I$8,MOD(BO1-1,12)+1=Simulador!$I$55),-Simulador!$I$56,0)</f>
        <v>0</v>
      </c>
      <c r="BP43" s="68">
        <f>IF(AND(BP1&lt;=Simulador!$I$8,MOD(BP1-1,12)+1=Simulador!$I$55),-Simulador!$I$56,0)</f>
        <v>0</v>
      </c>
      <c r="BQ43" s="68">
        <f>IF(AND(BQ1&lt;=Simulador!$I$8,MOD(BQ1-1,12)+1=Simulador!$I$55),-Simulador!$I$56,0)</f>
        <v>0</v>
      </c>
      <c r="BR43" s="68">
        <f>IF(AND(BR1&lt;=Simulador!$I$8,MOD(BR1-1,12)+1=Simulador!$I$55),-Simulador!$I$56,0)</f>
        <v>0</v>
      </c>
      <c r="BS43" s="68">
        <f>IF(AND(BS1&lt;=Simulador!$I$8,MOD(BS1-1,12)+1=Simulador!$I$55),-Simulador!$I$56,0)</f>
        <v>0</v>
      </c>
      <c r="BT43" s="68">
        <f>IF(AND(BT1&lt;=Simulador!$I$8,MOD(BT1-1,12)+1=Simulador!$I$55),-Simulador!$I$56,0)</f>
        <v>0</v>
      </c>
      <c r="BU43" s="68">
        <f>IF(AND(BU1&lt;=Simulador!$I$8,MOD(BU1-1,12)+1=Simulador!$I$55),-Simulador!$I$56,0)</f>
        <v>0</v>
      </c>
      <c r="BV43" s="68">
        <f>IF(AND(BV1&lt;=Simulador!$I$8,MOD(BV1-1,12)+1=Simulador!$I$55),-Simulador!$I$56,0)</f>
        <v>0</v>
      </c>
      <c r="BW43" s="68">
        <f>IF(AND(BW1&lt;=Simulador!$I$8,MOD(BW1-1,12)+1=Simulador!$I$55),-Simulador!$I$56,0)</f>
        <v>0</v>
      </c>
      <c r="BX43" s="68">
        <f>IF(AND(BX1&lt;=Simulador!$I$8,MOD(BX1-1,12)+1=Simulador!$I$55),-Simulador!$I$56,0)</f>
        <v>0</v>
      </c>
      <c r="BY43" s="68">
        <f>IF(AND(BY1&lt;=Simulador!$I$8,MOD(BY1-1,12)+1=Simulador!$I$55),-Simulador!$I$56,0)</f>
        <v>0</v>
      </c>
      <c r="BZ43" s="68">
        <f>IF(AND(BZ1&lt;=Simulador!$I$8,MOD(BZ1-1,12)+1=Simulador!$I$55),-Simulador!$I$56,0)</f>
        <v>0</v>
      </c>
      <c r="CA43" s="68">
        <f>IF(AND(CA1&lt;=Simulador!$I$8,MOD(CA1-1,12)+1=Simulador!$I$55),-Simulador!$I$56,0)</f>
        <v>0</v>
      </c>
      <c r="CB43" s="68">
        <f>IF(AND(CB1&lt;=Simulador!$I$8,MOD(CB1-1,12)+1=Simulador!$I$55),-Simulador!$I$56,0)</f>
        <v>0</v>
      </c>
      <c r="CC43" s="68">
        <f>IF(AND(CC1&lt;=Simulador!$I$8,MOD(CC1-1,12)+1=Simulador!$I$55),-Simulador!$I$56,0)</f>
        <v>0</v>
      </c>
      <c r="CD43" s="68">
        <f>IF(AND(CD1&lt;=Simulador!$I$8,MOD(CD1-1,12)+1=Simulador!$I$55),-Simulador!$I$56,0)</f>
        <v>0</v>
      </c>
      <c r="CE43" s="68">
        <f>IF(AND(CE1&lt;=Simulador!$I$8,MOD(CE1-1,12)+1=Simulador!$I$55),-Simulador!$I$56,0)</f>
        <v>0</v>
      </c>
      <c r="CF43" s="68">
        <f>IF(AND(CF1&lt;=Simulador!$I$8,MOD(CF1-1,12)+1=Simulador!$I$55),-Simulador!$I$56,0)</f>
        <v>0</v>
      </c>
      <c r="CG43" s="68">
        <f>IF(AND(CG1&lt;=Simulador!$I$8,MOD(CG1-1,12)+1=Simulador!$I$55),-Simulador!$I$56,0)</f>
        <v>0</v>
      </c>
      <c r="CH43" s="68">
        <f>IF(AND(CH1&lt;=Simulador!$I$8,MOD(CH1-1,12)+1=Simulador!$I$55),-Simulador!$I$56,0)</f>
        <v>0</v>
      </c>
      <c r="CI43" s="68">
        <f>IF(AND(CI1&lt;=Simulador!$I$8,MOD(CI1-1,12)+1=Simulador!$I$55),-Simulador!$I$56,0)</f>
        <v>0</v>
      </c>
      <c r="CJ43" s="68">
        <f>IF(AND(CJ1&lt;=Simulador!$I$8,MOD(CJ1-1,12)+1=Simulador!$I$55),-Simulador!$I$56,0)</f>
        <v>0</v>
      </c>
      <c r="CK43" s="68">
        <f>IF(AND(CK1&lt;=Simulador!$I$8,MOD(CK1-1,12)+1=Simulador!$I$55),-Simulador!$I$56,0)</f>
        <v>0</v>
      </c>
      <c r="CL43" s="68">
        <f>IF(AND(CL1&lt;=Simulador!$I$8,MOD(CL1-1,12)+1=Simulador!$I$55),-Simulador!$I$56,0)</f>
        <v>0</v>
      </c>
      <c r="CM43" s="68">
        <f>IF(AND(CM1&lt;=Simulador!$I$8,MOD(CM1-1,12)+1=Simulador!$I$55),-Simulador!$I$56,0)</f>
        <v>0</v>
      </c>
      <c r="CN43" s="68">
        <f>IF(AND(CN1&lt;=Simulador!$I$8,MOD(CN1-1,12)+1=Simulador!$I$55),-Simulador!$I$56,0)</f>
        <v>0</v>
      </c>
      <c r="CO43" s="68">
        <f>IF(AND(CO1&lt;=Simulador!$I$8,MOD(CO1-1,12)+1=Simulador!$I$55),-Simulador!$I$56,0)</f>
        <v>0</v>
      </c>
      <c r="CP43" s="68">
        <f>IF(AND(CP1&lt;=Simulador!$I$8,MOD(CP1-1,12)+1=Simulador!$I$55),-Simulador!$I$56,0)</f>
        <v>0</v>
      </c>
      <c r="CQ43" s="68">
        <f>IF(AND(CQ1&lt;=Simulador!$I$8,MOD(CQ1-1,12)+1=Simulador!$I$55),-Simulador!$I$56,0)</f>
        <v>0</v>
      </c>
      <c r="CR43" s="68">
        <f>IF(AND(CR1&lt;=Simulador!$I$8,MOD(CR1-1,12)+1=Simulador!$I$55),-Simulador!$I$56,0)</f>
        <v>0</v>
      </c>
      <c r="CS43" s="68">
        <f>IF(AND(CS1&lt;=Simulador!$I$8,MOD(CS1-1,12)+1=Simulador!$I$55),-Simulador!$I$56,0)</f>
        <v>0</v>
      </c>
      <c r="CT43" s="68">
        <f>IF(AND(CT1&lt;=Simulador!$I$8,MOD(CT1-1,12)+1=Simulador!$I$55),-Simulador!$I$56,0)</f>
        <v>0</v>
      </c>
      <c r="CU43" s="68">
        <f>IF(AND(CU1&lt;=Simulador!$I$8,MOD(CU1-1,12)+1=Simulador!$I$55),-Simulador!$I$56,0)</f>
        <v>0</v>
      </c>
      <c r="CV43" s="68">
        <f>IF(AND(CV1&lt;=Simulador!$I$8,MOD(CV1-1,12)+1=Simulador!$I$55),-Simulador!$I$56,0)</f>
        <v>0</v>
      </c>
      <c r="CW43" s="68">
        <f>IF(AND(CW1&lt;=Simulador!$I$8,MOD(CW1-1,12)+1=Simulador!$I$55),-Simulador!$I$56,0)</f>
        <v>0</v>
      </c>
      <c r="CX43" s="68">
        <f>IF(AND(CX1&lt;=Simulador!$I$8,MOD(CX1-1,12)+1=Simulador!$I$55),-Simulador!$I$56,0)</f>
        <v>0</v>
      </c>
      <c r="CY43" s="68">
        <f>IF(AND(CY1&lt;=Simulador!$I$8,MOD(CY1-1,12)+1=Simulador!$I$55),-Simulador!$I$56,0)</f>
        <v>0</v>
      </c>
      <c r="CZ43" s="68">
        <f>IF(AND(CZ1&lt;=Simulador!$I$8,MOD(CZ1-1,12)+1=Simulador!$I$55),-Simulador!$I$56,0)</f>
        <v>0</v>
      </c>
      <c r="DA43" s="68">
        <f>IF(AND(DA1&lt;=Simulador!$I$8,MOD(DA1-1,12)+1=Simulador!$I$55),-Simulador!$I$56,0)</f>
        <v>0</v>
      </c>
      <c r="DB43" s="68">
        <f>IF(AND(DB1&lt;=Simulador!$I$8,MOD(DB1-1,12)+1=Simulador!$I$55),-Simulador!$I$56,0)</f>
        <v>0</v>
      </c>
      <c r="DC43" s="68">
        <f>IF(AND(DC1&lt;=Simulador!$I$8,MOD(DC1-1,12)+1=Simulador!$I$55),-Simulador!$I$56,0)</f>
        <v>0</v>
      </c>
      <c r="DD43" s="68">
        <f>IF(AND(DD1&lt;=Simulador!$I$8,MOD(DD1-1,12)+1=Simulador!$I$55),-Simulador!$I$56,0)</f>
        <v>0</v>
      </c>
      <c r="DE43" s="68">
        <f>IF(AND(DE1&lt;=Simulador!$I$8,MOD(DE1-1,12)+1=Simulador!$I$55),-Simulador!$I$56,0)</f>
        <v>0</v>
      </c>
      <c r="DF43" s="68">
        <f>IF(AND(DF1&lt;=Simulador!$I$8,MOD(DF1-1,12)+1=Simulador!$I$55),-Simulador!$I$56,0)</f>
        <v>0</v>
      </c>
      <c r="DG43" s="68">
        <f>IF(AND(DG1&lt;=Simulador!$I$8,MOD(DG1-1,12)+1=Simulador!$I$55),-Simulador!$I$56,0)</f>
        <v>0</v>
      </c>
      <c r="DH43" s="68">
        <f>IF(AND(DH1&lt;=Simulador!$I$8,MOD(DH1-1,12)+1=Simulador!$I$55),-Simulador!$I$56,0)</f>
        <v>0</v>
      </c>
      <c r="DI43" s="68">
        <f>IF(AND(DI1&lt;=Simulador!$I$8,MOD(DI1-1,12)+1=Simulador!$I$55),-Simulador!$I$56,0)</f>
        <v>0</v>
      </c>
      <c r="DJ43" s="68">
        <f>IF(AND(DJ1&lt;=Simulador!$I$8,MOD(DJ1-1,12)+1=Simulador!$I$55),-Simulador!$I$56,0)</f>
        <v>0</v>
      </c>
      <c r="DK43" s="68">
        <f>IF(AND(DK1&lt;=Simulador!$I$8,MOD(DK1-1,12)+1=Simulador!$I$55),-Simulador!$I$56,0)</f>
        <v>0</v>
      </c>
      <c r="DL43" s="68">
        <f>IF(AND(DL1&lt;=Simulador!$I$8,MOD(DL1-1,12)+1=Simulador!$I$55),-Simulador!$I$56,0)</f>
        <v>0</v>
      </c>
      <c r="DM43" s="68">
        <f>IF(AND(DM1&lt;=Simulador!$I$8,MOD(DM1-1,12)+1=Simulador!$I$55),-Simulador!$I$56,0)</f>
        <v>0</v>
      </c>
      <c r="DN43" s="68">
        <f>IF(AND(DN1&lt;=Simulador!$I$8,MOD(DN1-1,12)+1=Simulador!$I$55),-Simulador!$I$56,0)</f>
        <v>0</v>
      </c>
      <c r="DO43" s="68">
        <f>IF(AND(DO1&lt;=Simulador!$I$8,MOD(DO1-1,12)+1=Simulador!$I$55),-Simulador!$I$56,0)</f>
        <v>0</v>
      </c>
      <c r="DP43" s="68">
        <f>IF(AND(DP1&lt;=Simulador!$I$8,MOD(DP1-1,12)+1=Simulador!$I$55),-Simulador!$I$56,0)</f>
        <v>0</v>
      </c>
      <c r="DQ43" s="68">
        <f>IF(AND(DQ1&lt;=Simulador!$I$8,MOD(DQ1-1,12)+1=Simulador!$I$55),-Simulador!$I$56,0)</f>
        <v>0</v>
      </c>
      <c r="DR43" s="68">
        <f>IF(AND(DR1&lt;=Simulador!$I$8,MOD(DR1-1,12)+1=Simulador!$I$55),-Simulador!$I$56,0)</f>
        <v>0</v>
      </c>
      <c r="DS43" s="68">
        <f>IF(AND(DS1&lt;=Simulador!$I$8,MOD(DS1-1,12)+1=Simulador!$I$55),-Simulador!$I$56,0)</f>
        <v>0</v>
      </c>
      <c r="DT43" s="68">
        <f>IF(AND(DT1&lt;=Simulador!$I$8,MOD(DT1-1,12)+1=Simulador!$I$55),-Simulador!$I$56,0)</f>
        <v>0</v>
      </c>
      <c r="DU43" s="68">
        <f>IF(AND(DU1&lt;=Simulador!$I$8,MOD(DU1-1,12)+1=Simulador!$I$55),-Simulador!$I$56,0)</f>
        <v>0</v>
      </c>
      <c r="DV43" s="68">
        <f>IF(AND(DV1&lt;=Simulador!$I$8,MOD(DV1-1,12)+1=Simulador!$I$55),-Simulador!$I$56,0)</f>
        <v>0</v>
      </c>
      <c r="DW43" s="68">
        <f>IF(AND(DW1&lt;=Simulador!$I$8,MOD(DW1-1,12)+1=Simulador!$I$55),-Simulador!$I$56,0)</f>
        <v>0</v>
      </c>
      <c r="DX43" s="68">
        <f>IF(AND(DX1&lt;=Simulador!$I$8,MOD(DX1-1,12)+1=Simulador!$I$55),-Simulador!$I$56,0)</f>
        <v>0</v>
      </c>
      <c r="DY43" s="68">
        <f>IF(AND(DY1&lt;=Simulador!$I$8,MOD(DY1-1,12)+1=Simulador!$I$55),-Simulador!$I$56,0)</f>
        <v>0</v>
      </c>
      <c r="DZ43" s="68">
        <f>IF(AND(DZ1&lt;=Simulador!$I$8,MOD(DZ1-1,12)+1=Simulador!$I$55),-Simulador!$I$56,0)</f>
        <v>0</v>
      </c>
      <c r="EA43" s="68">
        <f>IF(AND(EA1&lt;=Simulador!$I$8,MOD(EA1-1,12)+1=Simulador!$I$55),-Simulador!$I$56,0)</f>
        <v>0</v>
      </c>
      <c r="EB43" s="68">
        <f>IF(AND(EB1&lt;=Simulador!$I$8,MOD(EB1-1,12)+1=Simulador!$I$55),-Simulador!$I$56,0)</f>
        <v>0</v>
      </c>
      <c r="EC43" s="68">
        <f>IF(AND(EC1&lt;=Simulador!$I$8,MOD(EC1-1,12)+1=Simulador!$I$55),-Simulador!$I$56,0)</f>
        <v>0</v>
      </c>
      <c r="ED43" s="68">
        <f>IF(AND(ED1&lt;=Simulador!$I$8,MOD(ED1-1,12)+1=Simulador!$I$55),-Simulador!$I$56,0)</f>
        <v>0</v>
      </c>
      <c r="EE43" s="26"/>
    </row>
    <row r="44" spans="1:135" ht="12.5" x14ac:dyDescent="0.25">
      <c r="A44" s="26"/>
      <c r="B44" s="46" t="s">
        <v>210</v>
      </c>
      <c r="C44" s="26"/>
      <c r="D44" s="68">
        <f t="shared" ref="D44:H44" si="61">SUMIFS($O44:$BV44,$O$4:$BV$4,D$3)</f>
        <v>0</v>
      </c>
      <c r="E44" s="68">
        <f t="shared" si="61"/>
        <v>0</v>
      </c>
      <c r="F44" s="68">
        <f t="shared" si="61"/>
        <v>0</v>
      </c>
      <c r="G44" s="68">
        <f t="shared" si="61"/>
        <v>0</v>
      </c>
      <c r="H44" s="68">
        <f t="shared" si="61"/>
        <v>0</v>
      </c>
      <c r="I44" s="68">
        <f t="shared" ref="I44:M44" si="62">SUMIFS($O44:$ED44,$O$4:$ED$4,I$3)</f>
        <v>0</v>
      </c>
      <c r="J44" s="68">
        <f t="shared" si="62"/>
        <v>0</v>
      </c>
      <c r="K44" s="68">
        <f t="shared" si="62"/>
        <v>0</v>
      </c>
      <c r="L44" s="68">
        <f t="shared" si="62"/>
        <v>0</v>
      </c>
      <c r="M44" s="68">
        <f t="shared" si="62"/>
        <v>0</v>
      </c>
      <c r="N44" s="26"/>
      <c r="O44" s="68">
        <f>-Simulador!I62</f>
        <v>0</v>
      </c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</row>
    <row r="45" spans="1:135" ht="13" x14ac:dyDescent="0.3">
      <c r="B45" s="38"/>
      <c r="C45" s="53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53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46"/>
    </row>
    <row r="46" spans="1:135" ht="13" x14ac:dyDescent="0.3">
      <c r="B46" s="38" t="s">
        <v>211</v>
      </c>
      <c r="C46" s="53"/>
      <c r="D46" s="67" t="e">
        <f t="shared" ref="D46:H46" si="63">SUMIFS($O46:$BV46,$O$4:$BV$4,D$3)</f>
        <v>#DIV/0!</v>
      </c>
      <c r="E46" s="67" t="e">
        <f t="shared" si="63"/>
        <v>#DIV/0!</v>
      </c>
      <c r="F46" s="67" t="e">
        <f t="shared" si="63"/>
        <v>#DIV/0!</v>
      </c>
      <c r="G46" s="67" t="e">
        <f t="shared" si="63"/>
        <v>#DIV/0!</v>
      </c>
      <c r="H46" s="67" t="e">
        <f t="shared" si="63"/>
        <v>#DIV/0!</v>
      </c>
      <c r="I46" s="67" t="e">
        <f t="shared" ref="I46:M46" si="64">SUMIFS($O46:$ED46,$O$4:$ED$4,I$3)</f>
        <v>#DIV/0!</v>
      </c>
      <c r="J46" s="67" t="e">
        <f t="shared" si="64"/>
        <v>#DIV/0!</v>
      </c>
      <c r="K46" s="67" t="e">
        <f t="shared" si="64"/>
        <v>#DIV/0!</v>
      </c>
      <c r="L46" s="67" t="e">
        <f t="shared" si="64"/>
        <v>#DIV/0!</v>
      </c>
      <c r="M46" s="67" t="e">
        <f t="shared" si="64"/>
        <v>#DIV/0!</v>
      </c>
      <c r="N46" s="53"/>
      <c r="O46" s="67" t="e">
        <f t="shared" ref="O46:EE46" si="65">O29+O31+O38</f>
        <v>#DIV/0!</v>
      </c>
      <c r="P46" s="67" t="e">
        <f t="shared" si="65"/>
        <v>#DIV/0!</v>
      </c>
      <c r="Q46" s="67" t="e">
        <f t="shared" si="65"/>
        <v>#DIV/0!</v>
      </c>
      <c r="R46" s="67" t="e">
        <f t="shared" si="65"/>
        <v>#DIV/0!</v>
      </c>
      <c r="S46" s="67" t="e">
        <f t="shared" si="65"/>
        <v>#DIV/0!</v>
      </c>
      <c r="T46" s="67" t="e">
        <f t="shared" si="65"/>
        <v>#DIV/0!</v>
      </c>
      <c r="U46" s="67" t="e">
        <f t="shared" si="65"/>
        <v>#DIV/0!</v>
      </c>
      <c r="V46" s="67" t="e">
        <f t="shared" si="65"/>
        <v>#DIV/0!</v>
      </c>
      <c r="W46" s="67" t="e">
        <f t="shared" si="65"/>
        <v>#DIV/0!</v>
      </c>
      <c r="X46" s="67" t="e">
        <f t="shared" si="65"/>
        <v>#DIV/0!</v>
      </c>
      <c r="Y46" s="67" t="e">
        <f t="shared" si="65"/>
        <v>#DIV/0!</v>
      </c>
      <c r="Z46" s="67" t="e">
        <f t="shared" si="65"/>
        <v>#DIV/0!</v>
      </c>
      <c r="AA46" s="67" t="e">
        <f t="shared" si="65"/>
        <v>#DIV/0!</v>
      </c>
      <c r="AB46" s="67" t="e">
        <f t="shared" si="65"/>
        <v>#DIV/0!</v>
      </c>
      <c r="AC46" s="67" t="e">
        <f t="shared" si="65"/>
        <v>#DIV/0!</v>
      </c>
      <c r="AD46" s="67" t="e">
        <f t="shared" si="65"/>
        <v>#DIV/0!</v>
      </c>
      <c r="AE46" s="67" t="e">
        <f t="shared" si="65"/>
        <v>#DIV/0!</v>
      </c>
      <c r="AF46" s="67" t="e">
        <f t="shared" si="65"/>
        <v>#DIV/0!</v>
      </c>
      <c r="AG46" s="67" t="e">
        <f t="shared" si="65"/>
        <v>#DIV/0!</v>
      </c>
      <c r="AH46" s="67" t="e">
        <f t="shared" si="65"/>
        <v>#DIV/0!</v>
      </c>
      <c r="AI46" s="67" t="e">
        <f t="shared" si="65"/>
        <v>#DIV/0!</v>
      </c>
      <c r="AJ46" s="67" t="e">
        <f t="shared" si="65"/>
        <v>#DIV/0!</v>
      </c>
      <c r="AK46" s="67" t="e">
        <f t="shared" si="65"/>
        <v>#DIV/0!</v>
      </c>
      <c r="AL46" s="67" t="e">
        <f t="shared" si="65"/>
        <v>#DIV/0!</v>
      </c>
      <c r="AM46" s="67" t="e">
        <f t="shared" si="65"/>
        <v>#DIV/0!</v>
      </c>
      <c r="AN46" s="67" t="e">
        <f t="shared" si="65"/>
        <v>#DIV/0!</v>
      </c>
      <c r="AO46" s="67" t="e">
        <f t="shared" si="65"/>
        <v>#DIV/0!</v>
      </c>
      <c r="AP46" s="67" t="e">
        <f t="shared" si="65"/>
        <v>#DIV/0!</v>
      </c>
      <c r="AQ46" s="67" t="e">
        <f t="shared" si="65"/>
        <v>#DIV/0!</v>
      </c>
      <c r="AR46" s="67" t="e">
        <f t="shared" si="65"/>
        <v>#DIV/0!</v>
      </c>
      <c r="AS46" s="67" t="e">
        <f t="shared" si="65"/>
        <v>#DIV/0!</v>
      </c>
      <c r="AT46" s="67" t="e">
        <f t="shared" si="65"/>
        <v>#DIV/0!</v>
      </c>
      <c r="AU46" s="67" t="e">
        <f t="shared" si="65"/>
        <v>#DIV/0!</v>
      </c>
      <c r="AV46" s="67" t="e">
        <f t="shared" si="65"/>
        <v>#DIV/0!</v>
      </c>
      <c r="AW46" s="67" t="e">
        <f t="shared" si="65"/>
        <v>#DIV/0!</v>
      </c>
      <c r="AX46" s="67" t="e">
        <f t="shared" si="65"/>
        <v>#DIV/0!</v>
      </c>
      <c r="AY46" s="67" t="e">
        <f t="shared" si="65"/>
        <v>#DIV/0!</v>
      </c>
      <c r="AZ46" s="67" t="e">
        <f t="shared" si="65"/>
        <v>#DIV/0!</v>
      </c>
      <c r="BA46" s="67" t="e">
        <f t="shared" si="65"/>
        <v>#DIV/0!</v>
      </c>
      <c r="BB46" s="67" t="e">
        <f t="shared" si="65"/>
        <v>#DIV/0!</v>
      </c>
      <c r="BC46" s="67" t="e">
        <f t="shared" si="65"/>
        <v>#DIV/0!</v>
      </c>
      <c r="BD46" s="67" t="e">
        <f t="shared" si="65"/>
        <v>#DIV/0!</v>
      </c>
      <c r="BE46" s="67" t="e">
        <f t="shared" si="65"/>
        <v>#DIV/0!</v>
      </c>
      <c r="BF46" s="67" t="e">
        <f t="shared" si="65"/>
        <v>#DIV/0!</v>
      </c>
      <c r="BG46" s="67" t="e">
        <f t="shared" si="65"/>
        <v>#DIV/0!</v>
      </c>
      <c r="BH46" s="67" t="e">
        <f t="shared" si="65"/>
        <v>#DIV/0!</v>
      </c>
      <c r="BI46" s="67" t="e">
        <f t="shared" si="65"/>
        <v>#DIV/0!</v>
      </c>
      <c r="BJ46" s="67" t="e">
        <f t="shared" si="65"/>
        <v>#DIV/0!</v>
      </c>
      <c r="BK46" s="67" t="e">
        <f t="shared" si="65"/>
        <v>#DIV/0!</v>
      </c>
      <c r="BL46" s="67" t="e">
        <f t="shared" si="65"/>
        <v>#DIV/0!</v>
      </c>
      <c r="BM46" s="67" t="e">
        <f t="shared" si="65"/>
        <v>#DIV/0!</v>
      </c>
      <c r="BN46" s="67" t="e">
        <f t="shared" si="65"/>
        <v>#DIV/0!</v>
      </c>
      <c r="BO46" s="67" t="e">
        <f t="shared" si="65"/>
        <v>#DIV/0!</v>
      </c>
      <c r="BP46" s="67" t="e">
        <f t="shared" si="65"/>
        <v>#DIV/0!</v>
      </c>
      <c r="BQ46" s="67" t="e">
        <f t="shared" si="65"/>
        <v>#DIV/0!</v>
      </c>
      <c r="BR46" s="67" t="e">
        <f t="shared" si="65"/>
        <v>#DIV/0!</v>
      </c>
      <c r="BS46" s="67" t="e">
        <f t="shared" si="65"/>
        <v>#DIV/0!</v>
      </c>
      <c r="BT46" s="67" t="e">
        <f t="shared" si="65"/>
        <v>#DIV/0!</v>
      </c>
      <c r="BU46" s="67" t="e">
        <f t="shared" si="65"/>
        <v>#DIV/0!</v>
      </c>
      <c r="BV46" s="67" t="e">
        <f t="shared" si="65"/>
        <v>#DIV/0!</v>
      </c>
      <c r="BW46" s="67" t="e">
        <f t="shared" si="65"/>
        <v>#DIV/0!</v>
      </c>
      <c r="BX46" s="67" t="e">
        <f t="shared" si="65"/>
        <v>#DIV/0!</v>
      </c>
      <c r="BY46" s="67" t="e">
        <f t="shared" si="65"/>
        <v>#DIV/0!</v>
      </c>
      <c r="BZ46" s="67" t="e">
        <f t="shared" si="65"/>
        <v>#DIV/0!</v>
      </c>
      <c r="CA46" s="67" t="e">
        <f t="shared" si="65"/>
        <v>#DIV/0!</v>
      </c>
      <c r="CB46" s="67" t="e">
        <f t="shared" si="65"/>
        <v>#DIV/0!</v>
      </c>
      <c r="CC46" s="67" t="e">
        <f t="shared" si="65"/>
        <v>#DIV/0!</v>
      </c>
      <c r="CD46" s="67" t="e">
        <f t="shared" si="65"/>
        <v>#DIV/0!</v>
      </c>
      <c r="CE46" s="67" t="e">
        <f t="shared" si="65"/>
        <v>#DIV/0!</v>
      </c>
      <c r="CF46" s="67" t="e">
        <f t="shared" si="65"/>
        <v>#DIV/0!</v>
      </c>
      <c r="CG46" s="67" t="e">
        <f t="shared" si="65"/>
        <v>#DIV/0!</v>
      </c>
      <c r="CH46" s="67" t="e">
        <f t="shared" si="65"/>
        <v>#DIV/0!</v>
      </c>
      <c r="CI46" s="67" t="e">
        <f t="shared" si="65"/>
        <v>#DIV/0!</v>
      </c>
      <c r="CJ46" s="67" t="e">
        <f t="shared" si="65"/>
        <v>#DIV/0!</v>
      </c>
      <c r="CK46" s="67" t="e">
        <f t="shared" si="65"/>
        <v>#DIV/0!</v>
      </c>
      <c r="CL46" s="67" t="e">
        <f t="shared" si="65"/>
        <v>#DIV/0!</v>
      </c>
      <c r="CM46" s="67" t="e">
        <f t="shared" si="65"/>
        <v>#DIV/0!</v>
      </c>
      <c r="CN46" s="67" t="e">
        <f t="shared" si="65"/>
        <v>#DIV/0!</v>
      </c>
      <c r="CO46" s="67" t="e">
        <f t="shared" si="65"/>
        <v>#DIV/0!</v>
      </c>
      <c r="CP46" s="67" t="e">
        <f t="shared" si="65"/>
        <v>#DIV/0!</v>
      </c>
      <c r="CQ46" s="67" t="e">
        <f t="shared" si="65"/>
        <v>#DIV/0!</v>
      </c>
      <c r="CR46" s="67" t="e">
        <f t="shared" si="65"/>
        <v>#DIV/0!</v>
      </c>
      <c r="CS46" s="67" t="e">
        <f t="shared" si="65"/>
        <v>#DIV/0!</v>
      </c>
      <c r="CT46" s="67" t="e">
        <f t="shared" si="65"/>
        <v>#DIV/0!</v>
      </c>
      <c r="CU46" s="67" t="e">
        <f t="shared" si="65"/>
        <v>#DIV/0!</v>
      </c>
      <c r="CV46" s="67" t="e">
        <f t="shared" si="65"/>
        <v>#DIV/0!</v>
      </c>
      <c r="CW46" s="67" t="e">
        <f t="shared" si="65"/>
        <v>#DIV/0!</v>
      </c>
      <c r="CX46" s="67" t="e">
        <f t="shared" si="65"/>
        <v>#DIV/0!</v>
      </c>
      <c r="CY46" s="67" t="e">
        <f t="shared" si="65"/>
        <v>#DIV/0!</v>
      </c>
      <c r="CZ46" s="67" t="e">
        <f t="shared" si="65"/>
        <v>#DIV/0!</v>
      </c>
      <c r="DA46" s="67" t="e">
        <f t="shared" si="65"/>
        <v>#DIV/0!</v>
      </c>
      <c r="DB46" s="67" t="e">
        <f t="shared" si="65"/>
        <v>#DIV/0!</v>
      </c>
      <c r="DC46" s="67" t="e">
        <f t="shared" si="65"/>
        <v>#DIV/0!</v>
      </c>
      <c r="DD46" s="67" t="e">
        <f t="shared" si="65"/>
        <v>#DIV/0!</v>
      </c>
      <c r="DE46" s="67" t="e">
        <f t="shared" si="65"/>
        <v>#DIV/0!</v>
      </c>
      <c r="DF46" s="67" t="e">
        <f t="shared" si="65"/>
        <v>#DIV/0!</v>
      </c>
      <c r="DG46" s="67" t="e">
        <f t="shared" si="65"/>
        <v>#DIV/0!</v>
      </c>
      <c r="DH46" s="67" t="e">
        <f t="shared" si="65"/>
        <v>#DIV/0!</v>
      </c>
      <c r="DI46" s="67" t="e">
        <f t="shared" si="65"/>
        <v>#DIV/0!</v>
      </c>
      <c r="DJ46" s="67" t="e">
        <f t="shared" si="65"/>
        <v>#DIV/0!</v>
      </c>
      <c r="DK46" s="67" t="e">
        <f t="shared" si="65"/>
        <v>#DIV/0!</v>
      </c>
      <c r="DL46" s="67" t="e">
        <f t="shared" si="65"/>
        <v>#DIV/0!</v>
      </c>
      <c r="DM46" s="67" t="e">
        <f t="shared" si="65"/>
        <v>#DIV/0!</v>
      </c>
      <c r="DN46" s="67" t="e">
        <f t="shared" si="65"/>
        <v>#DIV/0!</v>
      </c>
      <c r="DO46" s="67" t="e">
        <f t="shared" si="65"/>
        <v>#DIV/0!</v>
      </c>
      <c r="DP46" s="67" t="e">
        <f t="shared" si="65"/>
        <v>#DIV/0!</v>
      </c>
      <c r="DQ46" s="67" t="e">
        <f t="shared" si="65"/>
        <v>#DIV/0!</v>
      </c>
      <c r="DR46" s="67" t="e">
        <f t="shared" si="65"/>
        <v>#DIV/0!</v>
      </c>
      <c r="DS46" s="67" t="e">
        <f t="shared" si="65"/>
        <v>#DIV/0!</v>
      </c>
      <c r="DT46" s="67" t="e">
        <f t="shared" si="65"/>
        <v>#DIV/0!</v>
      </c>
      <c r="DU46" s="67" t="e">
        <f t="shared" si="65"/>
        <v>#DIV/0!</v>
      </c>
      <c r="DV46" s="67" t="e">
        <f t="shared" si="65"/>
        <v>#DIV/0!</v>
      </c>
      <c r="DW46" s="67" t="e">
        <f t="shared" si="65"/>
        <v>#DIV/0!</v>
      </c>
      <c r="DX46" s="67" t="e">
        <f t="shared" si="65"/>
        <v>#DIV/0!</v>
      </c>
      <c r="DY46" s="67" t="e">
        <f t="shared" si="65"/>
        <v>#DIV/0!</v>
      </c>
      <c r="DZ46" s="67" t="e">
        <f t="shared" si="65"/>
        <v>#DIV/0!</v>
      </c>
      <c r="EA46" s="67" t="e">
        <f t="shared" si="65"/>
        <v>#DIV/0!</v>
      </c>
      <c r="EB46" s="67" t="e">
        <f t="shared" si="65"/>
        <v>#DIV/0!</v>
      </c>
      <c r="EC46" s="67" t="e">
        <f t="shared" si="65"/>
        <v>#DIV/0!</v>
      </c>
      <c r="ED46" s="67" t="e">
        <f t="shared" si="65"/>
        <v>#DIV/0!</v>
      </c>
      <c r="EE46" s="67">
        <f t="shared" si="65"/>
        <v>0</v>
      </c>
    </row>
    <row r="47" spans="1:135" ht="13" x14ac:dyDescent="0.3">
      <c r="B47" s="38" t="s">
        <v>212</v>
      </c>
      <c r="C47" s="53"/>
      <c r="D47" s="67" t="e">
        <f t="shared" ref="D47:H47" si="66">SUMIFS($O47:$BV47,$O$3:$BV$3,D$4)</f>
        <v>#DIV/0!</v>
      </c>
      <c r="E47" s="67" t="e">
        <f t="shared" si="66"/>
        <v>#DIV/0!</v>
      </c>
      <c r="F47" s="67" t="e">
        <f t="shared" si="66"/>
        <v>#DIV/0!</v>
      </c>
      <c r="G47" s="67" t="e">
        <f t="shared" si="66"/>
        <v>#DIV/0!</v>
      </c>
      <c r="H47" s="67" t="e">
        <f t="shared" si="66"/>
        <v>#DIV/0!</v>
      </c>
      <c r="I47" s="67" t="e">
        <f t="shared" ref="I47:M47" si="67">SUMIFS($O47:$ED47,$O$3:$ED$3,I$4)</f>
        <v>#DIV/0!</v>
      </c>
      <c r="J47" s="67" t="e">
        <f t="shared" si="67"/>
        <v>#DIV/0!</v>
      </c>
      <c r="K47" s="67" t="e">
        <f t="shared" si="67"/>
        <v>#DIV/0!</v>
      </c>
      <c r="L47" s="67" t="e">
        <f t="shared" si="67"/>
        <v>#DIV/0!</v>
      </c>
      <c r="M47" s="67" t="e">
        <f t="shared" si="67"/>
        <v>#DIV/0!</v>
      </c>
      <c r="N47" s="53"/>
      <c r="O47" s="46" t="e">
        <f t="shared" ref="O47:ED47" si="68">O46+N47</f>
        <v>#DIV/0!</v>
      </c>
      <c r="P47" s="46" t="e">
        <f t="shared" si="68"/>
        <v>#DIV/0!</v>
      </c>
      <c r="Q47" s="46" t="e">
        <f t="shared" si="68"/>
        <v>#DIV/0!</v>
      </c>
      <c r="R47" s="46" t="e">
        <f t="shared" si="68"/>
        <v>#DIV/0!</v>
      </c>
      <c r="S47" s="46" t="e">
        <f t="shared" si="68"/>
        <v>#DIV/0!</v>
      </c>
      <c r="T47" s="46" t="e">
        <f t="shared" si="68"/>
        <v>#DIV/0!</v>
      </c>
      <c r="U47" s="46" t="e">
        <f t="shared" si="68"/>
        <v>#DIV/0!</v>
      </c>
      <c r="V47" s="46" t="e">
        <f t="shared" si="68"/>
        <v>#DIV/0!</v>
      </c>
      <c r="W47" s="46" t="e">
        <f t="shared" si="68"/>
        <v>#DIV/0!</v>
      </c>
      <c r="X47" s="46" t="e">
        <f t="shared" si="68"/>
        <v>#DIV/0!</v>
      </c>
      <c r="Y47" s="46" t="e">
        <f t="shared" si="68"/>
        <v>#DIV/0!</v>
      </c>
      <c r="Z47" s="46" t="e">
        <f t="shared" si="68"/>
        <v>#DIV/0!</v>
      </c>
      <c r="AA47" s="46" t="e">
        <f t="shared" si="68"/>
        <v>#DIV/0!</v>
      </c>
      <c r="AB47" s="46" t="e">
        <f t="shared" si="68"/>
        <v>#DIV/0!</v>
      </c>
      <c r="AC47" s="46" t="e">
        <f t="shared" si="68"/>
        <v>#DIV/0!</v>
      </c>
      <c r="AD47" s="46" t="e">
        <f t="shared" si="68"/>
        <v>#DIV/0!</v>
      </c>
      <c r="AE47" s="46" t="e">
        <f t="shared" si="68"/>
        <v>#DIV/0!</v>
      </c>
      <c r="AF47" s="46" t="e">
        <f t="shared" si="68"/>
        <v>#DIV/0!</v>
      </c>
      <c r="AG47" s="46" t="e">
        <f t="shared" si="68"/>
        <v>#DIV/0!</v>
      </c>
      <c r="AH47" s="46" t="e">
        <f t="shared" si="68"/>
        <v>#DIV/0!</v>
      </c>
      <c r="AI47" s="46" t="e">
        <f t="shared" si="68"/>
        <v>#DIV/0!</v>
      </c>
      <c r="AJ47" s="46" t="e">
        <f t="shared" si="68"/>
        <v>#DIV/0!</v>
      </c>
      <c r="AK47" s="46" t="e">
        <f t="shared" si="68"/>
        <v>#DIV/0!</v>
      </c>
      <c r="AL47" s="46" t="e">
        <f t="shared" si="68"/>
        <v>#DIV/0!</v>
      </c>
      <c r="AM47" s="46" t="e">
        <f t="shared" si="68"/>
        <v>#DIV/0!</v>
      </c>
      <c r="AN47" s="46" t="e">
        <f t="shared" si="68"/>
        <v>#DIV/0!</v>
      </c>
      <c r="AO47" s="46" t="e">
        <f t="shared" si="68"/>
        <v>#DIV/0!</v>
      </c>
      <c r="AP47" s="46" t="e">
        <f t="shared" si="68"/>
        <v>#DIV/0!</v>
      </c>
      <c r="AQ47" s="46" t="e">
        <f t="shared" si="68"/>
        <v>#DIV/0!</v>
      </c>
      <c r="AR47" s="46" t="e">
        <f t="shared" si="68"/>
        <v>#DIV/0!</v>
      </c>
      <c r="AS47" s="46" t="e">
        <f t="shared" si="68"/>
        <v>#DIV/0!</v>
      </c>
      <c r="AT47" s="46" t="e">
        <f t="shared" si="68"/>
        <v>#DIV/0!</v>
      </c>
      <c r="AU47" s="46" t="e">
        <f t="shared" si="68"/>
        <v>#DIV/0!</v>
      </c>
      <c r="AV47" s="46" t="e">
        <f t="shared" si="68"/>
        <v>#DIV/0!</v>
      </c>
      <c r="AW47" s="46" t="e">
        <f t="shared" si="68"/>
        <v>#DIV/0!</v>
      </c>
      <c r="AX47" s="46" t="e">
        <f t="shared" si="68"/>
        <v>#DIV/0!</v>
      </c>
      <c r="AY47" s="46" t="e">
        <f t="shared" si="68"/>
        <v>#DIV/0!</v>
      </c>
      <c r="AZ47" s="46" t="e">
        <f t="shared" si="68"/>
        <v>#DIV/0!</v>
      </c>
      <c r="BA47" s="46" t="e">
        <f t="shared" si="68"/>
        <v>#DIV/0!</v>
      </c>
      <c r="BB47" s="46" t="e">
        <f t="shared" si="68"/>
        <v>#DIV/0!</v>
      </c>
      <c r="BC47" s="46" t="e">
        <f t="shared" si="68"/>
        <v>#DIV/0!</v>
      </c>
      <c r="BD47" s="46" t="e">
        <f t="shared" si="68"/>
        <v>#DIV/0!</v>
      </c>
      <c r="BE47" s="46" t="e">
        <f t="shared" si="68"/>
        <v>#DIV/0!</v>
      </c>
      <c r="BF47" s="46" t="e">
        <f t="shared" si="68"/>
        <v>#DIV/0!</v>
      </c>
      <c r="BG47" s="46" t="e">
        <f t="shared" si="68"/>
        <v>#DIV/0!</v>
      </c>
      <c r="BH47" s="46" t="e">
        <f t="shared" si="68"/>
        <v>#DIV/0!</v>
      </c>
      <c r="BI47" s="46" t="e">
        <f t="shared" si="68"/>
        <v>#DIV/0!</v>
      </c>
      <c r="BJ47" s="46" t="e">
        <f t="shared" si="68"/>
        <v>#DIV/0!</v>
      </c>
      <c r="BK47" s="46" t="e">
        <f t="shared" si="68"/>
        <v>#DIV/0!</v>
      </c>
      <c r="BL47" s="46" t="e">
        <f t="shared" si="68"/>
        <v>#DIV/0!</v>
      </c>
      <c r="BM47" s="46" t="e">
        <f t="shared" si="68"/>
        <v>#DIV/0!</v>
      </c>
      <c r="BN47" s="46" t="e">
        <f t="shared" si="68"/>
        <v>#DIV/0!</v>
      </c>
      <c r="BO47" s="46" t="e">
        <f t="shared" si="68"/>
        <v>#DIV/0!</v>
      </c>
      <c r="BP47" s="46" t="e">
        <f t="shared" si="68"/>
        <v>#DIV/0!</v>
      </c>
      <c r="BQ47" s="46" t="e">
        <f t="shared" si="68"/>
        <v>#DIV/0!</v>
      </c>
      <c r="BR47" s="46" t="e">
        <f t="shared" si="68"/>
        <v>#DIV/0!</v>
      </c>
      <c r="BS47" s="46" t="e">
        <f t="shared" si="68"/>
        <v>#DIV/0!</v>
      </c>
      <c r="BT47" s="46" t="e">
        <f t="shared" si="68"/>
        <v>#DIV/0!</v>
      </c>
      <c r="BU47" s="46" t="e">
        <f t="shared" si="68"/>
        <v>#DIV/0!</v>
      </c>
      <c r="BV47" s="46" t="e">
        <f t="shared" si="68"/>
        <v>#DIV/0!</v>
      </c>
      <c r="BW47" s="46" t="e">
        <f t="shared" si="68"/>
        <v>#DIV/0!</v>
      </c>
      <c r="BX47" s="46" t="e">
        <f t="shared" si="68"/>
        <v>#DIV/0!</v>
      </c>
      <c r="BY47" s="46" t="e">
        <f t="shared" si="68"/>
        <v>#DIV/0!</v>
      </c>
      <c r="BZ47" s="46" t="e">
        <f t="shared" si="68"/>
        <v>#DIV/0!</v>
      </c>
      <c r="CA47" s="46" t="e">
        <f t="shared" si="68"/>
        <v>#DIV/0!</v>
      </c>
      <c r="CB47" s="46" t="e">
        <f t="shared" si="68"/>
        <v>#DIV/0!</v>
      </c>
      <c r="CC47" s="46" t="e">
        <f t="shared" si="68"/>
        <v>#DIV/0!</v>
      </c>
      <c r="CD47" s="46" t="e">
        <f t="shared" si="68"/>
        <v>#DIV/0!</v>
      </c>
      <c r="CE47" s="46" t="e">
        <f t="shared" si="68"/>
        <v>#DIV/0!</v>
      </c>
      <c r="CF47" s="46" t="e">
        <f t="shared" si="68"/>
        <v>#DIV/0!</v>
      </c>
      <c r="CG47" s="46" t="e">
        <f t="shared" si="68"/>
        <v>#DIV/0!</v>
      </c>
      <c r="CH47" s="46" t="e">
        <f t="shared" si="68"/>
        <v>#DIV/0!</v>
      </c>
      <c r="CI47" s="46" t="e">
        <f t="shared" si="68"/>
        <v>#DIV/0!</v>
      </c>
      <c r="CJ47" s="46" t="e">
        <f t="shared" si="68"/>
        <v>#DIV/0!</v>
      </c>
      <c r="CK47" s="46" t="e">
        <f t="shared" si="68"/>
        <v>#DIV/0!</v>
      </c>
      <c r="CL47" s="46" t="e">
        <f t="shared" si="68"/>
        <v>#DIV/0!</v>
      </c>
      <c r="CM47" s="46" t="e">
        <f t="shared" si="68"/>
        <v>#DIV/0!</v>
      </c>
      <c r="CN47" s="46" t="e">
        <f t="shared" si="68"/>
        <v>#DIV/0!</v>
      </c>
      <c r="CO47" s="46" t="e">
        <f t="shared" si="68"/>
        <v>#DIV/0!</v>
      </c>
      <c r="CP47" s="46" t="e">
        <f t="shared" si="68"/>
        <v>#DIV/0!</v>
      </c>
      <c r="CQ47" s="46" t="e">
        <f t="shared" si="68"/>
        <v>#DIV/0!</v>
      </c>
      <c r="CR47" s="46" t="e">
        <f t="shared" si="68"/>
        <v>#DIV/0!</v>
      </c>
      <c r="CS47" s="46" t="e">
        <f t="shared" si="68"/>
        <v>#DIV/0!</v>
      </c>
      <c r="CT47" s="46" t="e">
        <f t="shared" si="68"/>
        <v>#DIV/0!</v>
      </c>
      <c r="CU47" s="46" t="e">
        <f t="shared" si="68"/>
        <v>#DIV/0!</v>
      </c>
      <c r="CV47" s="46" t="e">
        <f t="shared" si="68"/>
        <v>#DIV/0!</v>
      </c>
      <c r="CW47" s="46" t="e">
        <f t="shared" si="68"/>
        <v>#DIV/0!</v>
      </c>
      <c r="CX47" s="46" t="e">
        <f t="shared" si="68"/>
        <v>#DIV/0!</v>
      </c>
      <c r="CY47" s="46" t="e">
        <f t="shared" si="68"/>
        <v>#DIV/0!</v>
      </c>
      <c r="CZ47" s="46" t="e">
        <f t="shared" si="68"/>
        <v>#DIV/0!</v>
      </c>
      <c r="DA47" s="46" t="e">
        <f t="shared" si="68"/>
        <v>#DIV/0!</v>
      </c>
      <c r="DB47" s="46" t="e">
        <f t="shared" si="68"/>
        <v>#DIV/0!</v>
      </c>
      <c r="DC47" s="46" t="e">
        <f t="shared" si="68"/>
        <v>#DIV/0!</v>
      </c>
      <c r="DD47" s="46" t="e">
        <f t="shared" si="68"/>
        <v>#DIV/0!</v>
      </c>
      <c r="DE47" s="46" t="e">
        <f t="shared" si="68"/>
        <v>#DIV/0!</v>
      </c>
      <c r="DF47" s="46" t="e">
        <f t="shared" si="68"/>
        <v>#DIV/0!</v>
      </c>
      <c r="DG47" s="46" t="e">
        <f t="shared" si="68"/>
        <v>#DIV/0!</v>
      </c>
      <c r="DH47" s="46" t="e">
        <f t="shared" si="68"/>
        <v>#DIV/0!</v>
      </c>
      <c r="DI47" s="46" t="e">
        <f t="shared" si="68"/>
        <v>#DIV/0!</v>
      </c>
      <c r="DJ47" s="46" t="e">
        <f t="shared" si="68"/>
        <v>#DIV/0!</v>
      </c>
      <c r="DK47" s="46" t="e">
        <f t="shared" si="68"/>
        <v>#DIV/0!</v>
      </c>
      <c r="DL47" s="46" t="e">
        <f t="shared" si="68"/>
        <v>#DIV/0!</v>
      </c>
      <c r="DM47" s="46" t="e">
        <f t="shared" si="68"/>
        <v>#DIV/0!</v>
      </c>
      <c r="DN47" s="46" t="e">
        <f t="shared" si="68"/>
        <v>#DIV/0!</v>
      </c>
      <c r="DO47" s="46" t="e">
        <f t="shared" si="68"/>
        <v>#DIV/0!</v>
      </c>
      <c r="DP47" s="46" t="e">
        <f t="shared" si="68"/>
        <v>#DIV/0!</v>
      </c>
      <c r="DQ47" s="46" t="e">
        <f t="shared" si="68"/>
        <v>#DIV/0!</v>
      </c>
      <c r="DR47" s="46" t="e">
        <f t="shared" si="68"/>
        <v>#DIV/0!</v>
      </c>
      <c r="DS47" s="46" t="e">
        <f t="shared" si="68"/>
        <v>#DIV/0!</v>
      </c>
      <c r="DT47" s="46" t="e">
        <f t="shared" si="68"/>
        <v>#DIV/0!</v>
      </c>
      <c r="DU47" s="46" t="e">
        <f t="shared" si="68"/>
        <v>#DIV/0!</v>
      </c>
      <c r="DV47" s="46" t="e">
        <f t="shared" si="68"/>
        <v>#DIV/0!</v>
      </c>
      <c r="DW47" s="46" t="e">
        <f t="shared" si="68"/>
        <v>#DIV/0!</v>
      </c>
      <c r="DX47" s="46" t="e">
        <f t="shared" si="68"/>
        <v>#DIV/0!</v>
      </c>
      <c r="DY47" s="46" t="e">
        <f t="shared" si="68"/>
        <v>#DIV/0!</v>
      </c>
      <c r="DZ47" s="46" t="e">
        <f t="shared" si="68"/>
        <v>#DIV/0!</v>
      </c>
      <c r="EA47" s="46" t="e">
        <f t="shared" si="68"/>
        <v>#DIV/0!</v>
      </c>
      <c r="EB47" s="46" t="e">
        <f t="shared" si="68"/>
        <v>#DIV/0!</v>
      </c>
      <c r="EC47" s="46" t="e">
        <f t="shared" si="68"/>
        <v>#DIV/0!</v>
      </c>
      <c r="ED47" s="46" t="e">
        <f t="shared" si="68"/>
        <v>#DIV/0!</v>
      </c>
    </row>
    <row r="48" spans="1:135" ht="12.5" x14ac:dyDescent="0.25">
      <c r="C48" s="53"/>
      <c r="N48" s="53"/>
    </row>
    <row r="49" spans="2:134" ht="12.5" x14ac:dyDescent="0.25">
      <c r="B49" s="46" t="s">
        <v>68</v>
      </c>
      <c r="C49" s="53"/>
      <c r="D49" s="46" t="e">
        <f t="shared" ref="D49:D50" si="69">MAX(O49:BV49)</f>
        <v>#DIV/0!</v>
      </c>
      <c r="N49" s="53"/>
      <c r="O49" s="46" t="e">
        <f t="shared" ref="O49:BU49" si="70">IF(AND(O46&gt;0,P46&gt;0),IF(N49&lt;&gt;0,N49,O2),0)</f>
        <v>#DIV/0!</v>
      </c>
      <c r="P49" s="46" t="e">
        <f t="shared" si="70"/>
        <v>#DIV/0!</v>
      </c>
      <c r="Q49" s="46" t="e">
        <f t="shared" si="70"/>
        <v>#DIV/0!</v>
      </c>
      <c r="R49" s="46" t="e">
        <f t="shared" si="70"/>
        <v>#DIV/0!</v>
      </c>
      <c r="S49" s="46" t="e">
        <f t="shared" si="70"/>
        <v>#DIV/0!</v>
      </c>
      <c r="T49" s="46" t="e">
        <f t="shared" si="70"/>
        <v>#DIV/0!</v>
      </c>
      <c r="U49" s="46" t="e">
        <f t="shared" si="70"/>
        <v>#DIV/0!</v>
      </c>
      <c r="V49" s="46" t="e">
        <f t="shared" si="70"/>
        <v>#DIV/0!</v>
      </c>
      <c r="W49" s="46" t="e">
        <f t="shared" si="70"/>
        <v>#DIV/0!</v>
      </c>
      <c r="X49" s="46" t="e">
        <f t="shared" si="70"/>
        <v>#DIV/0!</v>
      </c>
      <c r="Y49" s="46" t="e">
        <f t="shared" si="70"/>
        <v>#DIV/0!</v>
      </c>
      <c r="Z49" s="46" t="e">
        <f t="shared" si="70"/>
        <v>#DIV/0!</v>
      </c>
      <c r="AA49" s="46" t="e">
        <f t="shared" si="70"/>
        <v>#DIV/0!</v>
      </c>
      <c r="AB49" s="46" t="e">
        <f t="shared" si="70"/>
        <v>#DIV/0!</v>
      </c>
      <c r="AC49" s="46" t="e">
        <f t="shared" si="70"/>
        <v>#DIV/0!</v>
      </c>
      <c r="AD49" s="46" t="e">
        <f t="shared" si="70"/>
        <v>#DIV/0!</v>
      </c>
      <c r="AE49" s="46" t="e">
        <f t="shared" si="70"/>
        <v>#DIV/0!</v>
      </c>
      <c r="AF49" s="46" t="e">
        <f t="shared" si="70"/>
        <v>#DIV/0!</v>
      </c>
      <c r="AG49" s="46" t="e">
        <f t="shared" si="70"/>
        <v>#DIV/0!</v>
      </c>
      <c r="AH49" s="46" t="e">
        <f t="shared" si="70"/>
        <v>#DIV/0!</v>
      </c>
      <c r="AI49" s="46" t="e">
        <f t="shared" si="70"/>
        <v>#DIV/0!</v>
      </c>
      <c r="AJ49" s="46" t="e">
        <f t="shared" si="70"/>
        <v>#DIV/0!</v>
      </c>
      <c r="AK49" s="46" t="e">
        <f t="shared" si="70"/>
        <v>#DIV/0!</v>
      </c>
      <c r="AL49" s="46" t="e">
        <f t="shared" si="70"/>
        <v>#DIV/0!</v>
      </c>
      <c r="AM49" s="46" t="e">
        <f t="shared" si="70"/>
        <v>#DIV/0!</v>
      </c>
      <c r="AN49" s="46" t="e">
        <f t="shared" si="70"/>
        <v>#DIV/0!</v>
      </c>
      <c r="AO49" s="46" t="e">
        <f t="shared" si="70"/>
        <v>#DIV/0!</v>
      </c>
      <c r="AP49" s="46" t="e">
        <f t="shared" si="70"/>
        <v>#DIV/0!</v>
      </c>
      <c r="AQ49" s="46" t="e">
        <f t="shared" si="70"/>
        <v>#DIV/0!</v>
      </c>
      <c r="AR49" s="46" t="e">
        <f t="shared" si="70"/>
        <v>#DIV/0!</v>
      </c>
      <c r="AS49" s="46" t="e">
        <f t="shared" si="70"/>
        <v>#DIV/0!</v>
      </c>
      <c r="AT49" s="46" t="e">
        <f t="shared" si="70"/>
        <v>#DIV/0!</v>
      </c>
      <c r="AU49" s="46" t="e">
        <f t="shared" si="70"/>
        <v>#DIV/0!</v>
      </c>
      <c r="AV49" s="46" t="e">
        <f t="shared" si="70"/>
        <v>#DIV/0!</v>
      </c>
      <c r="AW49" s="46" t="e">
        <f t="shared" si="70"/>
        <v>#DIV/0!</v>
      </c>
      <c r="AX49" s="46" t="e">
        <f t="shared" si="70"/>
        <v>#DIV/0!</v>
      </c>
      <c r="AY49" s="46" t="e">
        <f t="shared" si="70"/>
        <v>#DIV/0!</v>
      </c>
      <c r="AZ49" s="46" t="e">
        <f t="shared" si="70"/>
        <v>#DIV/0!</v>
      </c>
      <c r="BA49" s="46" t="e">
        <f t="shared" si="70"/>
        <v>#DIV/0!</v>
      </c>
      <c r="BB49" s="46" t="e">
        <f t="shared" si="70"/>
        <v>#DIV/0!</v>
      </c>
      <c r="BC49" s="46" t="e">
        <f t="shared" si="70"/>
        <v>#DIV/0!</v>
      </c>
      <c r="BD49" s="46" t="e">
        <f t="shared" si="70"/>
        <v>#DIV/0!</v>
      </c>
      <c r="BE49" s="46" t="e">
        <f t="shared" si="70"/>
        <v>#DIV/0!</v>
      </c>
      <c r="BF49" s="46" t="e">
        <f t="shared" si="70"/>
        <v>#DIV/0!</v>
      </c>
      <c r="BG49" s="46" t="e">
        <f t="shared" si="70"/>
        <v>#DIV/0!</v>
      </c>
      <c r="BH49" s="46" t="e">
        <f t="shared" si="70"/>
        <v>#DIV/0!</v>
      </c>
      <c r="BI49" s="46" t="e">
        <f t="shared" si="70"/>
        <v>#DIV/0!</v>
      </c>
      <c r="BJ49" s="46" t="e">
        <f t="shared" si="70"/>
        <v>#DIV/0!</v>
      </c>
      <c r="BK49" s="46" t="e">
        <f t="shared" si="70"/>
        <v>#DIV/0!</v>
      </c>
      <c r="BL49" s="46" t="e">
        <f t="shared" si="70"/>
        <v>#DIV/0!</v>
      </c>
      <c r="BM49" s="46" t="e">
        <f t="shared" si="70"/>
        <v>#DIV/0!</v>
      </c>
      <c r="BN49" s="46" t="e">
        <f t="shared" si="70"/>
        <v>#DIV/0!</v>
      </c>
      <c r="BO49" s="46" t="e">
        <f t="shared" si="70"/>
        <v>#DIV/0!</v>
      </c>
      <c r="BP49" s="46" t="e">
        <f t="shared" si="70"/>
        <v>#DIV/0!</v>
      </c>
      <c r="BQ49" s="46" t="e">
        <f t="shared" si="70"/>
        <v>#DIV/0!</v>
      </c>
      <c r="BR49" s="46" t="e">
        <f t="shared" si="70"/>
        <v>#DIV/0!</v>
      </c>
      <c r="BS49" s="46" t="e">
        <f t="shared" si="70"/>
        <v>#DIV/0!</v>
      </c>
      <c r="BT49" s="46" t="e">
        <f t="shared" si="70"/>
        <v>#DIV/0!</v>
      </c>
      <c r="BU49" s="46" t="e">
        <f t="shared" si="70"/>
        <v>#DIV/0!</v>
      </c>
      <c r="BV49" s="46" t="e">
        <f t="shared" ref="BV49:ED49" si="71">IF(AND(BV46&gt;0,EE46&gt;0),IF(BU49&lt;&gt;0,BU49,BV2),0)</f>
        <v>#DIV/0!</v>
      </c>
      <c r="BW49" s="46" t="e">
        <f t="shared" si="71"/>
        <v>#DIV/0!</v>
      </c>
      <c r="BX49" s="46" t="e">
        <f t="shared" si="71"/>
        <v>#DIV/0!</v>
      </c>
      <c r="BY49" s="46" t="e">
        <f t="shared" si="71"/>
        <v>#DIV/0!</v>
      </c>
      <c r="BZ49" s="46" t="e">
        <f t="shared" si="71"/>
        <v>#DIV/0!</v>
      </c>
      <c r="CA49" s="46" t="e">
        <f t="shared" si="71"/>
        <v>#DIV/0!</v>
      </c>
      <c r="CB49" s="46" t="e">
        <f t="shared" si="71"/>
        <v>#DIV/0!</v>
      </c>
      <c r="CC49" s="46" t="e">
        <f t="shared" si="71"/>
        <v>#DIV/0!</v>
      </c>
      <c r="CD49" s="46" t="e">
        <f t="shared" si="71"/>
        <v>#DIV/0!</v>
      </c>
      <c r="CE49" s="46" t="e">
        <f t="shared" si="71"/>
        <v>#DIV/0!</v>
      </c>
      <c r="CF49" s="46" t="e">
        <f t="shared" si="71"/>
        <v>#DIV/0!</v>
      </c>
      <c r="CG49" s="46" t="e">
        <f t="shared" si="71"/>
        <v>#DIV/0!</v>
      </c>
      <c r="CH49" s="46" t="e">
        <f t="shared" si="71"/>
        <v>#DIV/0!</v>
      </c>
      <c r="CI49" s="46" t="e">
        <f t="shared" si="71"/>
        <v>#DIV/0!</v>
      </c>
      <c r="CJ49" s="46" t="e">
        <f t="shared" si="71"/>
        <v>#DIV/0!</v>
      </c>
      <c r="CK49" s="46" t="e">
        <f t="shared" si="71"/>
        <v>#DIV/0!</v>
      </c>
      <c r="CL49" s="46" t="e">
        <f t="shared" si="71"/>
        <v>#DIV/0!</v>
      </c>
      <c r="CM49" s="46" t="e">
        <f t="shared" si="71"/>
        <v>#DIV/0!</v>
      </c>
      <c r="CN49" s="46" t="e">
        <f t="shared" si="71"/>
        <v>#DIV/0!</v>
      </c>
      <c r="CO49" s="46" t="e">
        <f t="shared" si="71"/>
        <v>#DIV/0!</v>
      </c>
      <c r="CP49" s="46" t="e">
        <f t="shared" si="71"/>
        <v>#DIV/0!</v>
      </c>
      <c r="CQ49" s="46" t="e">
        <f t="shared" si="71"/>
        <v>#DIV/0!</v>
      </c>
      <c r="CR49" s="46" t="e">
        <f t="shared" si="71"/>
        <v>#DIV/0!</v>
      </c>
      <c r="CS49" s="46" t="e">
        <f t="shared" si="71"/>
        <v>#DIV/0!</v>
      </c>
      <c r="CT49" s="46" t="e">
        <f t="shared" si="71"/>
        <v>#DIV/0!</v>
      </c>
      <c r="CU49" s="46" t="e">
        <f t="shared" si="71"/>
        <v>#DIV/0!</v>
      </c>
      <c r="CV49" s="46" t="e">
        <f t="shared" si="71"/>
        <v>#DIV/0!</v>
      </c>
      <c r="CW49" s="46" t="e">
        <f t="shared" si="71"/>
        <v>#DIV/0!</v>
      </c>
      <c r="CX49" s="46" t="e">
        <f t="shared" si="71"/>
        <v>#DIV/0!</v>
      </c>
      <c r="CY49" s="46" t="e">
        <f t="shared" si="71"/>
        <v>#DIV/0!</v>
      </c>
      <c r="CZ49" s="46" t="e">
        <f t="shared" si="71"/>
        <v>#DIV/0!</v>
      </c>
      <c r="DA49" s="46" t="e">
        <f t="shared" si="71"/>
        <v>#DIV/0!</v>
      </c>
      <c r="DB49" s="46" t="e">
        <f t="shared" si="71"/>
        <v>#DIV/0!</v>
      </c>
      <c r="DC49" s="46" t="e">
        <f t="shared" si="71"/>
        <v>#DIV/0!</v>
      </c>
      <c r="DD49" s="46" t="e">
        <f t="shared" si="71"/>
        <v>#DIV/0!</v>
      </c>
      <c r="DE49" s="46" t="e">
        <f t="shared" si="71"/>
        <v>#DIV/0!</v>
      </c>
      <c r="DF49" s="46" t="e">
        <f t="shared" si="71"/>
        <v>#DIV/0!</v>
      </c>
      <c r="DG49" s="46" t="e">
        <f t="shared" si="71"/>
        <v>#DIV/0!</v>
      </c>
      <c r="DH49" s="46" t="e">
        <f t="shared" si="71"/>
        <v>#DIV/0!</v>
      </c>
      <c r="DI49" s="46" t="e">
        <f t="shared" si="71"/>
        <v>#DIV/0!</v>
      </c>
      <c r="DJ49" s="46" t="e">
        <f t="shared" si="71"/>
        <v>#DIV/0!</v>
      </c>
      <c r="DK49" s="46" t="e">
        <f t="shared" si="71"/>
        <v>#DIV/0!</v>
      </c>
      <c r="DL49" s="46" t="e">
        <f t="shared" si="71"/>
        <v>#DIV/0!</v>
      </c>
      <c r="DM49" s="46" t="e">
        <f t="shared" si="71"/>
        <v>#DIV/0!</v>
      </c>
      <c r="DN49" s="46" t="e">
        <f t="shared" si="71"/>
        <v>#DIV/0!</v>
      </c>
      <c r="DO49" s="46" t="e">
        <f t="shared" si="71"/>
        <v>#DIV/0!</v>
      </c>
      <c r="DP49" s="46" t="e">
        <f t="shared" si="71"/>
        <v>#DIV/0!</v>
      </c>
      <c r="DQ49" s="46" t="e">
        <f t="shared" si="71"/>
        <v>#DIV/0!</v>
      </c>
      <c r="DR49" s="46" t="e">
        <f t="shared" si="71"/>
        <v>#DIV/0!</v>
      </c>
      <c r="DS49" s="46" t="e">
        <f t="shared" si="71"/>
        <v>#DIV/0!</v>
      </c>
      <c r="DT49" s="46" t="e">
        <f t="shared" si="71"/>
        <v>#DIV/0!</v>
      </c>
      <c r="DU49" s="46" t="e">
        <f t="shared" si="71"/>
        <v>#DIV/0!</v>
      </c>
      <c r="DV49" s="46" t="e">
        <f t="shared" si="71"/>
        <v>#DIV/0!</v>
      </c>
      <c r="DW49" s="46" t="e">
        <f t="shared" si="71"/>
        <v>#DIV/0!</v>
      </c>
      <c r="DX49" s="46" t="e">
        <f t="shared" si="71"/>
        <v>#DIV/0!</v>
      </c>
      <c r="DY49" s="46" t="e">
        <f t="shared" si="71"/>
        <v>#DIV/0!</v>
      </c>
      <c r="DZ49" s="46" t="e">
        <f t="shared" si="71"/>
        <v>#DIV/0!</v>
      </c>
      <c r="EA49" s="46" t="e">
        <f t="shared" si="71"/>
        <v>#DIV/0!</v>
      </c>
      <c r="EB49" s="46" t="e">
        <f t="shared" si="71"/>
        <v>#DIV/0!</v>
      </c>
      <c r="EC49" s="46" t="e">
        <f t="shared" si="71"/>
        <v>#DIV/0!</v>
      </c>
      <c r="ED49" s="46" t="e">
        <f t="shared" si="71"/>
        <v>#DIV/0!</v>
      </c>
    </row>
    <row r="50" spans="2:134" ht="12.5" x14ac:dyDescent="0.25">
      <c r="B50" s="46" t="s">
        <v>213</v>
      </c>
      <c r="C50" s="53"/>
      <c r="D50" s="46" t="e">
        <f t="shared" si="69"/>
        <v>#DIV/0!</v>
      </c>
      <c r="N50" s="53"/>
      <c r="O50" s="46" t="e">
        <f t="shared" ref="O50:BU50" si="72">IF(AND(O47&gt;0,P46&gt;0,O46&gt;0),IF(N50&lt;&gt;0,N50,O2),0)</f>
        <v>#DIV/0!</v>
      </c>
      <c r="P50" s="46" t="e">
        <f t="shared" si="72"/>
        <v>#DIV/0!</v>
      </c>
      <c r="Q50" s="46" t="e">
        <f t="shared" si="72"/>
        <v>#DIV/0!</v>
      </c>
      <c r="R50" s="46" t="e">
        <f t="shared" si="72"/>
        <v>#DIV/0!</v>
      </c>
      <c r="S50" s="46" t="e">
        <f t="shared" si="72"/>
        <v>#DIV/0!</v>
      </c>
      <c r="T50" s="46" t="e">
        <f t="shared" si="72"/>
        <v>#DIV/0!</v>
      </c>
      <c r="U50" s="46" t="e">
        <f t="shared" si="72"/>
        <v>#DIV/0!</v>
      </c>
      <c r="V50" s="46" t="e">
        <f t="shared" si="72"/>
        <v>#DIV/0!</v>
      </c>
      <c r="W50" s="46" t="e">
        <f t="shared" si="72"/>
        <v>#DIV/0!</v>
      </c>
      <c r="X50" s="46" t="e">
        <f t="shared" si="72"/>
        <v>#DIV/0!</v>
      </c>
      <c r="Y50" s="46" t="e">
        <f t="shared" si="72"/>
        <v>#DIV/0!</v>
      </c>
      <c r="Z50" s="46" t="e">
        <f t="shared" si="72"/>
        <v>#DIV/0!</v>
      </c>
      <c r="AA50" s="46" t="e">
        <f t="shared" si="72"/>
        <v>#DIV/0!</v>
      </c>
      <c r="AB50" s="46" t="e">
        <f t="shared" si="72"/>
        <v>#DIV/0!</v>
      </c>
      <c r="AC50" s="46" t="e">
        <f t="shared" si="72"/>
        <v>#DIV/0!</v>
      </c>
      <c r="AD50" s="46" t="e">
        <f t="shared" si="72"/>
        <v>#DIV/0!</v>
      </c>
      <c r="AE50" s="46" t="e">
        <f t="shared" si="72"/>
        <v>#DIV/0!</v>
      </c>
      <c r="AF50" s="46" t="e">
        <f t="shared" si="72"/>
        <v>#DIV/0!</v>
      </c>
      <c r="AG50" s="46" t="e">
        <f t="shared" si="72"/>
        <v>#DIV/0!</v>
      </c>
      <c r="AH50" s="46" t="e">
        <f t="shared" si="72"/>
        <v>#DIV/0!</v>
      </c>
      <c r="AI50" s="46" t="e">
        <f t="shared" si="72"/>
        <v>#DIV/0!</v>
      </c>
      <c r="AJ50" s="46" t="e">
        <f t="shared" si="72"/>
        <v>#DIV/0!</v>
      </c>
      <c r="AK50" s="46" t="e">
        <f t="shared" si="72"/>
        <v>#DIV/0!</v>
      </c>
      <c r="AL50" s="46" t="e">
        <f t="shared" si="72"/>
        <v>#DIV/0!</v>
      </c>
      <c r="AM50" s="46" t="e">
        <f t="shared" si="72"/>
        <v>#DIV/0!</v>
      </c>
      <c r="AN50" s="46" t="e">
        <f t="shared" si="72"/>
        <v>#DIV/0!</v>
      </c>
      <c r="AO50" s="46" t="e">
        <f t="shared" si="72"/>
        <v>#DIV/0!</v>
      </c>
      <c r="AP50" s="46" t="e">
        <f t="shared" si="72"/>
        <v>#DIV/0!</v>
      </c>
      <c r="AQ50" s="46" t="e">
        <f t="shared" si="72"/>
        <v>#DIV/0!</v>
      </c>
      <c r="AR50" s="46" t="e">
        <f t="shared" si="72"/>
        <v>#DIV/0!</v>
      </c>
      <c r="AS50" s="46" t="e">
        <f t="shared" si="72"/>
        <v>#DIV/0!</v>
      </c>
      <c r="AT50" s="46" t="e">
        <f t="shared" si="72"/>
        <v>#DIV/0!</v>
      </c>
      <c r="AU50" s="46" t="e">
        <f t="shared" si="72"/>
        <v>#DIV/0!</v>
      </c>
      <c r="AV50" s="46" t="e">
        <f t="shared" si="72"/>
        <v>#DIV/0!</v>
      </c>
      <c r="AW50" s="46" t="e">
        <f t="shared" si="72"/>
        <v>#DIV/0!</v>
      </c>
      <c r="AX50" s="46" t="e">
        <f t="shared" si="72"/>
        <v>#DIV/0!</v>
      </c>
      <c r="AY50" s="46" t="e">
        <f t="shared" si="72"/>
        <v>#DIV/0!</v>
      </c>
      <c r="AZ50" s="46" t="e">
        <f t="shared" si="72"/>
        <v>#DIV/0!</v>
      </c>
      <c r="BA50" s="46" t="e">
        <f t="shared" si="72"/>
        <v>#DIV/0!</v>
      </c>
      <c r="BB50" s="46" t="e">
        <f t="shared" si="72"/>
        <v>#DIV/0!</v>
      </c>
      <c r="BC50" s="46" t="e">
        <f t="shared" si="72"/>
        <v>#DIV/0!</v>
      </c>
      <c r="BD50" s="46" t="e">
        <f t="shared" si="72"/>
        <v>#DIV/0!</v>
      </c>
      <c r="BE50" s="46" t="e">
        <f t="shared" si="72"/>
        <v>#DIV/0!</v>
      </c>
      <c r="BF50" s="46" t="e">
        <f t="shared" si="72"/>
        <v>#DIV/0!</v>
      </c>
      <c r="BG50" s="46" t="e">
        <f t="shared" si="72"/>
        <v>#DIV/0!</v>
      </c>
      <c r="BH50" s="46" t="e">
        <f t="shared" si="72"/>
        <v>#DIV/0!</v>
      </c>
      <c r="BI50" s="46" t="e">
        <f t="shared" si="72"/>
        <v>#DIV/0!</v>
      </c>
      <c r="BJ50" s="46" t="e">
        <f t="shared" si="72"/>
        <v>#DIV/0!</v>
      </c>
      <c r="BK50" s="46" t="e">
        <f t="shared" si="72"/>
        <v>#DIV/0!</v>
      </c>
      <c r="BL50" s="46" t="e">
        <f t="shared" si="72"/>
        <v>#DIV/0!</v>
      </c>
      <c r="BM50" s="46" t="e">
        <f t="shared" si="72"/>
        <v>#DIV/0!</v>
      </c>
      <c r="BN50" s="46" t="e">
        <f t="shared" si="72"/>
        <v>#DIV/0!</v>
      </c>
      <c r="BO50" s="46" t="e">
        <f t="shared" si="72"/>
        <v>#DIV/0!</v>
      </c>
      <c r="BP50" s="46" t="e">
        <f t="shared" si="72"/>
        <v>#DIV/0!</v>
      </c>
      <c r="BQ50" s="46" t="e">
        <f t="shared" si="72"/>
        <v>#DIV/0!</v>
      </c>
      <c r="BR50" s="46" t="e">
        <f t="shared" si="72"/>
        <v>#DIV/0!</v>
      </c>
      <c r="BS50" s="46" t="e">
        <f t="shared" si="72"/>
        <v>#DIV/0!</v>
      </c>
      <c r="BT50" s="46" t="e">
        <f t="shared" si="72"/>
        <v>#DIV/0!</v>
      </c>
      <c r="BU50" s="46" t="e">
        <f t="shared" si="72"/>
        <v>#DIV/0!</v>
      </c>
      <c r="BV50" s="46" t="e">
        <f t="shared" ref="BV50:ED50" si="73">IF(AND(BV47&gt;0,EE46&gt;0,BV46&gt;0),IF(BU50&lt;&gt;0,BU50,BV2),0)</f>
        <v>#DIV/0!</v>
      </c>
      <c r="BW50" s="46" t="e">
        <f t="shared" si="73"/>
        <v>#DIV/0!</v>
      </c>
      <c r="BX50" s="46" t="e">
        <f t="shared" si="73"/>
        <v>#DIV/0!</v>
      </c>
      <c r="BY50" s="46" t="e">
        <f t="shared" si="73"/>
        <v>#DIV/0!</v>
      </c>
      <c r="BZ50" s="46" t="e">
        <f t="shared" si="73"/>
        <v>#DIV/0!</v>
      </c>
      <c r="CA50" s="46" t="e">
        <f t="shared" si="73"/>
        <v>#DIV/0!</v>
      </c>
      <c r="CB50" s="46" t="e">
        <f t="shared" si="73"/>
        <v>#DIV/0!</v>
      </c>
      <c r="CC50" s="46" t="e">
        <f t="shared" si="73"/>
        <v>#DIV/0!</v>
      </c>
      <c r="CD50" s="46" t="e">
        <f t="shared" si="73"/>
        <v>#DIV/0!</v>
      </c>
      <c r="CE50" s="46" t="e">
        <f t="shared" si="73"/>
        <v>#DIV/0!</v>
      </c>
      <c r="CF50" s="46" t="e">
        <f t="shared" si="73"/>
        <v>#DIV/0!</v>
      </c>
      <c r="CG50" s="46" t="e">
        <f t="shared" si="73"/>
        <v>#DIV/0!</v>
      </c>
      <c r="CH50" s="46" t="e">
        <f t="shared" si="73"/>
        <v>#DIV/0!</v>
      </c>
      <c r="CI50" s="46" t="e">
        <f t="shared" si="73"/>
        <v>#DIV/0!</v>
      </c>
      <c r="CJ50" s="46" t="e">
        <f t="shared" si="73"/>
        <v>#DIV/0!</v>
      </c>
      <c r="CK50" s="46" t="e">
        <f t="shared" si="73"/>
        <v>#DIV/0!</v>
      </c>
      <c r="CL50" s="46" t="e">
        <f t="shared" si="73"/>
        <v>#DIV/0!</v>
      </c>
      <c r="CM50" s="46" t="e">
        <f t="shared" si="73"/>
        <v>#DIV/0!</v>
      </c>
      <c r="CN50" s="46" t="e">
        <f t="shared" si="73"/>
        <v>#DIV/0!</v>
      </c>
      <c r="CO50" s="46" t="e">
        <f t="shared" si="73"/>
        <v>#DIV/0!</v>
      </c>
      <c r="CP50" s="46" t="e">
        <f t="shared" si="73"/>
        <v>#DIV/0!</v>
      </c>
      <c r="CQ50" s="46" t="e">
        <f t="shared" si="73"/>
        <v>#DIV/0!</v>
      </c>
      <c r="CR50" s="46" t="e">
        <f t="shared" si="73"/>
        <v>#DIV/0!</v>
      </c>
      <c r="CS50" s="46" t="e">
        <f t="shared" si="73"/>
        <v>#DIV/0!</v>
      </c>
      <c r="CT50" s="46" t="e">
        <f t="shared" si="73"/>
        <v>#DIV/0!</v>
      </c>
      <c r="CU50" s="46" t="e">
        <f t="shared" si="73"/>
        <v>#DIV/0!</v>
      </c>
      <c r="CV50" s="46" t="e">
        <f t="shared" si="73"/>
        <v>#DIV/0!</v>
      </c>
      <c r="CW50" s="46" t="e">
        <f t="shared" si="73"/>
        <v>#DIV/0!</v>
      </c>
      <c r="CX50" s="46" t="e">
        <f t="shared" si="73"/>
        <v>#DIV/0!</v>
      </c>
      <c r="CY50" s="46" t="e">
        <f t="shared" si="73"/>
        <v>#DIV/0!</v>
      </c>
      <c r="CZ50" s="46" t="e">
        <f t="shared" si="73"/>
        <v>#DIV/0!</v>
      </c>
      <c r="DA50" s="46" t="e">
        <f t="shared" si="73"/>
        <v>#DIV/0!</v>
      </c>
      <c r="DB50" s="46" t="e">
        <f t="shared" si="73"/>
        <v>#DIV/0!</v>
      </c>
      <c r="DC50" s="46" t="e">
        <f t="shared" si="73"/>
        <v>#DIV/0!</v>
      </c>
      <c r="DD50" s="46" t="e">
        <f t="shared" si="73"/>
        <v>#DIV/0!</v>
      </c>
      <c r="DE50" s="46" t="e">
        <f t="shared" si="73"/>
        <v>#DIV/0!</v>
      </c>
      <c r="DF50" s="46" t="e">
        <f t="shared" si="73"/>
        <v>#DIV/0!</v>
      </c>
      <c r="DG50" s="46" t="e">
        <f t="shared" si="73"/>
        <v>#DIV/0!</v>
      </c>
      <c r="DH50" s="46" t="e">
        <f t="shared" si="73"/>
        <v>#DIV/0!</v>
      </c>
      <c r="DI50" s="46" t="e">
        <f t="shared" si="73"/>
        <v>#DIV/0!</v>
      </c>
      <c r="DJ50" s="46" t="e">
        <f t="shared" si="73"/>
        <v>#DIV/0!</v>
      </c>
      <c r="DK50" s="46" t="e">
        <f t="shared" si="73"/>
        <v>#DIV/0!</v>
      </c>
      <c r="DL50" s="46" t="e">
        <f t="shared" si="73"/>
        <v>#DIV/0!</v>
      </c>
      <c r="DM50" s="46" t="e">
        <f t="shared" si="73"/>
        <v>#DIV/0!</v>
      </c>
      <c r="DN50" s="46" t="e">
        <f t="shared" si="73"/>
        <v>#DIV/0!</v>
      </c>
      <c r="DO50" s="46" t="e">
        <f t="shared" si="73"/>
        <v>#DIV/0!</v>
      </c>
      <c r="DP50" s="46" t="e">
        <f t="shared" si="73"/>
        <v>#DIV/0!</v>
      </c>
      <c r="DQ50" s="46" t="e">
        <f t="shared" si="73"/>
        <v>#DIV/0!</v>
      </c>
      <c r="DR50" s="46" t="e">
        <f t="shared" si="73"/>
        <v>#DIV/0!</v>
      </c>
      <c r="DS50" s="46" t="e">
        <f t="shared" si="73"/>
        <v>#DIV/0!</v>
      </c>
      <c r="DT50" s="46" t="e">
        <f t="shared" si="73"/>
        <v>#DIV/0!</v>
      </c>
      <c r="DU50" s="46" t="e">
        <f t="shared" si="73"/>
        <v>#DIV/0!</v>
      </c>
      <c r="DV50" s="46" t="e">
        <f t="shared" si="73"/>
        <v>#DIV/0!</v>
      </c>
      <c r="DW50" s="46" t="e">
        <f t="shared" si="73"/>
        <v>#DIV/0!</v>
      </c>
      <c r="DX50" s="46" t="e">
        <f t="shared" si="73"/>
        <v>#DIV/0!</v>
      </c>
      <c r="DY50" s="46" t="e">
        <f t="shared" si="73"/>
        <v>#DIV/0!</v>
      </c>
      <c r="DZ50" s="46" t="e">
        <f t="shared" si="73"/>
        <v>#DIV/0!</v>
      </c>
      <c r="EA50" s="46" t="e">
        <f t="shared" si="73"/>
        <v>#DIV/0!</v>
      </c>
      <c r="EB50" s="46" t="e">
        <f t="shared" si="73"/>
        <v>#DIV/0!</v>
      </c>
      <c r="EC50" s="46" t="e">
        <f t="shared" si="73"/>
        <v>#DIV/0!</v>
      </c>
      <c r="ED50" s="46" t="e">
        <f t="shared" si="73"/>
        <v>#DIV/0!</v>
      </c>
    </row>
    <row r="57" spans="2:134" ht="12.5" x14ac:dyDescent="0.25">
      <c r="C57" s="53"/>
      <c r="N57" s="53"/>
    </row>
    <row r="58" spans="2:134" ht="12.5" x14ac:dyDescent="0.25">
      <c r="C58" s="53"/>
      <c r="N58" s="53"/>
    </row>
    <row r="59" spans="2:134" ht="12.5" x14ac:dyDescent="0.25">
      <c r="C59" s="53"/>
      <c r="N59" s="53"/>
    </row>
    <row r="60" spans="2:134" ht="12.5" x14ac:dyDescent="0.25">
      <c r="C60" s="53"/>
      <c r="N60" s="53"/>
    </row>
    <row r="61" spans="2:134" ht="12.5" x14ac:dyDescent="0.25">
      <c r="C61" s="53"/>
      <c r="N61" s="53"/>
    </row>
    <row r="62" spans="2:134" ht="12.5" x14ac:dyDescent="0.25">
      <c r="C62" s="53"/>
      <c r="N62" s="53"/>
    </row>
    <row r="63" spans="2:134" ht="12.5" x14ac:dyDescent="0.25">
      <c r="C63" s="53"/>
      <c r="N63" s="53"/>
    </row>
    <row r="64" spans="2:134" ht="12.5" x14ac:dyDescent="0.25">
      <c r="C64" s="53"/>
      <c r="N64" s="53"/>
    </row>
    <row r="65" spans="3:14" ht="12.5" x14ac:dyDescent="0.25">
      <c r="C65" s="53"/>
      <c r="N65" s="53"/>
    </row>
    <row r="66" spans="3:14" ht="12.5" x14ac:dyDescent="0.25">
      <c r="C66" s="53"/>
      <c r="N66" s="53"/>
    </row>
    <row r="67" spans="3:14" ht="12.5" x14ac:dyDescent="0.25">
      <c r="C67" s="53"/>
      <c r="N67" s="53"/>
    </row>
    <row r="68" spans="3:14" ht="12.5" x14ac:dyDescent="0.25">
      <c r="C68" s="53"/>
      <c r="N68" s="53"/>
    </row>
    <row r="69" spans="3:14" ht="12.5" x14ac:dyDescent="0.25">
      <c r="C69" s="53"/>
      <c r="N69" s="53"/>
    </row>
    <row r="70" spans="3:14" ht="12.5" x14ac:dyDescent="0.25">
      <c r="C70" s="53"/>
      <c r="N70" s="53"/>
    </row>
    <row r="71" spans="3:14" ht="12.5" x14ac:dyDescent="0.25">
      <c r="C71" s="53"/>
      <c r="N71" s="53"/>
    </row>
    <row r="72" spans="3:14" ht="12.5" x14ac:dyDescent="0.25">
      <c r="C72" s="53"/>
      <c r="N72" s="53"/>
    </row>
    <row r="73" spans="3:14" ht="12.5" x14ac:dyDescent="0.25">
      <c r="C73" s="53"/>
      <c r="N73" s="53"/>
    </row>
    <row r="74" spans="3:14" ht="12.5" x14ac:dyDescent="0.25">
      <c r="C74" s="53"/>
      <c r="N74" s="53"/>
    </row>
    <row r="75" spans="3:14" ht="12.5" x14ac:dyDescent="0.25">
      <c r="C75" s="53"/>
      <c r="N75" s="53"/>
    </row>
    <row r="76" spans="3:14" ht="12.5" x14ac:dyDescent="0.25">
      <c r="C76" s="53"/>
      <c r="N76" s="53"/>
    </row>
    <row r="77" spans="3:14" ht="12.5" x14ac:dyDescent="0.25">
      <c r="C77" s="53"/>
      <c r="N77" s="53"/>
    </row>
    <row r="78" spans="3:14" ht="12.5" x14ac:dyDescent="0.25">
      <c r="C78" s="53"/>
      <c r="N78" s="53"/>
    </row>
    <row r="79" spans="3:14" ht="12.5" x14ac:dyDescent="0.25">
      <c r="C79" s="53"/>
      <c r="N79" s="53"/>
    </row>
    <row r="80" spans="3:14" ht="12.5" x14ac:dyDescent="0.25">
      <c r="C80" s="53"/>
      <c r="N80" s="53"/>
    </row>
    <row r="81" spans="3:14" ht="12.5" x14ac:dyDescent="0.25">
      <c r="C81" s="53"/>
      <c r="N81" s="53"/>
    </row>
    <row r="82" spans="3:14" ht="12.5" x14ac:dyDescent="0.25">
      <c r="C82" s="53"/>
      <c r="N82" s="53"/>
    </row>
    <row r="83" spans="3:14" ht="12.5" x14ac:dyDescent="0.25">
      <c r="C83" s="53"/>
      <c r="N83" s="53"/>
    </row>
    <row r="84" spans="3:14" ht="12.5" x14ac:dyDescent="0.25">
      <c r="C84" s="53"/>
      <c r="N84" s="53"/>
    </row>
    <row r="85" spans="3:14" ht="12.5" x14ac:dyDescent="0.25">
      <c r="C85" s="53"/>
      <c r="N85" s="53"/>
    </row>
    <row r="86" spans="3:14" ht="12.5" x14ac:dyDescent="0.25">
      <c r="C86" s="53"/>
      <c r="N86" s="53"/>
    </row>
    <row r="87" spans="3:14" ht="12.5" x14ac:dyDescent="0.25">
      <c r="C87" s="53"/>
      <c r="N87" s="53"/>
    </row>
    <row r="88" spans="3:14" ht="12.5" x14ac:dyDescent="0.25">
      <c r="C88" s="53"/>
      <c r="N88" s="53"/>
    </row>
    <row r="89" spans="3:14" ht="12.5" x14ac:dyDescent="0.25">
      <c r="C89" s="53"/>
      <c r="N89" s="53"/>
    </row>
    <row r="90" spans="3:14" ht="12.5" x14ac:dyDescent="0.25">
      <c r="C90" s="53"/>
      <c r="N90" s="53"/>
    </row>
    <row r="91" spans="3:14" ht="12.5" x14ac:dyDescent="0.25">
      <c r="C91" s="53"/>
      <c r="N91" s="53"/>
    </row>
    <row r="92" spans="3:14" ht="12.5" x14ac:dyDescent="0.25">
      <c r="C92" s="53"/>
      <c r="N92" s="53"/>
    </row>
    <row r="93" spans="3:14" ht="12.5" x14ac:dyDescent="0.25">
      <c r="C93" s="53"/>
      <c r="N93" s="53"/>
    </row>
    <row r="94" spans="3:14" ht="12.5" x14ac:dyDescent="0.25">
      <c r="C94" s="53"/>
      <c r="N94" s="53"/>
    </row>
    <row r="95" spans="3:14" ht="12.5" x14ac:dyDescent="0.25">
      <c r="C95" s="53"/>
      <c r="N95" s="53"/>
    </row>
    <row r="96" spans="3:14" ht="12.5" x14ac:dyDescent="0.25">
      <c r="C96" s="53"/>
      <c r="N96" s="53"/>
    </row>
    <row r="97" spans="3:14" ht="12.5" x14ac:dyDescent="0.25">
      <c r="C97" s="53"/>
      <c r="N97" s="53"/>
    </row>
    <row r="98" spans="3:14" ht="12.5" x14ac:dyDescent="0.25">
      <c r="C98" s="53"/>
      <c r="N98" s="53"/>
    </row>
    <row r="99" spans="3:14" ht="12.5" x14ac:dyDescent="0.25">
      <c r="C99" s="53"/>
      <c r="N99" s="53"/>
    </row>
    <row r="100" spans="3:14" ht="12.5" x14ac:dyDescent="0.25">
      <c r="C100" s="53"/>
      <c r="N100" s="53"/>
    </row>
    <row r="101" spans="3:14" ht="12.5" x14ac:dyDescent="0.25">
      <c r="C101" s="53"/>
      <c r="N101" s="53"/>
    </row>
    <row r="102" spans="3:14" ht="12.5" x14ac:dyDescent="0.25">
      <c r="C102" s="53"/>
      <c r="N102" s="53"/>
    </row>
    <row r="103" spans="3:14" ht="12.5" x14ac:dyDescent="0.25">
      <c r="C103" s="53"/>
      <c r="N103" s="53"/>
    </row>
    <row r="104" spans="3:14" ht="12.5" x14ac:dyDescent="0.25">
      <c r="C104" s="53"/>
      <c r="N104" s="53"/>
    </row>
    <row r="105" spans="3:14" ht="12.5" x14ac:dyDescent="0.25">
      <c r="C105" s="53"/>
      <c r="N105" s="53"/>
    </row>
    <row r="106" spans="3:14" ht="12.5" x14ac:dyDescent="0.25">
      <c r="C106" s="53"/>
      <c r="N106" s="53"/>
    </row>
    <row r="107" spans="3:14" ht="12.5" x14ac:dyDescent="0.25">
      <c r="C107" s="53"/>
      <c r="N107" s="53"/>
    </row>
    <row r="108" spans="3:14" ht="12.5" x14ac:dyDescent="0.25">
      <c r="C108" s="53"/>
      <c r="N108" s="53"/>
    </row>
    <row r="109" spans="3:14" ht="12.5" x14ac:dyDescent="0.25">
      <c r="C109" s="53"/>
      <c r="N109" s="53"/>
    </row>
    <row r="110" spans="3:14" ht="12.5" x14ac:dyDescent="0.25">
      <c r="C110" s="53"/>
      <c r="N110" s="53"/>
    </row>
    <row r="111" spans="3:14" ht="12.5" x14ac:dyDescent="0.25">
      <c r="C111" s="53"/>
      <c r="N111" s="53"/>
    </row>
    <row r="112" spans="3:14" ht="12.5" x14ac:dyDescent="0.25">
      <c r="C112" s="53"/>
      <c r="N112" s="53"/>
    </row>
    <row r="113" spans="3:14" ht="12.5" x14ac:dyDescent="0.25">
      <c r="C113" s="53"/>
      <c r="N113" s="53"/>
    </row>
    <row r="114" spans="3:14" ht="12.5" x14ac:dyDescent="0.25">
      <c r="C114" s="53"/>
      <c r="N114" s="53"/>
    </row>
    <row r="115" spans="3:14" ht="12.5" x14ac:dyDescent="0.25">
      <c r="C115" s="53"/>
      <c r="N115" s="53"/>
    </row>
    <row r="116" spans="3:14" ht="12.5" x14ac:dyDescent="0.25">
      <c r="C116" s="53"/>
      <c r="N116" s="53"/>
    </row>
    <row r="117" spans="3:14" ht="12.5" x14ac:dyDescent="0.25">
      <c r="C117" s="53"/>
      <c r="N117" s="53"/>
    </row>
    <row r="118" spans="3:14" ht="12.5" x14ac:dyDescent="0.25">
      <c r="C118" s="53"/>
      <c r="N118" s="53"/>
    </row>
    <row r="119" spans="3:14" ht="12.5" x14ac:dyDescent="0.25">
      <c r="C119" s="53"/>
      <c r="N119" s="53"/>
    </row>
    <row r="120" spans="3:14" ht="12.5" x14ac:dyDescent="0.25">
      <c r="C120" s="53"/>
      <c r="N120" s="53"/>
    </row>
    <row r="121" spans="3:14" ht="12.5" x14ac:dyDescent="0.25">
      <c r="C121" s="53"/>
      <c r="N121" s="53"/>
    </row>
    <row r="122" spans="3:14" ht="12.5" x14ac:dyDescent="0.25">
      <c r="C122" s="53"/>
      <c r="N122" s="53"/>
    </row>
    <row r="123" spans="3:14" ht="12.5" x14ac:dyDescent="0.25">
      <c r="C123" s="53"/>
      <c r="N123" s="53"/>
    </row>
    <row r="124" spans="3:14" ht="12.5" x14ac:dyDescent="0.25">
      <c r="C124" s="53"/>
      <c r="N124" s="53"/>
    </row>
    <row r="125" spans="3:14" ht="12.5" x14ac:dyDescent="0.25">
      <c r="C125" s="53"/>
      <c r="N125" s="53"/>
    </row>
    <row r="126" spans="3:14" ht="12.5" x14ac:dyDescent="0.25">
      <c r="C126" s="53"/>
      <c r="N126" s="53"/>
    </row>
    <row r="127" spans="3:14" ht="12.5" x14ac:dyDescent="0.25">
      <c r="C127" s="53"/>
      <c r="N127" s="53"/>
    </row>
    <row r="128" spans="3:14" ht="12.5" x14ac:dyDescent="0.25">
      <c r="C128" s="53"/>
      <c r="N128" s="53"/>
    </row>
    <row r="129" spans="3:14" ht="12.5" x14ac:dyDescent="0.25">
      <c r="C129" s="53"/>
      <c r="N129" s="53"/>
    </row>
    <row r="130" spans="3:14" ht="12.5" x14ac:dyDescent="0.25">
      <c r="C130" s="53"/>
      <c r="N130" s="53"/>
    </row>
    <row r="131" spans="3:14" ht="12.5" x14ac:dyDescent="0.25">
      <c r="C131" s="53"/>
      <c r="N131" s="53"/>
    </row>
    <row r="132" spans="3:14" ht="12.5" x14ac:dyDescent="0.25">
      <c r="C132" s="53"/>
      <c r="N132" s="53"/>
    </row>
    <row r="133" spans="3:14" ht="12.5" x14ac:dyDescent="0.25">
      <c r="C133" s="53"/>
      <c r="N133" s="53"/>
    </row>
    <row r="134" spans="3:14" ht="12.5" x14ac:dyDescent="0.25">
      <c r="C134" s="53"/>
      <c r="N134" s="53"/>
    </row>
    <row r="135" spans="3:14" ht="12.5" x14ac:dyDescent="0.25">
      <c r="C135" s="53"/>
      <c r="N135" s="53"/>
    </row>
    <row r="136" spans="3:14" ht="12.5" x14ac:dyDescent="0.25">
      <c r="C136" s="53"/>
      <c r="N136" s="53"/>
    </row>
    <row r="137" spans="3:14" ht="12.5" x14ac:dyDescent="0.25">
      <c r="C137" s="53"/>
      <c r="N137" s="53"/>
    </row>
    <row r="138" spans="3:14" ht="12.5" x14ac:dyDescent="0.25">
      <c r="C138" s="53"/>
      <c r="N138" s="53"/>
    </row>
    <row r="139" spans="3:14" ht="12.5" x14ac:dyDescent="0.25">
      <c r="C139" s="53"/>
      <c r="N139" s="53"/>
    </row>
    <row r="140" spans="3:14" ht="12.5" x14ac:dyDescent="0.25">
      <c r="C140" s="53"/>
      <c r="N140" s="53"/>
    </row>
    <row r="141" spans="3:14" ht="12.5" x14ac:dyDescent="0.25">
      <c r="C141" s="53"/>
      <c r="N141" s="53"/>
    </row>
    <row r="142" spans="3:14" ht="12.5" x14ac:dyDescent="0.25">
      <c r="C142" s="53"/>
      <c r="N142" s="53"/>
    </row>
    <row r="143" spans="3:14" ht="12.5" x14ac:dyDescent="0.25">
      <c r="C143" s="53"/>
      <c r="N143" s="53"/>
    </row>
    <row r="144" spans="3:14" ht="12.5" x14ac:dyDescent="0.25">
      <c r="C144" s="53"/>
      <c r="N144" s="53"/>
    </row>
    <row r="145" spans="3:14" ht="12.5" x14ac:dyDescent="0.25">
      <c r="C145" s="53"/>
      <c r="N145" s="53"/>
    </row>
    <row r="146" spans="3:14" ht="12.5" x14ac:dyDescent="0.25">
      <c r="C146" s="53"/>
      <c r="N146" s="53"/>
    </row>
    <row r="147" spans="3:14" ht="12.5" x14ac:dyDescent="0.25">
      <c r="C147" s="53"/>
      <c r="N147" s="53"/>
    </row>
    <row r="148" spans="3:14" ht="12.5" x14ac:dyDescent="0.25">
      <c r="C148" s="53"/>
      <c r="N148" s="53"/>
    </row>
    <row r="149" spans="3:14" ht="12.5" x14ac:dyDescent="0.25">
      <c r="C149" s="53"/>
      <c r="N149" s="53"/>
    </row>
    <row r="150" spans="3:14" ht="12.5" x14ac:dyDescent="0.25">
      <c r="C150" s="53"/>
      <c r="N150" s="53"/>
    </row>
    <row r="151" spans="3:14" ht="12.5" x14ac:dyDescent="0.25">
      <c r="C151" s="53"/>
      <c r="N151" s="53"/>
    </row>
    <row r="152" spans="3:14" ht="12.5" x14ac:dyDescent="0.25">
      <c r="C152" s="53"/>
      <c r="N152" s="53"/>
    </row>
    <row r="153" spans="3:14" ht="12.5" x14ac:dyDescent="0.25">
      <c r="C153" s="53"/>
      <c r="N153" s="53"/>
    </row>
    <row r="154" spans="3:14" ht="12.5" x14ac:dyDescent="0.25">
      <c r="C154" s="53"/>
      <c r="N154" s="53"/>
    </row>
    <row r="155" spans="3:14" ht="12.5" x14ac:dyDescent="0.25">
      <c r="C155" s="53"/>
      <c r="N155" s="53"/>
    </row>
    <row r="156" spans="3:14" ht="12.5" x14ac:dyDescent="0.25">
      <c r="C156" s="53"/>
      <c r="N156" s="53"/>
    </row>
    <row r="157" spans="3:14" ht="12.5" x14ac:dyDescent="0.25">
      <c r="C157" s="53"/>
      <c r="N157" s="53"/>
    </row>
    <row r="158" spans="3:14" ht="12.5" x14ac:dyDescent="0.25">
      <c r="C158" s="53"/>
      <c r="N158" s="53"/>
    </row>
    <row r="159" spans="3:14" ht="12.5" x14ac:dyDescent="0.25">
      <c r="C159" s="53"/>
      <c r="N159" s="53"/>
    </row>
    <row r="160" spans="3:14" ht="12.5" x14ac:dyDescent="0.25">
      <c r="C160" s="53"/>
      <c r="N160" s="53"/>
    </row>
    <row r="161" spans="3:14" ht="12.5" x14ac:dyDescent="0.25">
      <c r="C161" s="53"/>
      <c r="N161" s="53"/>
    </row>
    <row r="162" spans="3:14" ht="12.5" x14ac:dyDescent="0.25">
      <c r="C162" s="53"/>
      <c r="N162" s="53"/>
    </row>
    <row r="163" spans="3:14" ht="12.5" x14ac:dyDescent="0.25">
      <c r="C163" s="53"/>
      <c r="N163" s="53"/>
    </row>
    <row r="164" spans="3:14" ht="12.5" x14ac:dyDescent="0.25">
      <c r="C164" s="53"/>
      <c r="N164" s="53"/>
    </row>
    <row r="165" spans="3:14" ht="12.5" x14ac:dyDescent="0.25">
      <c r="C165" s="53"/>
      <c r="N165" s="53"/>
    </row>
    <row r="166" spans="3:14" ht="12.5" x14ac:dyDescent="0.25">
      <c r="C166" s="53"/>
      <c r="N166" s="53"/>
    </row>
    <row r="167" spans="3:14" ht="12.5" x14ac:dyDescent="0.25">
      <c r="C167" s="53"/>
      <c r="N167" s="53"/>
    </row>
    <row r="168" spans="3:14" ht="12.5" x14ac:dyDescent="0.25">
      <c r="C168" s="53"/>
      <c r="N168" s="53"/>
    </row>
    <row r="169" spans="3:14" ht="12.5" x14ac:dyDescent="0.25">
      <c r="C169" s="53"/>
      <c r="N169" s="53"/>
    </row>
    <row r="170" spans="3:14" ht="12.5" x14ac:dyDescent="0.25">
      <c r="C170" s="53"/>
      <c r="N170" s="53"/>
    </row>
    <row r="171" spans="3:14" ht="12.5" x14ac:dyDescent="0.25">
      <c r="C171" s="53"/>
      <c r="N171" s="53"/>
    </row>
    <row r="172" spans="3:14" ht="12.5" x14ac:dyDescent="0.25">
      <c r="C172" s="53"/>
      <c r="N172" s="53"/>
    </row>
    <row r="173" spans="3:14" ht="12.5" x14ac:dyDescent="0.25">
      <c r="C173" s="53"/>
      <c r="N173" s="53"/>
    </row>
    <row r="174" spans="3:14" ht="12.5" x14ac:dyDescent="0.25">
      <c r="C174" s="53"/>
      <c r="N174" s="53"/>
    </row>
    <row r="175" spans="3:14" ht="12.5" x14ac:dyDescent="0.25">
      <c r="C175" s="53"/>
      <c r="N175" s="53"/>
    </row>
    <row r="176" spans="3:14" ht="12.5" x14ac:dyDescent="0.25">
      <c r="C176" s="53"/>
      <c r="N176" s="53"/>
    </row>
    <row r="177" spans="3:14" ht="12.5" x14ac:dyDescent="0.25">
      <c r="C177" s="53"/>
      <c r="N177" s="53"/>
    </row>
    <row r="178" spans="3:14" ht="12.5" x14ac:dyDescent="0.25">
      <c r="C178" s="53"/>
      <c r="N178" s="53"/>
    </row>
    <row r="179" spans="3:14" ht="12.5" x14ac:dyDescent="0.25">
      <c r="C179" s="53"/>
      <c r="N179" s="53"/>
    </row>
    <row r="180" spans="3:14" ht="12.5" x14ac:dyDescent="0.25">
      <c r="C180" s="53"/>
      <c r="N180" s="53"/>
    </row>
    <row r="181" spans="3:14" ht="12.5" x14ac:dyDescent="0.25">
      <c r="C181" s="53"/>
      <c r="N181" s="53"/>
    </row>
    <row r="182" spans="3:14" ht="12.5" x14ac:dyDescent="0.25">
      <c r="C182" s="53"/>
      <c r="N182" s="53"/>
    </row>
    <row r="183" spans="3:14" ht="12.5" x14ac:dyDescent="0.25">
      <c r="C183" s="53"/>
      <c r="N183" s="53"/>
    </row>
    <row r="184" spans="3:14" ht="12.5" x14ac:dyDescent="0.25">
      <c r="C184" s="53"/>
      <c r="N184" s="53"/>
    </row>
    <row r="185" spans="3:14" ht="12.5" x14ac:dyDescent="0.25">
      <c r="C185" s="53"/>
      <c r="N185" s="53"/>
    </row>
    <row r="186" spans="3:14" ht="12.5" x14ac:dyDescent="0.25">
      <c r="C186" s="53"/>
      <c r="N186" s="53"/>
    </row>
    <row r="187" spans="3:14" ht="12.5" x14ac:dyDescent="0.25">
      <c r="C187" s="53"/>
      <c r="N187" s="53"/>
    </row>
    <row r="188" spans="3:14" ht="12.5" x14ac:dyDescent="0.25">
      <c r="C188" s="53"/>
      <c r="N188" s="53"/>
    </row>
    <row r="189" spans="3:14" ht="12.5" x14ac:dyDescent="0.25">
      <c r="C189" s="53"/>
      <c r="N189" s="53"/>
    </row>
    <row r="190" spans="3:14" ht="12.5" x14ac:dyDescent="0.25">
      <c r="C190" s="53"/>
      <c r="N190" s="53"/>
    </row>
    <row r="191" spans="3:14" ht="12.5" x14ac:dyDescent="0.25">
      <c r="C191" s="53"/>
      <c r="N191" s="53"/>
    </row>
    <row r="192" spans="3:14" ht="12.5" x14ac:dyDescent="0.25">
      <c r="C192" s="53"/>
      <c r="N192" s="53"/>
    </row>
    <row r="193" spans="3:14" ht="12.5" x14ac:dyDescent="0.25">
      <c r="C193" s="53"/>
      <c r="N193" s="53"/>
    </row>
    <row r="194" spans="3:14" ht="12.5" x14ac:dyDescent="0.25">
      <c r="C194" s="53"/>
      <c r="N194" s="53"/>
    </row>
    <row r="195" spans="3:14" ht="12.5" x14ac:dyDescent="0.25">
      <c r="C195" s="53"/>
      <c r="N195" s="53"/>
    </row>
    <row r="196" spans="3:14" ht="12.5" x14ac:dyDescent="0.25">
      <c r="C196" s="53"/>
      <c r="N196" s="53"/>
    </row>
    <row r="197" spans="3:14" ht="12.5" x14ac:dyDescent="0.25">
      <c r="C197" s="53"/>
      <c r="N197" s="53"/>
    </row>
    <row r="198" spans="3:14" ht="12.5" x14ac:dyDescent="0.25">
      <c r="C198" s="53"/>
      <c r="N198" s="53"/>
    </row>
    <row r="199" spans="3:14" ht="12.5" x14ac:dyDescent="0.25">
      <c r="C199" s="53"/>
      <c r="N199" s="53"/>
    </row>
    <row r="200" spans="3:14" ht="12.5" x14ac:dyDescent="0.25">
      <c r="C200" s="53"/>
      <c r="N200" s="53"/>
    </row>
    <row r="201" spans="3:14" ht="12.5" x14ac:dyDescent="0.25">
      <c r="C201" s="53"/>
      <c r="N201" s="53"/>
    </row>
    <row r="202" spans="3:14" ht="12.5" x14ac:dyDescent="0.25">
      <c r="C202" s="53"/>
      <c r="N202" s="53"/>
    </row>
    <row r="203" spans="3:14" ht="12.5" x14ac:dyDescent="0.25">
      <c r="C203" s="53"/>
      <c r="N203" s="53"/>
    </row>
    <row r="204" spans="3:14" ht="12.5" x14ac:dyDescent="0.25">
      <c r="C204" s="53"/>
      <c r="N204" s="53"/>
    </row>
    <row r="205" spans="3:14" ht="12.5" x14ac:dyDescent="0.25">
      <c r="C205" s="53"/>
      <c r="N205" s="53"/>
    </row>
    <row r="206" spans="3:14" ht="12.5" x14ac:dyDescent="0.25">
      <c r="C206" s="53"/>
      <c r="N206" s="53"/>
    </row>
    <row r="207" spans="3:14" ht="12.5" x14ac:dyDescent="0.25">
      <c r="C207" s="53"/>
      <c r="N207" s="53"/>
    </row>
    <row r="208" spans="3:14" ht="12.5" x14ac:dyDescent="0.25">
      <c r="C208" s="53"/>
      <c r="N208" s="53"/>
    </row>
    <row r="209" spans="3:14" ht="12.5" x14ac:dyDescent="0.25">
      <c r="C209" s="53"/>
      <c r="N209" s="53"/>
    </row>
    <row r="210" spans="3:14" ht="12.5" x14ac:dyDescent="0.25">
      <c r="C210" s="53"/>
      <c r="N210" s="53"/>
    </row>
    <row r="211" spans="3:14" ht="12.5" x14ac:dyDescent="0.25">
      <c r="C211" s="53"/>
      <c r="N211" s="53"/>
    </row>
    <row r="212" spans="3:14" ht="12.5" x14ac:dyDescent="0.25">
      <c r="C212" s="53"/>
      <c r="N212" s="53"/>
    </row>
    <row r="213" spans="3:14" ht="12.5" x14ac:dyDescent="0.25">
      <c r="C213" s="53"/>
      <c r="N213" s="53"/>
    </row>
    <row r="214" spans="3:14" ht="12.5" x14ac:dyDescent="0.25">
      <c r="C214" s="53"/>
      <c r="N214" s="53"/>
    </row>
    <row r="215" spans="3:14" ht="12.5" x14ac:dyDescent="0.25">
      <c r="C215" s="53"/>
      <c r="N215" s="53"/>
    </row>
    <row r="216" spans="3:14" ht="12.5" x14ac:dyDescent="0.25">
      <c r="C216" s="53"/>
      <c r="N216" s="53"/>
    </row>
    <row r="217" spans="3:14" ht="12.5" x14ac:dyDescent="0.25">
      <c r="C217" s="53"/>
      <c r="N217" s="53"/>
    </row>
    <row r="218" spans="3:14" ht="12.5" x14ac:dyDescent="0.25">
      <c r="C218" s="53"/>
      <c r="N218" s="53"/>
    </row>
    <row r="219" spans="3:14" ht="12.5" x14ac:dyDescent="0.25">
      <c r="C219" s="53"/>
      <c r="N219" s="53"/>
    </row>
    <row r="220" spans="3:14" ht="12.5" x14ac:dyDescent="0.25">
      <c r="C220" s="53"/>
      <c r="N220" s="53"/>
    </row>
    <row r="221" spans="3:14" ht="12.5" x14ac:dyDescent="0.25">
      <c r="C221" s="53"/>
      <c r="N221" s="53"/>
    </row>
    <row r="222" spans="3:14" ht="12.5" x14ac:dyDescent="0.25">
      <c r="C222" s="53"/>
      <c r="N222" s="53"/>
    </row>
    <row r="223" spans="3:14" ht="12.5" x14ac:dyDescent="0.25">
      <c r="C223" s="53"/>
      <c r="N223" s="53"/>
    </row>
    <row r="224" spans="3:14" ht="12.5" x14ac:dyDescent="0.25">
      <c r="C224" s="53"/>
      <c r="N224" s="53"/>
    </row>
    <row r="225" spans="3:14" ht="12.5" x14ac:dyDescent="0.25">
      <c r="C225" s="53"/>
      <c r="N225" s="53"/>
    </row>
    <row r="226" spans="3:14" ht="12.5" x14ac:dyDescent="0.25">
      <c r="C226" s="53"/>
      <c r="N226" s="53"/>
    </row>
    <row r="227" spans="3:14" ht="12.5" x14ac:dyDescent="0.25">
      <c r="C227" s="53"/>
      <c r="N227" s="53"/>
    </row>
    <row r="228" spans="3:14" ht="12.5" x14ac:dyDescent="0.25">
      <c r="C228" s="53"/>
      <c r="N228" s="53"/>
    </row>
    <row r="229" spans="3:14" ht="12.5" x14ac:dyDescent="0.25">
      <c r="C229" s="53"/>
      <c r="N229" s="53"/>
    </row>
    <row r="230" spans="3:14" ht="12.5" x14ac:dyDescent="0.25">
      <c r="C230" s="53"/>
      <c r="N230" s="53"/>
    </row>
    <row r="231" spans="3:14" ht="12.5" x14ac:dyDescent="0.25">
      <c r="C231" s="53"/>
      <c r="N231" s="53"/>
    </row>
    <row r="232" spans="3:14" ht="12.5" x14ac:dyDescent="0.25">
      <c r="C232" s="53"/>
      <c r="N232" s="53"/>
    </row>
    <row r="233" spans="3:14" ht="12.5" x14ac:dyDescent="0.25">
      <c r="C233" s="53"/>
      <c r="N233" s="53"/>
    </row>
    <row r="234" spans="3:14" ht="12.5" x14ac:dyDescent="0.25">
      <c r="C234" s="53"/>
      <c r="N234" s="53"/>
    </row>
    <row r="235" spans="3:14" ht="12.5" x14ac:dyDescent="0.25">
      <c r="C235" s="53"/>
      <c r="N235" s="53"/>
    </row>
    <row r="236" spans="3:14" ht="12.5" x14ac:dyDescent="0.25">
      <c r="C236" s="53"/>
      <c r="N236" s="53"/>
    </row>
    <row r="237" spans="3:14" ht="12.5" x14ac:dyDescent="0.25">
      <c r="C237" s="53"/>
      <c r="N237" s="53"/>
    </row>
    <row r="238" spans="3:14" ht="12.5" x14ac:dyDescent="0.25">
      <c r="C238" s="53"/>
      <c r="N238" s="53"/>
    </row>
    <row r="239" spans="3:14" ht="12.5" x14ac:dyDescent="0.25">
      <c r="C239" s="53"/>
      <c r="N239" s="53"/>
    </row>
    <row r="240" spans="3:14" ht="12.5" x14ac:dyDescent="0.25">
      <c r="C240" s="53"/>
      <c r="N240" s="53"/>
    </row>
    <row r="241" spans="3:14" ht="12.5" x14ac:dyDescent="0.25">
      <c r="C241" s="53"/>
      <c r="N241" s="53"/>
    </row>
    <row r="242" spans="3:14" ht="12.5" x14ac:dyDescent="0.25">
      <c r="C242" s="53"/>
      <c r="N242" s="53"/>
    </row>
    <row r="243" spans="3:14" ht="12.5" x14ac:dyDescent="0.25">
      <c r="C243" s="53"/>
      <c r="N243" s="53"/>
    </row>
    <row r="244" spans="3:14" ht="12.5" x14ac:dyDescent="0.25">
      <c r="C244" s="53"/>
      <c r="N244" s="53"/>
    </row>
    <row r="245" spans="3:14" ht="12.5" x14ac:dyDescent="0.25">
      <c r="C245" s="53"/>
      <c r="N245" s="53"/>
    </row>
    <row r="246" spans="3:14" ht="12.5" x14ac:dyDescent="0.25">
      <c r="C246" s="53"/>
      <c r="N246" s="53"/>
    </row>
    <row r="247" spans="3:14" ht="12.5" x14ac:dyDescent="0.25">
      <c r="C247" s="53"/>
      <c r="N247" s="53"/>
    </row>
    <row r="248" spans="3:14" ht="12.5" x14ac:dyDescent="0.25">
      <c r="C248" s="53"/>
      <c r="N248" s="53"/>
    </row>
    <row r="249" spans="3:14" ht="12.5" x14ac:dyDescent="0.25">
      <c r="C249" s="53"/>
      <c r="N249" s="53"/>
    </row>
    <row r="250" spans="3:14" ht="12.5" x14ac:dyDescent="0.25">
      <c r="C250" s="53"/>
      <c r="N250" s="53"/>
    </row>
    <row r="251" spans="3:14" ht="12.5" x14ac:dyDescent="0.25">
      <c r="C251" s="53"/>
      <c r="N251" s="53"/>
    </row>
    <row r="252" spans="3:14" ht="12.5" x14ac:dyDescent="0.25">
      <c r="C252" s="53"/>
      <c r="N252" s="53"/>
    </row>
    <row r="253" spans="3:14" ht="12.5" x14ac:dyDescent="0.25">
      <c r="C253" s="53"/>
      <c r="N253" s="53"/>
    </row>
    <row r="254" spans="3:14" ht="12.5" x14ac:dyDescent="0.25">
      <c r="C254" s="53"/>
      <c r="N254" s="53"/>
    </row>
    <row r="255" spans="3:14" ht="12.5" x14ac:dyDescent="0.25">
      <c r="C255" s="53"/>
      <c r="N255" s="53"/>
    </row>
    <row r="256" spans="3:14" ht="12.5" x14ac:dyDescent="0.25">
      <c r="C256" s="53"/>
      <c r="N256" s="53"/>
    </row>
    <row r="257" spans="3:14" ht="12.5" x14ac:dyDescent="0.25">
      <c r="C257" s="53"/>
      <c r="N257" s="53"/>
    </row>
    <row r="258" spans="3:14" ht="12.5" x14ac:dyDescent="0.25">
      <c r="C258" s="53"/>
      <c r="N258" s="53"/>
    </row>
    <row r="259" spans="3:14" ht="12.5" x14ac:dyDescent="0.25">
      <c r="C259" s="53"/>
      <c r="N259" s="53"/>
    </row>
    <row r="260" spans="3:14" ht="12.5" x14ac:dyDescent="0.25">
      <c r="C260" s="53"/>
      <c r="N260" s="53"/>
    </row>
    <row r="261" spans="3:14" ht="12.5" x14ac:dyDescent="0.25">
      <c r="C261" s="53"/>
      <c r="N261" s="53"/>
    </row>
    <row r="262" spans="3:14" ht="12.5" x14ac:dyDescent="0.25">
      <c r="C262" s="53"/>
      <c r="N262" s="53"/>
    </row>
    <row r="263" spans="3:14" ht="12.5" x14ac:dyDescent="0.25">
      <c r="C263" s="53"/>
      <c r="N263" s="53"/>
    </row>
    <row r="264" spans="3:14" ht="12.5" x14ac:dyDescent="0.25">
      <c r="C264" s="53"/>
      <c r="N264" s="53"/>
    </row>
    <row r="265" spans="3:14" ht="12.5" x14ac:dyDescent="0.25">
      <c r="C265" s="53"/>
      <c r="N265" s="53"/>
    </row>
    <row r="266" spans="3:14" ht="12.5" x14ac:dyDescent="0.25">
      <c r="C266" s="53"/>
      <c r="N266" s="53"/>
    </row>
    <row r="267" spans="3:14" ht="12.5" x14ac:dyDescent="0.25">
      <c r="C267" s="53"/>
      <c r="N267" s="53"/>
    </row>
    <row r="268" spans="3:14" ht="12.5" x14ac:dyDescent="0.25">
      <c r="C268" s="53"/>
      <c r="N268" s="53"/>
    </row>
    <row r="269" spans="3:14" ht="12.5" x14ac:dyDescent="0.25">
      <c r="C269" s="53"/>
      <c r="N269" s="53"/>
    </row>
    <row r="270" spans="3:14" ht="12.5" x14ac:dyDescent="0.25">
      <c r="C270" s="53"/>
      <c r="N270" s="53"/>
    </row>
    <row r="271" spans="3:14" ht="12.5" x14ac:dyDescent="0.25">
      <c r="C271" s="53"/>
      <c r="N271" s="53"/>
    </row>
    <row r="272" spans="3:14" ht="12.5" x14ac:dyDescent="0.25">
      <c r="C272" s="53"/>
      <c r="N272" s="53"/>
    </row>
    <row r="273" spans="3:14" ht="12.5" x14ac:dyDescent="0.25">
      <c r="C273" s="53"/>
      <c r="N273" s="53"/>
    </row>
    <row r="274" spans="3:14" ht="12.5" x14ac:dyDescent="0.25">
      <c r="C274" s="53"/>
      <c r="N274" s="53"/>
    </row>
    <row r="275" spans="3:14" ht="12.5" x14ac:dyDescent="0.25">
      <c r="C275" s="53"/>
      <c r="N275" s="53"/>
    </row>
    <row r="276" spans="3:14" ht="12.5" x14ac:dyDescent="0.25">
      <c r="C276" s="53"/>
      <c r="N276" s="53"/>
    </row>
    <row r="277" spans="3:14" ht="12.5" x14ac:dyDescent="0.25">
      <c r="C277" s="53"/>
      <c r="N277" s="53"/>
    </row>
    <row r="278" spans="3:14" ht="12.5" x14ac:dyDescent="0.25">
      <c r="C278" s="53"/>
      <c r="N278" s="53"/>
    </row>
    <row r="279" spans="3:14" ht="12.5" x14ac:dyDescent="0.25">
      <c r="C279" s="53"/>
      <c r="N279" s="53"/>
    </row>
    <row r="280" spans="3:14" ht="12.5" x14ac:dyDescent="0.25">
      <c r="C280" s="53"/>
      <c r="N280" s="53"/>
    </row>
    <row r="281" spans="3:14" ht="12.5" x14ac:dyDescent="0.25">
      <c r="C281" s="53"/>
      <c r="N281" s="53"/>
    </row>
    <row r="282" spans="3:14" ht="12.5" x14ac:dyDescent="0.25">
      <c r="C282" s="53"/>
      <c r="N282" s="53"/>
    </row>
    <row r="283" spans="3:14" ht="12.5" x14ac:dyDescent="0.25">
      <c r="C283" s="53"/>
      <c r="N283" s="53"/>
    </row>
    <row r="284" spans="3:14" ht="12.5" x14ac:dyDescent="0.25">
      <c r="C284" s="53"/>
      <c r="N284" s="53"/>
    </row>
    <row r="285" spans="3:14" ht="12.5" x14ac:dyDescent="0.25">
      <c r="C285" s="53"/>
      <c r="N285" s="53"/>
    </row>
    <row r="286" spans="3:14" ht="12.5" x14ac:dyDescent="0.25">
      <c r="C286" s="53"/>
      <c r="N286" s="53"/>
    </row>
    <row r="287" spans="3:14" ht="12.5" x14ac:dyDescent="0.25">
      <c r="C287" s="53"/>
      <c r="N287" s="53"/>
    </row>
    <row r="288" spans="3:14" ht="12.5" x14ac:dyDescent="0.25">
      <c r="C288" s="53"/>
      <c r="N288" s="53"/>
    </row>
    <row r="289" spans="3:14" ht="12.5" x14ac:dyDescent="0.25">
      <c r="C289" s="53"/>
      <c r="N289" s="53"/>
    </row>
    <row r="290" spans="3:14" ht="12.5" x14ac:dyDescent="0.25">
      <c r="C290" s="53"/>
      <c r="N290" s="53"/>
    </row>
    <row r="291" spans="3:14" ht="12.5" x14ac:dyDescent="0.25">
      <c r="C291" s="53"/>
      <c r="N291" s="53"/>
    </row>
    <row r="292" spans="3:14" ht="12.5" x14ac:dyDescent="0.25">
      <c r="C292" s="53"/>
      <c r="N292" s="53"/>
    </row>
    <row r="293" spans="3:14" ht="12.5" x14ac:dyDescent="0.25">
      <c r="C293" s="53"/>
      <c r="N293" s="53"/>
    </row>
    <row r="294" spans="3:14" ht="12.5" x14ac:dyDescent="0.25">
      <c r="C294" s="53"/>
      <c r="N294" s="53"/>
    </row>
    <row r="295" spans="3:14" ht="12.5" x14ac:dyDescent="0.25">
      <c r="C295" s="53"/>
      <c r="N295" s="53"/>
    </row>
    <row r="296" spans="3:14" ht="12.5" x14ac:dyDescent="0.25">
      <c r="C296" s="53"/>
      <c r="N296" s="53"/>
    </row>
    <row r="297" spans="3:14" ht="12.5" x14ac:dyDescent="0.25">
      <c r="C297" s="53"/>
      <c r="N297" s="53"/>
    </row>
    <row r="298" spans="3:14" ht="12.5" x14ac:dyDescent="0.25">
      <c r="C298" s="53"/>
      <c r="N298" s="53"/>
    </row>
    <row r="299" spans="3:14" ht="12.5" x14ac:dyDescent="0.25">
      <c r="C299" s="53"/>
      <c r="N299" s="53"/>
    </row>
    <row r="300" spans="3:14" ht="12.5" x14ac:dyDescent="0.25">
      <c r="C300" s="53"/>
      <c r="N300" s="53"/>
    </row>
    <row r="301" spans="3:14" ht="12.5" x14ac:dyDescent="0.25">
      <c r="C301" s="53"/>
      <c r="N301" s="53"/>
    </row>
    <row r="302" spans="3:14" ht="12.5" x14ac:dyDescent="0.25">
      <c r="C302" s="53"/>
      <c r="N302" s="53"/>
    </row>
    <row r="303" spans="3:14" ht="12.5" x14ac:dyDescent="0.25">
      <c r="C303" s="53"/>
      <c r="N303" s="53"/>
    </row>
    <row r="304" spans="3:14" ht="12.5" x14ac:dyDescent="0.25">
      <c r="C304" s="53"/>
      <c r="N304" s="53"/>
    </row>
    <row r="305" spans="3:14" ht="12.5" x14ac:dyDescent="0.25">
      <c r="C305" s="53"/>
      <c r="N305" s="53"/>
    </row>
    <row r="306" spans="3:14" ht="12.5" x14ac:dyDescent="0.25">
      <c r="C306" s="53"/>
      <c r="N306" s="53"/>
    </row>
    <row r="307" spans="3:14" ht="12.5" x14ac:dyDescent="0.25">
      <c r="C307" s="53"/>
      <c r="N307" s="53"/>
    </row>
    <row r="308" spans="3:14" ht="12.5" x14ac:dyDescent="0.25">
      <c r="C308" s="53"/>
      <c r="N308" s="53"/>
    </row>
    <row r="309" spans="3:14" ht="12.5" x14ac:dyDescent="0.25">
      <c r="C309" s="53"/>
      <c r="N309" s="53"/>
    </row>
    <row r="310" spans="3:14" ht="12.5" x14ac:dyDescent="0.25">
      <c r="C310" s="53"/>
      <c r="N310" s="53"/>
    </row>
    <row r="311" spans="3:14" ht="12.5" x14ac:dyDescent="0.25">
      <c r="C311" s="53"/>
      <c r="N311" s="53"/>
    </row>
    <row r="312" spans="3:14" ht="12.5" x14ac:dyDescent="0.25">
      <c r="C312" s="53"/>
      <c r="N312" s="53"/>
    </row>
    <row r="313" spans="3:14" ht="12.5" x14ac:dyDescent="0.25">
      <c r="C313" s="53"/>
      <c r="N313" s="53"/>
    </row>
    <row r="314" spans="3:14" ht="12.5" x14ac:dyDescent="0.25">
      <c r="C314" s="53"/>
      <c r="N314" s="53"/>
    </row>
    <row r="315" spans="3:14" ht="12.5" x14ac:dyDescent="0.25">
      <c r="C315" s="53"/>
      <c r="N315" s="53"/>
    </row>
    <row r="316" spans="3:14" ht="12.5" x14ac:dyDescent="0.25">
      <c r="C316" s="53"/>
      <c r="N316" s="53"/>
    </row>
    <row r="317" spans="3:14" ht="12.5" x14ac:dyDescent="0.25">
      <c r="C317" s="53"/>
      <c r="N317" s="53"/>
    </row>
    <row r="318" spans="3:14" ht="12.5" x14ac:dyDescent="0.25">
      <c r="C318" s="53"/>
      <c r="N318" s="53"/>
    </row>
    <row r="319" spans="3:14" ht="12.5" x14ac:dyDescent="0.25">
      <c r="C319" s="53"/>
      <c r="N319" s="53"/>
    </row>
    <row r="320" spans="3:14" ht="12.5" x14ac:dyDescent="0.25">
      <c r="C320" s="53"/>
      <c r="N320" s="53"/>
    </row>
    <row r="321" spans="3:14" ht="12.5" x14ac:dyDescent="0.25">
      <c r="C321" s="53"/>
      <c r="N321" s="53"/>
    </row>
    <row r="322" spans="3:14" ht="12.5" x14ac:dyDescent="0.25">
      <c r="C322" s="53"/>
      <c r="N322" s="53"/>
    </row>
    <row r="323" spans="3:14" ht="12.5" x14ac:dyDescent="0.25">
      <c r="C323" s="53"/>
      <c r="N323" s="53"/>
    </row>
    <row r="324" spans="3:14" ht="12.5" x14ac:dyDescent="0.25">
      <c r="C324" s="53"/>
      <c r="N324" s="53"/>
    </row>
    <row r="325" spans="3:14" ht="12.5" x14ac:dyDescent="0.25">
      <c r="C325" s="53"/>
      <c r="N325" s="53"/>
    </row>
    <row r="326" spans="3:14" ht="12.5" x14ac:dyDescent="0.25">
      <c r="C326" s="53"/>
      <c r="N326" s="53"/>
    </row>
    <row r="327" spans="3:14" ht="12.5" x14ac:dyDescent="0.25">
      <c r="C327" s="53"/>
      <c r="N327" s="53"/>
    </row>
    <row r="328" spans="3:14" ht="12.5" x14ac:dyDescent="0.25">
      <c r="C328" s="53"/>
      <c r="N328" s="53"/>
    </row>
    <row r="329" spans="3:14" ht="12.5" x14ac:dyDescent="0.25">
      <c r="C329" s="53"/>
      <c r="N329" s="53"/>
    </row>
    <row r="330" spans="3:14" ht="12.5" x14ac:dyDescent="0.25">
      <c r="C330" s="53"/>
      <c r="N330" s="53"/>
    </row>
    <row r="331" spans="3:14" ht="12.5" x14ac:dyDescent="0.25">
      <c r="C331" s="53"/>
      <c r="N331" s="53"/>
    </row>
    <row r="332" spans="3:14" ht="12.5" x14ac:dyDescent="0.25">
      <c r="C332" s="53"/>
      <c r="N332" s="53"/>
    </row>
    <row r="333" spans="3:14" ht="12.5" x14ac:dyDescent="0.25">
      <c r="C333" s="53"/>
      <c r="N333" s="53"/>
    </row>
    <row r="334" spans="3:14" ht="12.5" x14ac:dyDescent="0.25">
      <c r="C334" s="53"/>
      <c r="N334" s="53"/>
    </row>
    <row r="335" spans="3:14" ht="12.5" x14ac:dyDescent="0.25">
      <c r="C335" s="53"/>
      <c r="N335" s="53"/>
    </row>
    <row r="336" spans="3:14" ht="12.5" x14ac:dyDescent="0.25">
      <c r="C336" s="53"/>
      <c r="N336" s="53"/>
    </row>
    <row r="337" spans="3:14" ht="12.5" x14ac:dyDescent="0.25">
      <c r="C337" s="53"/>
      <c r="N337" s="53"/>
    </row>
    <row r="338" spans="3:14" ht="12.5" x14ac:dyDescent="0.25">
      <c r="C338" s="53"/>
      <c r="N338" s="53"/>
    </row>
    <row r="339" spans="3:14" ht="12.5" x14ac:dyDescent="0.25">
      <c r="C339" s="53"/>
      <c r="N339" s="53"/>
    </row>
    <row r="340" spans="3:14" ht="12.5" x14ac:dyDescent="0.25">
      <c r="C340" s="53"/>
      <c r="N340" s="53"/>
    </row>
    <row r="341" spans="3:14" ht="12.5" x14ac:dyDescent="0.25">
      <c r="C341" s="53"/>
      <c r="N341" s="53"/>
    </row>
    <row r="342" spans="3:14" ht="12.5" x14ac:dyDescent="0.25">
      <c r="C342" s="53"/>
      <c r="N342" s="53"/>
    </row>
    <row r="343" spans="3:14" ht="12.5" x14ac:dyDescent="0.25">
      <c r="C343" s="53"/>
      <c r="N343" s="53"/>
    </row>
    <row r="344" spans="3:14" ht="12.5" x14ac:dyDescent="0.25">
      <c r="C344" s="53"/>
      <c r="N344" s="53"/>
    </row>
    <row r="345" spans="3:14" ht="12.5" x14ac:dyDescent="0.25">
      <c r="C345" s="53"/>
      <c r="N345" s="53"/>
    </row>
    <row r="346" spans="3:14" ht="12.5" x14ac:dyDescent="0.25">
      <c r="C346" s="53"/>
      <c r="N346" s="53"/>
    </row>
    <row r="347" spans="3:14" ht="12.5" x14ac:dyDescent="0.25">
      <c r="C347" s="53"/>
      <c r="N347" s="53"/>
    </row>
    <row r="348" spans="3:14" ht="12.5" x14ac:dyDescent="0.25">
      <c r="C348" s="53"/>
      <c r="N348" s="53"/>
    </row>
    <row r="349" spans="3:14" ht="12.5" x14ac:dyDescent="0.25">
      <c r="C349" s="53"/>
      <c r="N349" s="53"/>
    </row>
    <row r="350" spans="3:14" ht="12.5" x14ac:dyDescent="0.25">
      <c r="C350" s="53"/>
      <c r="N350" s="53"/>
    </row>
    <row r="351" spans="3:14" ht="12.5" x14ac:dyDescent="0.25">
      <c r="C351" s="53"/>
      <c r="N351" s="53"/>
    </row>
    <row r="352" spans="3:14" ht="12.5" x14ac:dyDescent="0.25">
      <c r="C352" s="53"/>
      <c r="N352" s="53"/>
    </row>
    <row r="353" spans="3:14" ht="12.5" x14ac:dyDescent="0.25">
      <c r="C353" s="53"/>
      <c r="N353" s="53"/>
    </row>
    <row r="354" spans="3:14" ht="12.5" x14ac:dyDescent="0.25">
      <c r="C354" s="53"/>
      <c r="N354" s="53"/>
    </row>
    <row r="355" spans="3:14" ht="12.5" x14ac:dyDescent="0.25">
      <c r="C355" s="53"/>
      <c r="N355" s="53"/>
    </row>
    <row r="356" spans="3:14" ht="12.5" x14ac:dyDescent="0.25">
      <c r="C356" s="53"/>
      <c r="N356" s="53"/>
    </row>
    <row r="357" spans="3:14" ht="12.5" x14ac:dyDescent="0.25">
      <c r="C357" s="53"/>
      <c r="N357" s="53"/>
    </row>
    <row r="358" spans="3:14" ht="12.5" x14ac:dyDescent="0.25">
      <c r="C358" s="53"/>
      <c r="N358" s="53"/>
    </row>
    <row r="359" spans="3:14" ht="12.5" x14ac:dyDescent="0.25">
      <c r="C359" s="53"/>
      <c r="N359" s="53"/>
    </row>
    <row r="360" spans="3:14" ht="12.5" x14ac:dyDescent="0.25">
      <c r="C360" s="53"/>
      <c r="N360" s="53"/>
    </row>
    <row r="361" spans="3:14" ht="12.5" x14ac:dyDescent="0.25">
      <c r="C361" s="53"/>
      <c r="N361" s="53"/>
    </row>
    <row r="362" spans="3:14" ht="12.5" x14ac:dyDescent="0.25">
      <c r="C362" s="53"/>
      <c r="N362" s="53"/>
    </row>
    <row r="363" spans="3:14" ht="12.5" x14ac:dyDescent="0.25">
      <c r="C363" s="53"/>
      <c r="N363" s="53"/>
    </row>
    <row r="364" spans="3:14" ht="12.5" x14ac:dyDescent="0.25">
      <c r="C364" s="53"/>
      <c r="N364" s="53"/>
    </row>
    <row r="365" spans="3:14" ht="12.5" x14ac:dyDescent="0.25">
      <c r="C365" s="53"/>
      <c r="N365" s="53"/>
    </row>
    <row r="366" spans="3:14" ht="12.5" x14ac:dyDescent="0.25">
      <c r="C366" s="53"/>
      <c r="N366" s="53"/>
    </row>
    <row r="367" spans="3:14" ht="12.5" x14ac:dyDescent="0.25">
      <c r="C367" s="53"/>
      <c r="N367" s="53"/>
    </row>
    <row r="368" spans="3:14" ht="12.5" x14ac:dyDescent="0.25">
      <c r="C368" s="53"/>
      <c r="N368" s="53"/>
    </row>
    <row r="369" spans="3:14" ht="12.5" x14ac:dyDescent="0.25">
      <c r="C369" s="53"/>
      <c r="N369" s="53"/>
    </row>
    <row r="370" spans="3:14" ht="12.5" x14ac:dyDescent="0.25">
      <c r="C370" s="53"/>
      <c r="N370" s="53"/>
    </row>
    <row r="371" spans="3:14" ht="12.5" x14ac:dyDescent="0.25">
      <c r="C371" s="53"/>
      <c r="N371" s="53"/>
    </row>
    <row r="372" spans="3:14" ht="12.5" x14ac:dyDescent="0.25">
      <c r="C372" s="53"/>
      <c r="N372" s="53"/>
    </row>
    <row r="373" spans="3:14" ht="12.5" x14ac:dyDescent="0.25">
      <c r="C373" s="53"/>
      <c r="N373" s="53"/>
    </row>
    <row r="374" spans="3:14" ht="12.5" x14ac:dyDescent="0.25">
      <c r="C374" s="53"/>
      <c r="N374" s="53"/>
    </row>
    <row r="375" spans="3:14" ht="12.5" x14ac:dyDescent="0.25">
      <c r="C375" s="53"/>
      <c r="N375" s="53"/>
    </row>
    <row r="376" spans="3:14" ht="12.5" x14ac:dyDescent="0.25">
      <c r="C376" s="53"/>
      <c r="N376" s="53"/>
    </row>
    <row r="377" spans="3:14" ht="12.5" x14ac:dyDescent="0.25">
      <c r="C377" s="53"/>
      <c r="N377" s="53"/>
    </row>
    <row r="378" spans="3:14" ht="12.5" x14ac:dyDescent="0.25">
      <c r="C378" s="53"/>
      <c r="N378" s="53"/>
    </row>
    <row r="379" spans="3:14" ht="12.5" x14ac:dyDescent="0.25">
      <c r="C379" s="53"/>
      <c r="N379" s="53"/>
    </row>
    <row r="380" spans="3:14" ht="12.5" x14ac:dyDescent="0.25">
      <c r="C380" s="53"/>
      <c r="N380" s="53"/>
    </row>
    <row r="381" spans="3:14" ht="12.5" x14ac:dyDescent="0.25">
      <c r="C381" s="53"/>
      <c r="N381" s="53"/>
    </row>
    <row r="382" spans="3:14" ht="12.5" x14ac:dyDescent="0.25">
      <c r="C382" s="53"/>
      <c r="N382" s="53"/>
    </row>
    <row r="383" spans="3:14" ht="12.5" x14ac:dyDescent="0.25">
      <c r="C383" s="53"/>
      <c r="N383" s="53"/>
    </row>
    <row r="384" spans="3:14" ht="12.5" x14ac:dyDescent="0.25">
      <c r="C384" s="53"/>
      <c r="N384" s="53"/>
    </row>
    <row r="385" spans="3:14" ht="12.5" x14ac:dyDescent="0.25">
      <c r="C385" s="53"/>
      <c r="N385" s="53"/>
    </row>
    <row r="386" spans="3:14" ht="12.5" x14ac:dyDescent="0.25">
      <c r="C386" s="53"/>
      <c r="N386" s="53"/>
    </row>
    <row r="387" spans="3:14" ht="12.5" x14ac:dyDescent="0.25">
      <c r="C387" s="53"/>
      <c r="N387" s="53"/>
    </row>
    <row r="388" spans="3:14" ht="12.5" x14ac:dyDescent="0.25">
      <c r="C388" s="53"/>
      <c r="N388" s="53"/>
    </row>
    <row r="389" spans="3:14" ht="12.5" x14ac:dyDescent="0.25">
      <c r="C389" s="53"/>
      <c r="N389" s="53"/>
    </row>
    <row r="390" spans="3:14" ht="12.5" x14ac:dyDescent="0.25">
      <c r="C390" s="53"/>
      <c r="N390" s="53"/>
    </row>
    <row r="391" spans="3:14" ht="12.5" x14ac:dyDescent="0.25">
      <c r="C391" s="53"/>
      <c r="N391" s="53"/>
    </row>
    <row r="392" spans="3:14" ht="12.5" x14ac:dyDescent="0.25">
      <c r="C392" s="53"/>
      <c r="N392" s="53"/>
    </row>
    <row r="393" spans="3:14" ht="12.5" x14ac:dyDescent="0.25">
      <c r="C393" s="53"/>
      <c r="N393" s="53"/>
    </row>
    <row r="394" spans="3:14" ht="12.5" x14ac:dyDescent="0.25">
      <c r="C394" s="53"/>
      <c r="N394" s="53"/>
    </row>
    <row r="395" spans="3:14" ht="12.5" x14ac:dyDescent="0.25">
      <c r="C395" s="53"/>
      <c r="N395" s="53"/>
    </row>
    <row r="396" spans="3:14" ht="12.5" x14ac:dyDescent="0.25">
      <c r="C396" s="53"/>
      <c r="N396" s="53"/>
    </row>
    <row r="397" spans="3:14" ht="12.5" x14ac:dyDescent="0.25">
      <c r="C397" s="53"/>
      <c r="N397" s="53"/>
    </row>
    <row r="398" spans="3:14" ht="12.5" x14ac:dyDescent="0.25">
      <c r="C398" s="53"/>
      <c r="N398" s="53"/>
    </row>
    <row r="399" spans="3:14" ht="12.5" x14ac:dyDescent="0.25">
      <c r="C399" s="53"/>
      <c r="N399" s="53"/>
    </row>
    <row r="400" spans="3:14" ht="12.5" x14ac:dyDescent="0.25">
      <c r="C400" s="53"/>
      <c r="N400" s="53"/>
    </row>
    <row r="401" spans="3:14" ht="12.5" x14ac:dyDescent="0.25">
      <c r="C401" s="53"/>
      <c r="N401" s="53"/>
    </row>
    <row r="402" spans="3:14" ht="12.5" x14ac:dyDescent="0.25">
      <c r="C402" s="53"/>
      <c r="N402" s="53"/>
    </row>
    <row r="403" spans="3:14" ht="12.5" x14ac:dyDescent="0.25">
      <c r="C403" s="53"/>
      <c r="N403" s="53"/>
    </row>
    <row r="404" spans="3:14" ht="12.5" x14ac:dyDescent="0.25">
      <c r="C404" s="53"/>
      <c r="N404" s="53"/>
    </row>
    <row r="405" spans="3:14" ht="12.5" x14ac:dyDescent="0.25">
      <c r="C405" s="53"/>
      <c r="N405" s="53"/>
    </row>
    <row r="406" spans="3:14" ht="12.5" x14ac:dyDescent="0.25">
      <c r="C406" s="53"/>
      <c r="N406" s="53"/>
    </row>
    <row r="407" spans="3:14" ht="12.5" x14ac:dyDescent="0.25">
      <c r="C407" s="53"/>
      <c r="N407" s="53"/>
    </row>
    <row r="408" spans="3:14" ht="12.5" x14ac:dyDescent="0.25">
      <c r="C408" s="53"/>
      <c r="N408" s="53"/>
    </row>
    <row r="409" spans="3:14" ht="12.5" x14ac:dyDescent="0.25">
      <c r="C409" s="53"/>
      <c r="N409" s="53"/>
    </row>
    <row r="410" spans="3:14" ht="12.5" x14ac:dyDescent="0.25">
      <c r="C410" s="53"/>
      <c r="N410" s="53"/>
    </row>
    <row r="411" spans="3:14" ht="12.5" x14ac:dyDescent="0.25">
      <c r="C411" s="53"/>
      <c r="N411" s="53"/>
    </row>
    <row r="412" spans="3:14" ht="12.5" x14ac:dyDescent="0.25">
      <c r="C412" s="53"/>
      <c r="N412" s="53"/>
    </row>
    <row r="413" spans="3:14" ht="12.5" x14ac:dyDescent="0.25">
      <c r="C413" s="53"/>
      <c r="N413" s="53"/>
    </row>
    <row r="414" spans="3:14" ht="12.5" x14ac:dyDescent="0.25">
      <c r="C414" s="53"/>
      <c r="N414" s="53"/>
    </row>
    <row r="415" spans="3:14" ht="12.5" x14ac:dyDescent="0.25">
      <c r="C415" s="53"/>
      <c r="N415" s="53"/>
    </row>
    <row r="416" spans="3:14" ht="12.5" x14ac:dyDescent="0.25">
      <c r="C416" s="53"/>
      <c r="N416" s="53"/>
    </row>
    <row r="417" spans="3:14" ht="12.5" x14ac:dyDescent="0.25">
      <c r="C417" s="53"/>
      <c r="N417" s="53"/>
    </row>
    <row r="418" spans="3:14" ht="12.5" x14ac:dyDescent="0.25">
      <c r="C418" s="53"/>
      <c r="N418" s="53"/>
    </row>
    <row r="419" spans="3:14" ht="12.5" x14ac:dyDescent="0.25">
      <c r="C419" s="53"/>
      <c r="N419" s="53"/>
    </row>
    <row r="420" spans="3:14" ht="12.5" x14ac:dyDescent="0.25">
      <c r="C420" s="53"/>
      <c r="N420" s="53"/>
    </row>
    <row r="421" spans="3:14" ht="12.5" x14ac:dyDescent="0.25">
      <c r="C421" s="53"/>
      <c r="N421" s="53"/>
    </row>
    <row r="422" spans="3:14" ht="12.5" x14ac:dyDescent="0.25">
      <c r="C422" s="53"/>
      <c r="N422" s="53"/>
    </row>
    <row r="423" spans="3:14" ht="12.5" x14ac:dyDescent="0.25">
      <c r="C423" s="53"/>
      <c r="N423" s="53"/>
    </row>
    <row r="424" spans="3:14" ht="12.5" x14ac:dyDescent="0.25">
      <c r="C424" s="53"/>
      <c r="N424" s="53"/>
    </row>
    <row r="425" spans="3:14" ht="12.5" x14ac:dyDescent="0.25">
      <c r="C425" s="53"/>
      <c r="N425" s="53"/>
    </row>
    <row r="426" spans="3:14" ht="12.5" x14ac:dyDescent="0.25">
      <c r="C426" s="53"/>
      <c r="N426" s="53"/>
    </row>
    <row r="427" spans="3:14" ht="12.5" x14ac:dyDescent="0.25">
      <c r="C427" s="53"/>
      <c r="N427" s="53"/>
    </row>
    <row r="428" spans="3:14" ht="12.5" x14ac:dyDescent="0.25">
      <c r="C428" s="53"/>
      <c r="N428" s="53"/>
    </row>
    <row r="429" spans="3:14" ht="12.5" x14ac:dyDescent="0.25">
      <c r="C429" s="53"/>
      <c r="N429" s="53"/>
    </row>
    <row r="430" spans="3:14" ht="12.5" x14ac:dyDescent="0.25">
      <c r="C430" s="53"/>
      <c r="N430" s="53"/>
    </row>
    <row r="431" spans="3:14" ht="12.5" x14ac:dyDescent="0.25">
      <c r="C431" s="53"/>
      <c r="N431" s="53"/>
    </row>
    <row r="432" spans="3:14" ht="12.5" x14ac:dyDescent="0.25">
      <c r="C432" s="53"/>
      <c r="N432" s="53"/>
    </row>
    <row r="433" spans="3:14" ht="12.5" x14ac:dyDescent="0.25">
      <c r="C433" s="53"/>
      <c r="N433" s="53"/>
    </row>
    <row r="434" spans="3:14" ht="12.5" x14ac:dyDescent="0.25">
      <c r="C434" s="53"/>
      <c r="N434" s="53"/>
    </row>
    <row r="435" spans="3:14" ht="12.5" x14ac:dyDescent="0.25">
      <c r="C435" s="53"/>
      <c r="N435" s="53"/>
    </row>
    <row r="436" spans="3:14" ht="12.5" x14ac:dyDescent="0.25">
      <c r="C436" s="53"/>
      <c r="N436" s="53"/>
    </row>
    <row r="437" spans="3:14" ht="12.5" x14ac:dyDescent="0.25">
      <c r="C437" s="53"/>
      <c r="N437" s="53"/>
    </row>
    <row r="438" spans="3:14" ht="12.5" x14ac:dyDescent="0.25">
      <c r="C438" s="53"/>
      <c r="N438" s="53"/>
    </row>
    <row r="439" spans="3:14" ht="12.5" x14ac:dyDescent="0.25">
      <c r="C439" s="53"/>
      <c r="N439" s="53"/>
    </row>
    <row r="440" spans="3:14" ht="12.5" x14ac:dyDescent="0.25">
      <c r="C440" s="53"/>
      <c r="N440" s="53"/>
    </row>
    <row r="441" spans="3:14" ht="12.5" x14ac:dyDescent="0.25">
      <c r="C441" s="53"/>
      <c r="N441" s="53"/>
    </row>
    <row r="442" spans="3:14" ht="12.5" x14ac:dyDescent="0.25">
      <c r="C442" s="53"/>
      <c r="N442" s="53"/>
    </row>
    <row r="443" spans="3:14" ht="12.5" x14ac:dyDescent="0.25">
      <c r="C443" s="53"/>
      <c r="N443" s="53"/>
    </row>
    <row r="444" spans="3:14" ht="12.5" x14ac:dyDescent="0.25">
      <c r="C444" s="53"/>
      <c r="N444" s="53"/>
    </row>
    <row r="445" spans="3:14" ht="12.5" x14ac:dyDescent="0.25">
      <c r="C445" s="53"/>
      <c r="N445" s="53"/>
    </row>
    <row r="446" spans="3:14" ht="12.5" x14ac:dyDescent="0.25">
      <c r="C446" s="53"/>
      <c r="N446" s="53"/>
    </row>
    <row r="447" spans="3:14" ht="12.5" x14ac:dyDescent="0.25">
      <c r="C447" s="53"/>
      <c r="N447" s="53"/>
    </row>
    <row r="448" spans="3:14" ht="12.5" x14ac:dyDescent="0.25">
      <c r="C448" s="53"/>
      <c r="N448" s="53"/>
    </row>
    <row r="449" spans="3:14" ht="12.5" x14ac:dyDescent="0.25">
      <c r="C449" s="53"/>
      <c r="N449" s="53"/>
    </row>
    <row r="450" spans="3:14" ht="12.5" x14ac:dyDescent="0.25">
      <c r="C450" s="53"/>
      <c r="N450" s="53"/>
    </row>
    <row r="451" spans="3:14" ht="12.5" x14ac:dyDescent="0.25">
      <c r="C451" s="53"/>
      <c r="N451" s="53"/>
    </row>
    <row r="452" spans="3:14" ht="12.5" x14ac:dyDescent="0.25">
      <c r="C452" s="53"/>
      <c r="N452" s="53"/>
    </row>
    <row r="453" spans="3:14" ht="12.5" x14ac:dyDescent="0.25">
      <c r="C453" s="53"/>
      <c r="N453" s="53"/>
    </row>
    <row r="454" spans="3:14" ht="12.5" x14ac:dyDescent="0.25">
      <c r="C454" s="53"/>
      <c r="N454" s="53"/>
    </row>
    <row r="455" spans="3:14" ht="12.5" x14ac:dyDescent="0.25">
      <c r="C455" s="53"/>
      <c r="N455" s="53"/>
    </row>
    <row r="456" spans="3:14" ht="12.5" x14ac:dyDescent="0.25">
      <c r="C456" s="53"/>
      <c r="N456" s="53"/>
    </row>
    <row r="457" spans="3:14" ht="12.5" x14ac:dyDescent="0.25">
      <c r="C457" s="53"/>
      <c r="N457" s="53"/>
    </row>
    <row r="458" spans="3:14" ht="12.5" x14ac:dyDescent="0.25">
      <c r="C458" s="53"/>
      <c r="N458" s="53"/>
    </row>
    <row r="459" spans="3:14" ht="12.5" x14ac:dyDescent="0.25">
      <c r="C459" s="53"/>
      <c r="N459" s="53"/>
    </row>
    <row r="460" spans="3:14" ht="12.5" x14ac:dyDescent="0.25">
      <c r="C460" s="53"/>
      <c r="N460" s="53"/>
    </row>
    <row r="461" spans="3:14" ht="12.5" x14ac:dyDescent="0.25">
      <c r="C461" s="53"/>
      <c r="N461" s="53"/>
    </row>
    <row r="462" spans="3:14" ht="12.5" x14ac:dyDescent="0.25">
      <c r="C462" s="53"/>
      <c r="N462" s="53"/>
    </row>
    <row r="463" spans="3:14" ht="12.5" x14ac:dyDescent="0.25">
      <c r="C463" s="53"/>
      <c r="N463" s="53"/>
    </row>
    <row r="464" spans="3:14" ht="12.5" x14ac:dyDescent="0.25">
      <c r="C464" s="53"/>
      <c r="N464" s="53"/>
    </row>
    <row r="465" spans="3:14" ht="12.5" x14ac:dyDescent="0.25">
      <c r="C465" s="53"/>
      <c r="N465" s="53"/>
    </row>
    <row r="466" spans="3:14" ht="12.5" x14ac:dyDescent="0.25">
      <c r="C466" s="53"/>
      <c r="N466" s="53"/>
    </row>
    <row r="467" spans="3:14" ht="12.5" x14ac:dyDescent="0.25">
      <c r="C467" s="53"/>
      <c r="N467" s="53"/>
    </row>
    <row r="468" spans="3:14" ht="12.5" x14ac:dyDescent="0.25">
      <c r="C468" s="53"/>
      <c r="N468" s="53"/>
    </row>
    <row r="469" spans="3:14" ht="12.5" x14ac:dyDescent="0.25">
      <c r="C469" s="53"/>
      <c r="N469" s="53"/>
    </row>
    <row r="470" spans="3:14" ht="12.5" x14ac:dyDescent="0.25">
      <c r="C470" s="53"/>
      <c r="N470" s="53"/>
    </row>
    <row r="471" spans="3:14" ht="12.5" x14ac:dyDescent="0.25">
      <c r="C471" s="53"/>
      <c r="N471" s="53"/>
    </row>
    <row r="472" spans="3:14" ht="12.5" x14ac:dyDescent="0.25">
      <c r="C472" s="53"/>
      <c r="N472" s="53"/>
    </row>
    <row r="473" spans="3:14" ht="12.5" x14ac:dyDescent="0.25">
      <c r="C473" s="53"/>
      <c r="N473" s="53"/>
    </row>
    <row r="474" spans="3:14" ht="12.5" x14ac:dyDescent="0.25">
      <c r="C474" s="53"/>
      <c r="N474" s="53"/>
    </row>
    <row r="475" spans="3:14" ht="12.5" x14ac:dyDescent="0.25">
      <c r="C475" s="53"/>
      <c r="N475" s="53"/>
    </row>
    <row r="476" spans="3:14" ht="12.5" x14ac:dyDescent="0.25">
      <c r="C476" s="53"/>
      <c r="N476" s="53"/>
    </row>
    <row r="477" spans="3:14" ht="12.5" x14ac:dyDescent="0.25">
      <c r="C477" s="53"/>
      <c r="N477" s="53"/>
    </row>
    <row r="478" spans="3:14" ht="12.5" x14ac:dyDescent="0.25">
      <c r="C478" s="53"/>
      <c r="N478" s="53"/>
    </row>
    <row r="479" spans="3:14" ht="12.5" x14ac:dyDescent="0.25">
      <c r="C479" s="53"/>
      <c r="N479" s="53"/>
    </row>
    <row r="480" spans="3:14" ht="12.5" x14ac:dyDescent="0.25">
      <c r="C480" s="53"/>
      <c r="N480" s="53"/>
    </row>
    <row r="481" spans="3:14" ht="12.5" x14ac:dyDescent="0.25">
      <c r="C481" s="53"/>
      <c r="N481" s="53"/>
    </row>
    <row r="482" spans="3:14" ht="12.5" x14ac:dyDescent="0.25">
      <c r="C482" s="53"/>
      <c r="N482" s="53"/>
    </row>
    <row r="483" spans="3:14" ht="12.5" x14ac:dyDescent="0.25">
      <c r="C483" s="53"/>
      <c r="N483" s="53"/>
    </row>
    <row r="484" spans="3:14" ht="12.5" x14ac:dyDescent="0.25">
      <c r="C484" s="53"/>
      <c r="N484" s="53"/>
    </row>
    <row r="485" spans="3:14" ht="12.5" x14ac:dyDescent="0.25">
      <c r="C485" s="53"/>
      <c r="N485" s="53"/>
    </row>
    <row r="486" spans="3:14" ht="12.5" x14ac:dyDescent="0.25">
      <c r="C486" s="53"/>
      <c r="N486" s="53"/>
    </row>
    <row r="487" spans="3:14" ht="12.5" x14ac:dyDescent="0.25">
      <c r="C487" s="53"/>
      <c r="N487" s="53"/>
    </row>
    <row r="488" spans="3:14" ht="12.5" x14ac:dyDescent="0.25">
      <c r="C488" s="53"/>
      <c r="N488" s="53"/>
    </row>
    <row r="489" spans="3:14" ht="12.5" x14ac:dyDescent="0.25">
      <c r="C489" s="53"/>
      <c r="N489" s="53"/>
    </row>
    <row r="490" spans="3:14" ht="12.5" x14ac:dyDescent="0.25">
      <c r="C490" s="53"/>
      <c r="N490" s="53"/>
    </row>
    <row r="491" spans="3:14" ht="12.5" x14ac:dyDescent="0.25">
      <c r="C491" s="53"/>
      <c r="N491" s="53"/>
    </row>
    <row r="492" spans="3:14" ht="12.5" x14ac:dyDescent="0.25">
      <c r="C492" s="53"/>
      <c r="N492" s="53"/>
    </row>
    <row r="493" spans="3:14" ht="12.5" x14ac:dyDescent="0.25">
      <c r="C493" s="53"/>
      <c r="N493" s="53"/>
    </row>
    <row r="494" spans="3:14" ht="12.5" x14ac:dyDescent="0.25">
      <c r="C494" s="53"/>
      <c r="N494" s="53"/>
    </row>
    <row r="495" spans="3:14" ht="12.5" x14ac:dyDescent="0.25">
      <c r="C495" s="53"/>
      <c r="N495" s="53"/>
    </row>
    <row r="496" spans="3:14" ht="12.5" x14ac:dyDescent="0.25">
      <c r="C496" s="53"/>
      <c r="N496" s="53"/>
    </row>
    <row r="497" spans="3:14" ht="12.5" x14ac:dyDescent="0.25">
      <c r="C497" s="53"/>
      <c r="N497" s="53"/>
    </row>
    <row r="498" spans="3:14" ht="12.5" x14ac:dyDescent="0.25">
      <c r="C498" s="53"/>
      <c r="N498" s="53"/>
    </row>
    <row r="499" spans="3:14" ht="12.5" x14ac:dyDescent="0.25">
      <c r="C499" s="53"/>
      <c r="N499" s="53"/>
    </row>
    <row r="500" spans="3:14" ht="12.5" x14ac:dyDescent="0.25">
      <c r="C500" s="53"/>
      <c r="N500" s="53"/>
    </row>
    <row r="501" spans="3:14" ht="12.5" x14ac:dyDescent="0.25">
      <c r="C501" s="53"/>
      <c r="N501" s="53"/>
    </row>
    <row r="502" spans="3:14" ht="12.5" x14ac:dyDescent="0.25">
      <c r="C502" s="53"/>
      <c r="N502" s="53"/>
    </row>
    <row r="503" spans="3:14" ht="12.5" x14ac:dyDescent="0.25">
      <c r="C503" s="53"/>
      <c r="N503" s="53"/>
    </row>
    <row r="504" spans="3:14" ht="12.5" x14ac:dyDescent="0.25">
      <c r="C504" s="53"/>
      <c r="N504" s="53"/>
    </row>
    <row r="505" spans="3:14" ht="12.5" x14ac:dyDescent="0.25">
      <c r="C505" s="53"/>
      <c r="N505" s="53"/>
    </row>
    <row r="506" spans="3:14" ht="12.5" x14ac:dyDescent="0.25">
      <c r="C506" s="53"/>
      <c r="N506" s="53"/>
    </row>
    <row r="507" spans="3:14" ht="12.5" x14ac:dyDescent="0.25">
      <c r="C507" s="53"/>
      <c r="N507" s="53"/>
    </row>
    <row r="508" spans="3:14" ht="12.5" x14ac:dyDescent="0.25">
      <c r="C508" s="53"/>
      <c r="N508" s="53"/>
    </row>
    <row r="509" spans="3:14" ht="12.5" x14ac:dyDescent="0.25">
      <c r="C509" s="53"/>
      <c r="N509" s="53"/>
    </row>
    <row r="510" spans="3:14" ht="12.5" x14ac:dyDescent="0.25">
      <c r="C510" s="53"/>
      <c r="N510" s="53"/>
    </row>
    <row r="511" spans="3:14" ht="12.5" x14ac:dyDescent="0.25">
      <c r="C511" s="53"/>
      <c r="N511" s="53"/>
    </row>
    <row r="512" spans="3:14" ht="12.5" x14ac:dyDescent="0.25">
      <c r="C512" s="53"/>
      <c r="N512" s="53"/>
    </row>
    <row r="513" spans="3:14" ht="12.5" x14ac:dyDescent="0.25">
      <c r="C513" s="53"/>
      <c r="N513" s="53"/>
    </row>
    <row r="514" spans="3:14" ht="12.5" x14ac:dyDescent="0.25">
      <c r="C514" s="53"/>
      <c r="N514" s="53"/>
    </row>
    <row r="515" spans="3:14" ht="12.5" x14ac:dyDescent="0.25">
      <c r="C515" s="53"/>
      <c r="N515" s="53"/>
    </row>
    <row r="516" spans="3:14" ht="12.5" x14ac:dyDescent="0.25">
      <c r="C516" s="53"/>
      <c r="N516" s="53"/>
    </row>
    <row r="517" spans="3:14" ht="12.5" x14ac:dyDescent="0.25">
      <c r="C517" s="53"/>
      <c r="N517" s="53"/>
    </row>
    <row r="518" spans="3:14" ht="12.5" x14ac:dyDescent="0.25">
      <c r="C518" s="53"/>
      <c r="N518" s="53"/>
    </row>
    <row r="519" spans="3:14" ht="12.5" x14ac:dyDescent="0.25">
      <c r="C519" s="53"/>
      <c r="N519" s="53"/>
    </row>
    <row r="520" spans="3:14" ht="12.5" x14ac:dyDescent="0.25">
      <c r="C520" s="53"/>
      <c r="N520" s="53"/>
    </row>
    <row r="521" spans="3:14" ht="12.5" x14ac:dyDescent="0.25">
      <c r="C521" s="53"/>
      <c r="N521" s="53"/>
    </row>
    <row r="522" spans="3:14" ht="12.5" x14ac:dyDescent="0.25">
      <c r="C522" s="53"/>
      <c r="N522" s="53"/>
    </row>
    <row r="523" spans="3:14" ht="12.5" x14ac:dyDescent="0.25">
      <c r="C523" s="53"/>
      <c r="N523" s="53"/>
    </row>
    <row r="524" spans="3:14" ht="12.5" x14ac:dyDescent="0.25">
      <c r="C524" s="53"/>
      <c r="N524" s="53"/>
    </row>
    <row r="525" spans="3:14" ht="12.5" x14ac:dyDescent="0.25">
      <c r="C525" s="53"/>
      <c r="N525" s="53"/>
    </row>
    <row r="526" spans="3:14" ht="12.5" x14ac:dyDescent="0.25">
      <c r="C526" s="53"/>
      <c r="N526" s="53"/>
    </row>
    <row r="527" spans="3:14" ht="12.5" x14ac:dyDescent="0.25">
      <c r="C527" s="53"/>
      <c r="N527" s="53"/>
    </row>
    <row r="528" spans="3:14" ht="12.5" x14ac:dyDescent="0.25">
      <c r="C528" s="53"/>
      <c r="N528" s="53"/>
    </row>
    <row r="529" spans="3:14" ht="12.5" x14ac:dyDescent="0.25">
      <c r="C529" s="53"/>
      <c r="N529" s="53"/>
    </row>
    <row r="530" spans="3:14" ht="12.5" x14ac:dyDescent="0.25">
      <c r="C530" s="53"/>
      <c r="N530" s="53"/>
    </row>
    <row r="531" spans="3:14" ht="12.5" x14ac:dyDescent="0.25">
      <c r="C531" s="53"/>
      <c r="N531" s="53"/>
    </row>
    <row r="532" spans="3:14" ht="12.5" x14ac:dyDescent="0.25">
      <c r="C532" s="53"/>
      <c r="N532" s="53"/>
    </row>
    <row r="533" spans="3:14" ht="12.5" x14ac:dyDescent="0.25">
      <c r="C533" s="53"/>
      <c r="N533" s="53"/>
    </row>
    <row r="534" spans="3:14" ht="12.5" x14ac:dyDescent="0.25">
      <c r="C534" s="53"/>
      <c r="N534" s="53"/>
    </row>
    <row r="535" spans="3:14" ht="12.5" x14ac:dyDescent="0.25">
      <c r="C535" s="53"/>
      <c r="N535" s="53"/>
    </row>
    <row r="536" spans="3:14" ht="12.5" x14ac:dyDescent="0.25">
      <c r="C536" s="53"/>
      <c r="N536" s="53"/>
    </row>
    <row r="537" spans="3:14" ht="12.5" x14ac:dyDescent="0.25">
      <c r="C537" s="53"/>
      <c r="N537" s="53"/>
    </row>
    <row r="538" spans="3:14" ht="12.5" x14ac:dyDescent="0.25">
      <c r="C538" s="53"/>
      <c r="N538" s="53"/>
    </row>
    <row r="539" spans="3:14" ht="12.5" x14ac:dyDescent="0.25">
      <c r="C539" s="53"/>
      <c r="N539" s="53"/>
    </row>
    <row r="540" spans="3:14" ht="12.5" x14ac:dyDescent="0.25">
      <c r="C540" s="53"/>
      <c r="N540" s="53"/>
    </row>
    <row r="541" spans="3:14" ht="12.5" x14ac:dyDescent="0.25">
      <c r="C541" s="53"/>
      <c r="N541" s="53"/>
    </row>
    <row r="542" spans="3:14" ht="12.5" x14ac:dyDescent="0.25">
      <c r="C542" s="53"/>
      <c r="N542" s="53"/>
    </row>
    <row r="543" spans="3:14" ht="12.5" x14ac:dyDescent="0.25">
      <c r="C543" s="53"/>
      <c r="N543" s="53"/>
    </row>
    <row r="544" spans="3:14" ht="12.5" x14ac:dyDescent="0.25">
      <c r="C544" s="53"/>
      <c r="N544" s="53"/>
    </row>
    <row r="545" spans="3:14" ht="12.5" x14ac:dyDescent="0.25">
      <c r="C545" s="53"/>
      <c r="N545" s="53"/>
    </row>
    <row r="546" spans="3:14" ht="12.5" x14ac:dyDescent="0.25">
      <c r="C546" s="53"/>
      <c r="N546" s="53"/>
    </row>
    <row r="547" spans="3:14" ht="12.5" x14ac:dyDescent="0.25">
      <c r="C547" s="53"/>
      <c r="N547" s="53"/>
    </row>
    <row r="548" spans="3:14" ht="12.5" x14ac:dyDescent="0.25">
      <c r="C548" s="53"/>
      <c r="N548" s="53"/>
    </row>
    <row r="549" spans="3:14" ht="12.5" x14ac:dyDescent="0.25">
      <c r="C549" s="53"/>
      <c r="N549" s="53"/>
    </row>
    <row r="550" spans="3:14" ht="12.5" x14ac:dyDescent="0.25">
      <c r="C550" s="53"/>
      <c r="N550" s="53"/>
    </row>
    <row r="551" spans="3:14" ht="12.5" x14ac:dyDescent="0.25">
      <c r="C551" s="53"/>
      <c r="N551" s="53"/>
    </row>
    <row r="552" spans="3:14" ht="12.5" x14ac:dyDescent="0.25">
      <c r="C552" s="53"/>
      <c r="N552" s="53"/>
    </row>
    <row r="553" spans="3:14" ht="12.5" x14ac:dyDescent="0.25">
      <c r="C553" s="53"/>
      <c r="N553" s="53"/>
    </row>
    <row r="554" spans="3:14" ht="12.5" x14ac:dyDescent="0.25">
      <c r="C554" s="53"/>
      <c r="N554" s="53"/>
    </row>
    <row r="555" spans="3:14" ht="12.5" x14ac:dyDescent="0.25">
      <c r="C555" s="53"/>
      <c r="N555" s="53"/>
    </row>
    <row r="556" spans="3:14" ht="12.5" x14ac:dyDescent="0.25">
      <c r="C556" s="53"/>
      <c r="N556" s="53"/>
    </row>
    <row r="557" spans="3:14" ht="12.5" x14ac:dyDescent="0.25">
      <c r="C557" s="53"/>
      <c r="N557" s="53"/>
    </row>
    <row r="558" spans="3:14" ht="12.5" x14ac:dyDescent="0.25">
      <c r="C558" s="53"/>
      <c r="N558" s="53"/>
    </row>
    <row r="559" spans="3:14" ht="12.5" x14ac:dyDescent="0.25">
      <c r="C559" s="53"/>
      <c r="N559" s="53"/>
    </row>
    <row r="560" spans="3:14" ht="12.5" x14ac:dyDescent="0.25">
      <c r="C560" s="53"/>
      <c r="N560" s="53"/>
    </row>
    <row r="561" spans="3:14" ht="12.5" x14ac:dyDescent="0.25">
      <c r="C561" s="53"/>
      <c r="N561" s="53"/>
    </row>
    <row r="562" spans="3:14" ht="12.5" x14ac:dyDescent="0.25">
      <c r="C562" s="53"/>
      <c r="N562" s="53"/>
    </row>
    <row r="563" spans="3:14" ht="12.5" x14ac:dyDescent="0.25">
      <c r="C563" s="53"/>
      <c r="N563" s="53"/>
    </row>
    <row r="564" spans="3:14" ht="12.5" x14ac:dyDescent="0.25">
      <c r="C564" s="53"/>
      <c r="N564" s="53"/>
    </row>
    <row r="565" spans="3:14" ht="12.5" x14ac:dyDescent="0.25">
      <c r="C565" s="53"/>
      <c r="N565" s="53"/>
    </row>
    <row r="566" spans="3:14" ht="12.5" x14ac:dyDescent="0.25">
      <c r="C566" s="53"/>
      <c r="N566" s="53"/>
    </row>
    <row r="567" spans="3:14" ht="12.5" x14ac:dyDescent="0.25">
      <c r="C567" s="53"/>
      <c r="N567" s="53"/>
    </row>
    <row r="568" spans="3:14" ht="12.5" x14ac:dyDescent="0.25">
      <c r="C568" s="53"/>
      <c r="N568" s="53"/>
    </row>
    <row r="569" spans="3:14" ht="12.5" x14ac:dyDescent="0.25">
      <c r="C569" s="53"/>
      <c r="N569" s="53"/>
    </row>
    <row r="570" spans="3:14" ht="12.5" x14ac:dyDescent="0.25">
      <c r="C570" s="53"/>
      <c r="N570" s="53"/>
    </row>
    <row r="571" spans="3:14" ht="12.5" x14ac:dyDescent="0.25">
      <c r="C571" s="53"/>
      <c r="N571" s="53"/>
    </row>
    <row r="572" spans="3:14" ht="12.5" x14ac:dyDescent="0.25">
      <c r="C572" s="53"/>
      <c r="N572" s="53"/>
    </row>
    <row r="573" spans="3:14" ht="12.5" x14ac:dyDescent="0.25">
      <c r="C573" s="53"/>
      <c r="N573" s="53"/>
    </row>
    <row r="574" spans="3:14" ht="12.5" x14ac:dyDescent="0.25">
      <c r="C574" s="53"/>
      <c r="N574" s="53"/>
    </row>
    <row r="575" spans="3:14" ht="12.5" x14ac:dyDescent="0.25">
      <c r="C575" s="53"/>
      <c r="N575" s="53"/>
    </row>
    <row r="576" spans="3:14" ht="12.5" x14ac:dyDescent="0.25">
      <c r="C576" s="53"/>
      <c r="N576" s="53"/>
    </row>
    <row r="577" spans="3:14" ht="12.5" x14ac:dyDescent="0.25">
      <c r="C577" s="53"/>
      <c r="N577" s="53"/>
    </row>
    <row r="578" spans="3:14" ht="12.5" x14ac:dyDescent="0.25">
      <c r="C578" s="53"/>
      <c r="N578" s="53"/>
    </row>
    <row r="579" spans="3:14" ht="12.5" x14ac:dyDescent="0.25">
      <c r="C579" s="53"/>
      <c r="N579" s="53"/>
    </row>
    <row r="580" spans="3:14" ht="12.5" x14ac:dyDescent="0.25">
      <c r="C580" s="53"/>
      <c r="N580" s="53"/>
    </row>
    <row r="581" spans="3:14" ht="12.5" x14ac:dyDescent="0.25">
      <c r="C581" s="53"/>
      <c r="N581" s="53"/>
    </row>
    <row r="582" spans="3:14" ht="12.5" x14ac:dyDescent="0.25">
      <c r="C582" s="53"/>
      <c r="N582" s="53"/>
    </row>
    <row r="583" spans="3:14" ht="12.5" x14ac:dyDescent="0.25">
      <c r="C583" s="53"/>
      <c r="N583" s="53"/>
    </row>
    <row r="584" spans="3:14" ht="12.5" x14ac:dyDescent="0.25">
      <c r="C584" s="53"/>
      <c r="N584" s="53"/>
    </row>
    <row r="585" spans="3:14" ht="12.5" x14ac:dyDescent="0.25">
      <c r="C585" s="53"/>
      <c r="N585" s="53"/>
    </row>
    <row r="586" spans="3:14" ht="12.5" x14ac:dyDescent="0.25">
      <c r="C586" s="53"/>
      <c r="N586" s="53"/>
    </row>
    <row r="587" spans="3:14" ht="12.5" x14ac:dyDescent="0.25">
      <c r="C587" s="53"/>
      <c r="N587" s="53"/>
    </row>
    <row r="588" spans="3:14" ht="12.5" x14ac:dyDescent="0.25">
      <c r="C588" s="53"/>
      <c r="N588" s="53"/>
    </row>
    <row r="589" spans="3:14" ht="12.5" x14ac:dyDescent="0.25">
      <c r="C589" s="53"/>
      <c r="N589" s="53"/>
    </row>
    <row r="590" spans="3:14" ht="12.5" x14ac:dyDescent="0.25">
      <c r="C590" s="53"/>
      <c r="N590" s="53"/>
    </row>
    <row r="591" spans="3:14" ht="12.5" x14ac:dyDescent="0.25">
      <c r="C591" s="53"/>
      <c r="N591" s="53"/>
    </row>
    <row r="592" spans="3:14" ht="12.5" x14ac:dyDescent="0.25">
      <c r="C592" s="53"/>
      <c r="N592" s="53"/>
    </row>
    <row r="593" spans="3:14" ht="12.5" x14ac:dyDescent="0.25">
      <c r="C593" s="53"/>
      <c r="N593" s="53"/>
    </row>
    <row r="594" spans="3:14" ht="12.5" x14ac:dyDescent="0.25">
      <c r="C594" s="53"/>
      <c r="N594" s="53"/>
    </row>
    <row r="595" spans="3:14" ht="12.5" x14ac:dyDescent="0.25">
      <c r="C595" s="53"/>
      <c r="N595" s="53"/>
    </row>
    <row r="596" spans="3:14" ht="12.5" x14ac:dyDescent="0.25">
      <c r="C596" s="53"/>
      <c r="N596" s="53"/>
    </row>
    <row r="597" spans="3:14" ht="12.5" x14ac:dyDescent="0.25">
      <c r="C597" s="53"/>
      <c r="N597" s="53"/>
    </row>
    <row r="598" spans="3:14" ht="12.5" x14ac:dyDescent="0.25">
      <c r="C598" s="53"/>
      <c r="N598" s="53"/>
    </row>
    <row r="599" spans="3:14" ht="12.5" x14ac:dyDescent="0.25">
      <c r="C599" s="53"/>
      <c r="N599" s="53"/>
    </row>
    <row r="600" spans="3:14" ht="12.5" x14ac:dyDescent="0.25">
      <c r="C600" s="53"/>
      <c r="N600" s="53"/>
    </row>
    <row r="601" spans="3:14" ht="12.5" x14ac:dyDescent="0.25">
      <c r="C601" s="53"/>
      <c r="N601" s="53"/>
    </row>
    <row r="602" spans="3:14" ht="12.5" x14ac:dyDescent="0.25">
      <c r="C602" s="53"/>
      <c r="N602" s="53"/>
    </row>
    <row r="603" spans="3:14" ht="12.5" x14ac:dyDescent="0.25">
      <c r="C603" s="53"/>
      <c r="N603" s="53"/>
    </row>
    <row r="604" spans="3:14" ht="12.5" x14ac:dyDescent="0.25">
      <c r="C604" s="53"/>
      <c r="N604" s="53"/>
    </row>
    <row r="605" spans="3:14" ht="12.5" x14ac:dyDescent="0.25">
      <c r="C605" s="53"/>
      <c r="N605" s="53"/>
    </row>
    <row r="606" spans="3:14" ht="12.5" x14ac:dyDescent="0.25">
      <c r="C606" s="53"/>
      <c r="N606" s="53"/>
    </row>
    <row r="607" spans="3:14" ht="12.5" x14ac:dyDescent="0.25">
      <c r="C607" s="53"/>
      <c r="N607" s="53"/>
    </row>
    <row r="608" spans="3:14" ht="12.5" x14ac:dyDescent="0.25">
      <c r="C608" s="53"/>
      <c r="N608" s="53"/>
    </row>
    <row r="609" spans="3:14" ht="12.5" x14ac:dyDescent="0.25">
      <c r="C609" s="53"/>
      <c r="N609" s="53"/>
    </row>
    <row r="610" spans="3:14" ht="12.5" x14ac:dyDescent="0.25">
      <c r="C610" s="53"/>
      <c r="N610" s="53"/>
    </row>
    <row r="611" spans="3:14" ht="12.5" x14ac:dyDescent="0.25">
      <c r="C611" s="53"/>
      <c r="N611" s="53"/>
    </row>
    <row r="612" spans="3:14" ht="12.5" x14ac:dyDescent="0.25">
      <c r="C612" s="53"/>
      <c r="N612" s="53"/>
    </row>
    <row r="613" spans="3:14" ht="12.5" x14ac:dyDescent="0.25">
      <c r="C613" s="53"/>
      <c r="N613" s="53"/>
    </row>
    <row r="614" spans="3:14" ht="12.5" x14ac:dyDescent="0.25">
      <c r="C614" s="53"/>
      <c r="N614" s="53"/>
    </row>
    <row r="615" spans="3:14" ht="12.5" x14ac:dyDescent="0.25">
      <c r="C615" s="53"/>
      <c r="N615" s="53"/>
    </row>
    <row r="616" spans="3:14" ht="12.5" x14ac:dyDescent="0.25">
      <c r="C616" s="53"/>
      <c r="N616" s="53"/>
    </row>
    <row r="617" spans="3:14" ht="12.5" x14ac:dyDescent="0.25">
      <c r="C617" s="53"/>
      <c r="N617" s="53"/>
    </row>
    <row r="618" spans="3:14" ht="12.5" x14ac:dyDescent="0.25">
      <c r="C618" s="53"/>
      <c r="N618" s="53"/>
    </row>
    <row r="619" spans="3:14" ht="12.5" x14ac:dyDescent="0.25">
      <c r="C619" s="53"/>
      <c r="N619" s="53"/>
    </row>
    <row r="620" spans="3:14" ht="12.5" x14ac:dyDescent="0.25">
      <c r="C620" s="53"/>
      <c r="N620" s="53"/>
    </row>
    <row r="621" spans="3:14" ht="12.5" x14ac:dyDescent="0.25">
      <c r="C621" s="53"/>
      <c r="N621" s="53"/>
    </row>
    <row r="622" spans="3:14" ht="12.5" x14ac:dyDescent="0.25">
      <c r="C622" s="53"/>
      <c r="N622" s="53"/>
    </row>
    <row r="623" spans="3:14" ht="12.5" x14ac:dyDescent="0.25">
      <c r="C623" s="53"/>
      <c r="N623" s="53"/>
    </row>
    <row r="624" spans="3:14" ht="12.5" x14ac:dyDescent="0.25">
      <c r="C624" s="53"/>
      <c r="N624" s="53"/>
    </row>
    <row r="625" spans="3:14" ht="12.5" x14ac:dyDescent="0.25">
      <c r="C625" s="53"/>
      <c r="N625" s="53"/>
    </row>
    <row r="626" spans="3:14" ht="12.5" x14ac:dyDescent="0.25">
      <c r="C626" s="53"/>
      <c r="N626" s="53"/>
    </row>
    <row r="627" spans="3:14" ht="12.5" x14ac:dyDescent="0.25">
      <c r="C627" s="53"/>
      <c r="N627" s="53"/>
    </row>
    <row r="628" spans="3:14" ht="12.5" x14ac:dyDescent="0.25">
      <c r="C628" s="53"/>
      <c r="N628" s="53"/>
    </row>
    <row r="629" spans="3:14" ht="12.5" x14ac:dyDescent="0.25">
      <c r="C629" s="53"/>
      <c r="N629" s="53"/>
    </row>
    <row r="630" spans="3:14" ht="12.5" x14ac:dyDescent="0.25">
      <c r="C630" s="53"/>
      <c r="N630" s="53"/>
    </row>
    <row r="631" spans="3:14" ht="12.5" x14ac:dyDescent="0.25">
      <c r="C631" s="53"/>
      <c r="N631" s="53"/>
    </row>
    <row r="632" spans="3:14" ht="12.5" x14ac:dyDescent="0.25">
      <c r="C632" s="53"/>
      <c r="N632" s="53"/>
    </row>
    <row r="633" spans="3:14" ht="12.5" x14ac:dyDescent="0.25">
      <c r="C633" s="53"/>
      <c r="N633" s="53"/>
    </row>
    <row r="634" spans="3:14" ht="12.5" x14ac:dyDescent="0.25">
      <c r="C634" s="53"/>
      <c r="N634" s="53"/>
    </row>
    <row r="635" spans="3:14" ht="12.5" x14ac:dyDescent="0.25">
      <c r="C635" s="53"/>
      <c r="N635" s="53"/>
    </row>
    <row r="636" spans="3:14" ht="12.5" x14ac:dyDescent="0.25">
      <c r="C636" s="53"/>
      <c r="N636" s="53"/>
    </row>
    <row r="637" spans="3:14" ht="12.5" x14ac:dyDescent="0.25">
      <c r="C637" s="53"/>
      <c r="N637" s="53"/>
    </row>
    <row r="638" spans="3:14" ht="12.5" x14ac:dyDescent="0.25">
      <c r="C638" s="53"/>
      <c r="N638" s="53"/>
    </row>
    <row r="639" spans="3:14" ht="12.5" x14ac:dyDescent="0.25">
      <c r="C639" s="53"/>
      <c r="N639" s="53"/>
    </row>
    <row r="640" spans="3:14" ht="12.5" x14ac:dyDescent="0.25">
      <c r="C640" s="53"/>
      <c r="N640" s="53"/>
    </row>
    <row r="641" spans="3:14" ht="12.5" x14ac:dyDescent="0.25">
      <c r="C641" s="53"/>
      <c r="N641" s="53"/>
    </row>
    <row r="642" spans="3:14" ht="12.5" x14ac:dyDescent="0.25">
      <c r="C642" s="53"/>
      <c r="N642" s="53"/>
    </row>
    <row r="643" spans="3:14" ht="12.5" x14ac:dyDescent="0.25">
      <c r="C643" s="53"/>
      <c r="N643" s="53"/>
    </row>
    <row r="644" spans="3:14" ht="12.5" x14ac:dyDescent="0.25">
      <c r="C644" s="53"/>
      <c r="N644" s="53"/>
    </row>
    <row r="645" spans="3:14" ht="12.5" x14ac:dyDescent="0.25">
      <c r="C645" s="53"/>
      <c r="N645" s="53"/>
    </row>
    <row r="646" spans="3:14" ht="12.5" x14ac:dyDescent="0.25">
      <c r="C646" s="53"/>
      <c r="N646" s="53"/>
    </row>
    <row r="647" spans="3:14" ht="12.5" x14ac:dyDescent="0.25">
      <c r="C647" s="53"/>
      <c r="N647" s="53"/>
    </row>
    <row r="648" spans="3:14" ht="12.5" x14ac:dyDescent="0.25">
      <c r="C648" s="53"/>
      <c r="N648" s="53"/>
    </row>
    <row r="649" spans="3:14" ht="12.5" x14ac:dyDescent="0.25">
      <c r="C649" s="53"/>
      <c r="N649" s="53"/>
    </row>
    <row r="650" spans="3:14" ht="12.5" x14ac:dyDescent="0.25">
      <c r="C650" s="53"/>
      <c r="N650" s="53"/>
    </row>
    <row r="651" spans="3:14" ht="12.5" x14ac:dyDescent="0.25">
      <c r="C651" s="53"/>
      <c r="N651" s="53"/>
    </row>
    <row r="652" spans="3:14" ht="12.5" x14ac:dyDescent="0.25">
      <c r="C652" s="53"/>
      <c r="N652" s="53"/>
    </row>
    <row r="653" spans="3:14" ht="12.5" x14ac:dyDescent="0.25">
      <c r="C653" s="53"/>
      <c r="N653" s="53"/>
    </row>
    <row r="654" spans="3:14" ht="12.5" x14ac:dyDescent="0.25">
      <c r="C654" s="53"/>
      <c r="N654" s="53"/>
    </row>
    <row r="655" spans="3:14" ht="12.5" x14ac:dyDescent="0.25">
      <c r="C655" s="53"/>
      <c r="N655" s="53"/>
    </row>
    <row r="656" spans="3:14" ht="12.5" x14ac:dyDescent="0.25">
      <c r="C656" s="53"/>
      <c r="N656" s="53"/>
    </row>
    <row r="657" spans="3:14" ht="12.5" x14ac:dyDescent="0.25">
      <c r="C657" s="53"/>
      <c r="N657" s="53"/>
    </row>
    <row r="658" spans="3:14" ht="12.5" x14ac:dyDescent="0.25">
      <c r="C658" s="53"/>
      <c r="N658" s="53"/>
    </row>
    <row r="659" spans="3:14" ht="12.5" x14ac:dyDescent="0.25">
      <c r="C659" s="53"/>
      <c r="N659" s="53"/>
    </row>
    <row r="660" spans="3:14" ht="12.5" x14ac:dyDescent="0.25">
      <c r="C660" s="53"/>
      <c r="N660" s="53"/>
    </row>
    <row r="661" spans="3:14" ht="12.5" x14ac:dyDescent="0.25">
      <c r="C661" s="53"/>
      <c r="N661" s="53"/>
    </row>
    <row r="662" spans="3:14" ht="12.5" x14ac:dyDescent="0.25">
      <c r="C662" s="53"/>
      <c r="N662" s="53"/>
    </row>
    <row r="663" spans="3:14" ht="12.5" x14ac:dyDescent="0.25">
      <c r="C663" s="53"/>
      <c r="N663" s="53"/>
    </row>
    <row r="664" spans="3:14" ht="12.5" x14ac:dyDescent="0.25">
      <c r="C664" s="53"/>
      <c r="N664" s="53"/>
    </row>
    <row r="665" spans="3:14" ht="12.5" x14ac:dyDescent="0.25">
      <c r="C665" s="53"/>
      <c r="N665" s="53"/>
    </row>
    <row r="666" spans="3:14" ht="12.5" x14ac:dyDescent="0.25">
      <c r="C666" s="53"/>
      <c r="N666" s="53"/>
    </row>
    <row r="667" spans="3:14" ht="12.5" x14ac:dyDescent="0.25">
      <c r="C667" s="53"/>
      <c r="N667" s="53"/>
    </row>
    <row r="668" spans="3:14" ht="12.5" x14ac:dyDescent="0.25">
      <c r="C668" s="53"/>
      <c r="N668" s="53"/>
    </row>
    <row r="669" spans="3:14" ht="12.5" x14ac:dyDescent="0.25">
      <c r="C669" s="53"/>
      <c r="N669" s="53"/>
    </row>
    <row r="670" spans="3:14" ht="12.5" x14ac:dyDescent="0.25">
      <c r="C670" s="53"/>
      <c r="N670" s="53"/>
    </row>
    <row r="671" spans="3:14" ht="12.5" x14ac:dyDescent="0.25">
      <c r="C671" s="53"/>
      <c r="N671" s="53"/>
    </row>
    <row r="672" spans="3:14" ht="12.5" x14ac:dyDescent="0.25">
      <c r="C672" s="53"/>
      <c r="N672" s="53"/>
    </row>
    <row r="673" spans="3:14" ht="12.5" x14ac:dyDescent="0.25">
      <c r="C673" s="53"/>
      <c r="N673" s="53"/>
    </row>
    <row r="674" spans="3:14" ht="12.5" x14ac:dyDescent="0.25">
      <c r="C674" s="53"/>
      <c r="N674" s="53"/>
    </row>
    <row r="675" spans="3:14" ht="12.5" x14ac:dyDescent="0.25">
      <c r="C675" s="53"/>
      <c r="N675" s="53"/>
    </row>
    <row r="676" spans="3:14" ht="12.5" x14ac:dyDescent="0.25">
      <c r="C676" s="53"/>
      <c r="N676" s="53"/>
    </row>
    <row r="677" spans="3:14" ht="12.5" x14ac:dyDescent="0.25">
      <c r="C677" s="53"/>
      <c r="N677" s="53"/>
    </row>
    <row r="678" spans="3:14" ht="12.5" x14ac:dyDescent="0.25">
      <c r="C678" s="53"/>
      <c r="N678" s="53"/>
    </row>
    <row r="679" spans="3:14" ht="12.5" x14ac:dyDescent="0.25">
      <c r="C679" s="53"/>
      <c r="N679" s="53"/>
    </row>
    <row r="680" spans="3:14" ht="12.5" x14ac:dyDescent="0.25">
      <c r="C680" s="53"/>
      <c r="N680" s="53"/>
    </row>
    <row r="681" spans="3:14" ht="12.5" x14ac:dyDescent="0.25">
      <c r="C681" s="53"/>
      <c r="N681" s="53"/>
    </row>
    <row r="682" spans="3:14" ht="12.5" x14ac:dyDescent="0.25">
      <c r="C682" s="53"/>
      <c r="N682" s="53"/>
    </row>
    <row r="683" spans="3:14" ht="12.5" x14ac:dyDescent="0.25">
      <c r="C683" s="53"/>
      <c r="N683" s="53"/>
    </row>
    <row r="684" spans="3:14" ht="12.5" x14ac:dyDescent="0.25">
      <c r="C684" s="53"/>
      <c r="N684" s="53"/>
    </row>
    <row r="685" spans="3:14" ht="12.5" x14ac:dyDescent="0.25">
      <c r="C685" s="53"/>
      <c r="N685" s="53"/>
    </row>
    <row r="686" spans="3:14" ht="12.5" x14ac:dyDescent="0.25">
      <c r="C686" s="53"/>
      <c r="N686" s="53"/>
    </row>
    <row r="687" spans="3:14" ht="12.5" x14ac:dyDescent="0.25">
      <c r="C687" s="53"/>
      <c r="N687" s="53"/>
    </row>
    <row r="688" spans="3:14" ht="12.5" x14ac:dyDescent="0.25">
      <c r="C688" s="53"/>
      <c r="N688" s="53"/>
    </row>
    <row r="689" spans="3:14" ht="12.5" x14ac:dyDescent="0.25">
      <c r="C689" s="53"/>
      <c r="N689" s="53"/>
    </row>
    <row r="690" spans="3:14" ht="12.5" x14ac:dyDescent="0.25">
      <c r="C690" s="53"/>
      <c r="N690" s="53"/>
    </row>
    <row r="691" spans="3:14" ht="12.5" x14ac:dyDescent="0.25">
      <c r="C691" s="53"/>
      <c r="N691" s="53"/>
    </row>
    <row r="692" spans="3:14" ht="12.5" x14ac:dyDescent="0.25">
      <c r="C692" s="53"/>
      <c r="N692" s="53"/>
    </row>
    <row r="693" spans="3:14" ht="12.5" x14ac:dyDescent="0.25">
      <c r="C693" s="53"/>
      <c r="N693" s="53"/>
    </row>
    <row r="694" spans="3:14" ht="12.5" x14ac:dyDescent="0.25">
      <c r="C694" s="53"/>
      <c r="N694" s="53"/>
    </row>
    <row r="695" spans="3:14" ht="12.5" x14ac:dyDescent="0.25">
      <c r="C695" s="53"/>
      <c r="N695" s="53"/>
    </row>
    <row r="696" spans="3:14" ht="12.5" x14ac:dyDescent="0.25">
      <c r="C696" s="53"/>
      <c r="N696" s="53"/>
    </row>
    <row r="697" spans="3:14" ht="12.5" x14ac:dyDescent="0.25">
      <c r="C697" s="53"/>
      <c r="N697" s="53"/>
    </row>
    <row r="698" spans="3:14" ht="12.5" x14ac:dyDescent="0.25">
      <c r="C698" s="53"/>
      <c r="N698" s="53"/>
    </row>
    <row r="699" spans="3:14" ht="12.5" x14ac:dyDescent="0.25">
      <c r="C699" s="53"/>
      <c r="N699" s="53"/>
    </row>
    <row r="700" spans="3:14" ht="12.5" x14ac:dyDescent="0.25">
      <c r="C700" s="53"/>
      <c r="N700" s="53"/>
    </row>
    <row r="701" spans="3:14" ht="12.5" x14ac:dyDescent="0.25">
      <c r="C701" s="53"/>
      <c r="N701" s="53"/>
    </row>
    <row r="702" spans="3:14" ht="12.5" x14ac:dyDescent="0.25">
      <c r="C702" s="53"/>
      <c r="N702" s="53"/>
    </row>
    <row r="703" spans="3:14" ht="12.5" x14ac:dyDescent="0.25">
      <c r="C703" s="53"/>
      <c r="N703" s="53"/>
    </row>
    <row r="704" spans="3:14" ht="12.5" x14ac:dyDescent="0.25">
      <c r="C704" s="53"/>
      <c r="N704" s="53"/>
    </row>
    <row r="705" spans="3:14" ht="12.5" x14ac:dyDescent="0.25">
      <c r="C705" s="53"/>
      <c r="N705" s="53"/>
    </row>
    <row r="706" spans="3:14" ht="12.5" x14ac:dyDescent="0.25">
      <c r="C706" s="53"/>
      <c r="N706" s="53"/>
    </row>
    <row r="707" spans="3:14" ht="12.5" x14ac:dyDescent="0.25">
      <c r="C707" s="53"/>
      <c r="N707" s="53"/>
    </row>
    <row r="708" spans="3:14" ht="12.5" x14ac:dyDescent="0.25">
      <c r="C708" s="53"/>
      <c r="N708" s="53"/>
    </row>
    <row r="709" spans="3:14" ht="12.5" x14ac:dyDescent="0.25">
      <c r="C709" s="53"/>
      <c r="N709" s="53"/>
    </row>
    <row r="710" spans="3:14" ht="12.5" x14ac:dyDescent="0.25">
      <c r="C710" s="53"/>
      <c r="N710" s="53"/>
    </row>
    <row r="711" spans="3:14" ht="12.5" x14ac:dyDescent="0.25">
      <c r="C711" s="53"/>
      <c r="N711" s="53"/>
    </row>
    <row r="712" spans="3:14" ht="12.5" x14ac:dyDescent="0.25">
      <c r="C712" s="53"/>
      <c r="N712" s="53"/>
    </row>
    <row r="713" spans="3:14" ht="12.5" x14ac:dyDescent="0.25">
      <c r="C713" s="53"/>
      <c r="N713" s="53"/>
    </row>
    <row r="714" spans="3:14" ht="12.5" x14ac:dyDescent="0.25">
      <c r="C714" s="53"/>
      <c r="N714" s="53"/>
    </row>
    <row r="715" spans="3:14" ht="12.5" x14ac:dyDescent="0.25">
      <c r="C715" s="53"/>
      <c r="N715" s="53"/>
    </row>
    <row r="716" spans="3:14" ht="12.5" x14ac:dyDescent="0.25">
      <c r="C716" s="53"/>
      <c r="N716" s="53"/>
    </row>
    <row r="717" spans="3:14" ht="12.5" x14ac:dyDescent="0.25">
      <c r="C717" s="53"/>
      <c r="N717" s="53"/>
    </row>
    <row r="718" spans="3:14" ht="12.5" x14ac:dyDescent="0.25">
      <c r="C718" s="53"/>
      <c r="N718" s="53"/>
    </row>
    <row r="719" spans="3:14" ht="12.5" x14ac:dyDescent="0.25">
      <c r="C719" s="53"/>
      <c r="N719" s="53"/>
    </row>
    <row r="720" spans="3:14" ht="12.5" x14ac:dyDescent="0.25">
      <c r="C720" s="53"/>
      <c r="N720" s="53"/>
    </row>
    <row r="721" spans="3:14" ht="12.5" x14ac:dyDescent="0.25">
      <c r="C721" s="53"/>
      <c r="N721" s="53"/>
    </row>
    <row r="722" spans="3:14" ht="12.5" x14ac:dyDescent="0.25">
      <c r="C722" s="53"/>
      <c r="N722" s="53"/>
    </row>
    <row r="723" spans="3:14" ht="12.5" x14ac:dyDescent="0.25">
      <c r="C723" s="53"/>
      <c r="N723" s="53"/>
    </row>
    <row r="724" spans="3:14" ht="12.5" x14ac:dyDescent="0.25">
      <c r="C724" s="53"/>
      <c r="N724" s="53"/>
    </row>
    <row r="725" spans="3:14" ht="12.5" x14ac:dyDescent="0.25">
      <c r="C725" s="53"/>
      <c r="N725" s="53"/>
    </row>
    <row r="726" spans="3:14" ht="12.5" x14ac:dyDescent="0.25">
      <c r="C726" s="53"/>
      <c r="N726" s="53"/>
    </row>
    <row r="727" spans="3:14" ht="12.5" x14ac:dyDescent="0.25">
      <c r="C727" s="53"/>
      <c r="N727" s="53"/>
    </row>
    <row r="728" spans="3:14" ht="12.5" x14ac:dyDescent="0.25">
      <c r="C728" s="53"/>
      <c r="N728" s="53"/>
    </row>
    <row r="729" spans="3:14" ht="12.5" x14ac:dyDescent="0.25">
      <c r="C729" s="53"/>
      <c r="N729" s="53"/>
    </row>
    <row r="730" spans="3:14" ht="12.5" x14ac:dyDescent="0.25">
      <c r="C730" s="53"/>
      <c r="N730" s="53"/>
    </row>
    <row r="731" spans="3:14" ht="12.5" x14ac:dyDescent="0.25">
      <c r="C731" s="53"/>
      <c r="N731" s="53"/>
    </row>
    <row r="732" spans="3:14" ht="12.5" x14ac:dyDescent="0.25">
      <c r="C732" s="53"/>
      <c r="N732" s="53"/>
    </row>
    <row r="733" spans="3:14" ht="12.5" x14ac:dyDescent="0.25">
      <c r="C733" s="53"/>
      <c r="N733" s="53"/>
    </row>
    <row r="734" spans="3:14" ht="12.5" x14ac:dyDescent="0.25">
      <c r="C734" s="53"/>
      <c r="N734" s="53"/>
    </row>
    <row r="735" spans="3:14" ht="12.5" x14ac:dyDescent="0.25">
      <c r="C735" s="53"/>
      <c r="N735" s="53"/>
    </row>
    <row r="736" spans="3:14" ht="12.5" x14ac:dyDescent="0.25">
      <c r="C736" s="53"/>
      <c r="N736" s="53"/>
    </row>
    <row r="737" spans="3:14" ht="12.5" x14ac:dyDescent="0.25">
      <c r="C737" s="53"/>
      <c r="N737" s="53"/>
    </row>
    <row r="738" spans="3:14" ht="12.5" x14ac:dyDescent="0.25">
      <c r="C738" s="53"/>
      <c r="N738" s="53"/>
    </row>
    <row r="739" spans="3:14" ht="12.5" x14ac:dyDescent="0.25">
      <c r="C739" s="53"/>
      <c r="N739" s="53"/>
    </row>
    <row r="740" spans="3:14" ht="12.5" x14ac:dyDescent="0.25">
      <c r="C740" s="53"/>
      <c r="N740" s="53"/>
    </row>
    <row r="741" spans="3:14" ht="12.5" x14ac:dyDescent="0.25">
      <c r="C741" s="53"/>
      <c r="N741" s="53"/>
    </row>
    <row r="742" spans="3:14" ht="12.5" x14ac:dyDescent="0.25">
      <c r="C742" s="53"/>
      <c r="N742" s="53"/>
    </row>
    <row r="743" spans="3:14" ht="12.5" x14ac:dyDescent="0.25">
      <c r="C743" s="53"/>
      <c r="N743" s="53"/>
    </row>
    <row r="744" spans="3:14" ht="12.5" x14ac:dyDescent="0.25">
      <c r="C744" s="53"/>
      <c r="N744" s="53"/>
    </row>
    <row r="745" spans="3:14" ht="12.5" x14ac:dyDescent="0.25">
      <c r="C745" s="53"/>
      <c r="N745" s="53"/>
    </row>
    <row r="746" spans="3:14" ht="12.5" x14ac:dyDescent="0.25">
      <c r="C746" s="53"/>
      <c r="N746" s="53"/>
    </row>
    <row r="747" spans="3:14" ht="12.5" x14ac:dyDescent="0.25">
      <c r="C747" s="53"/>
      <c r="N747" s="53"/>
    </row>
    <row r="748" spans="3:14" ht="12.5" x14ac:dyDescent="0.25">
      <c r="C748" s="53"/>
      <c r="N748" s="53"/>
    </row>
    <row r="749" spans="3:14" ht="12.5" x14ac:dyDescent="0.25">
      <c r="C749" s="53"/>
      <c r="N749" s="53"/>
    </row>
    <row r="750" spans="3:14" ht="12.5" x14ac:dyDescent="0.25">
      <c r="C750" s="53"/>
      <c r="N750" s="53"/>
    </row>
    <row r="751" spans="3:14" ht="12.5" x14ac:dyDescent="0.25">
      <c r="C751" s="53"/>
      <c r="N751" s="53"/>
    </row>
    <row r="752" spans="3:14" ht="12.5" x14ac:dyDescent="0.25">
      <c r="C752" s="53"/>
      <c r="N752" s="53"/>
    </row>
    <row r="753" spans="3:14" ht="12.5" x14ac:dyDescent="0.25">
      <c r="C753" s="53"/>
      <c r="N753" s="53"/>
    </row>
    <row r="754" spans="3:14" ht="12.5" x14ac:dyDescent="0.25">
      <c r="C754" s="53"/>
      <c r="N754" s="53"/>
    </row>
    <row r="755" spans="3:14" ht="12.5" x14ac:dyDescent="0.25">
      <c r="C755" s="53"/>
      <c r="N755" s="53"/>
    </row>
    <row r="756" spans="3:14" ht="12.5" x14ac:dyDescent="0.25">
      <c r="C756" s="53"/>
      <c r="N756" s="53"/>
    </row>
    <row r="757" spans="3:14" ht="12.5" x14ac:dyDescent="0.25">
      <c r="C757" s="53"/>
      <c r="N757" s="53"/>
    </row>
    <row r="758" spans="3:14" ht="12.5" x14ac:dyDescent="0.25">
      <c r="C758" s="53"/>
      <c r="N758" s="53"/>
    </row>
    <row r="759" spans="3:14" ht="12.5" x14ac:dyDescent="0.25">
      <c r="C759" s="53"/>
      <c r="N759" s="53"/>
    </row>
    <row r="760" spans="3:14" ht="12.5" x14ac:dyDescent="0.25">
      <c r="C760" s="53"/>
      <c r="N760" s="53"/>
    </row>
    <row r="761" spans="3:14" ht="12.5" x14ac:dyDescent="0.25">
      <c r="C761" s="53"/>
      <c r="N761" s="53"/>
    </row>
    <row r="762" spans="3:14" ht="12.5" x14ac:dyDescent="0.25">
      <c r="C762" s="53"/>
      <c r="N762" s="53"/>
    </row>
    <row r="763" spans="3:14" ht="12.5" x14ac:dyDescent="0.25">
      <c r="C763" s="53"/>
      <c r="N763" s="53"/>
    </row>
    <row r="764" spans="3:14" ht="12.5" x14ac:dyDescent="0.25">
      <c r="C764" s="53"/>
      <c r="N764" s="53"/>
    </row>
    <row r="765" spans="3:14" ht="12.5" x14ac:dyDescent="0.25">
      <c r="C765" s="53"/>
      <c r="N765" s="53"/>
    </row>
    <row r="766" spans="3:14" ht="12.5" x14ac:dyDescent="0.25">
      <c r="C766" s="53"/>
      <c r="N766" s="53"/>
    </row>
    <row r="767" spans="3:14" ht="12.5" x14ac:dyDescent="0.25">
      <c r="C767" s="53"/>
      <c r="N767" s="53"/>
    </row>
    <row r="768" spans="3:14" ht="12.5" x14ac:dyDescent="0.25">
      <c r="C768" s="53"/>
      <c r="N768" s="53"/>
    </row>
    <row r="769" spans="3:14" ht="12.5" x14ac:dyDescent="0.25">
      <c r="C769" s="53"/>
      <c r="N769" s="53"/>
    </row>
    <row r="770" spans="3:14" ht="12.5" x14ac:dyDescent="0.25">
      <c r="C770" s="53"/>
      <c r="N770" s="53"/>
    </row>
    <row r="771" spans="3:14" ht="12.5" x14ac:dyDescent="0.25">
      <c r="C771" s="53"/>
      <c r="N771" s="53"/>
    </row>
    <row r="772" spans="3:14" ht="12.5" x14ac:dyDescent="0.25">
      <c r="C772" s="53"/>
      <c r="N772" s="53"/>
    </row>
    <row r="773" spans="3:14" ht="12.5" x14ac:dyDescent="0.25">
      <c r="C773" s="53"/>
      <c r="N773" s="53"/>
    </row>
    <row r="774" spans="3:14" ht="12.5" x14ac:dyDescent="0.25">
      <c r="C774" s="53"/>
      <c r="N774" s="53"/>
    </row>
    <row r="775" spans="3:14" ht="12.5" x14ac:dyDescent="0.25">
      <c r="C775" s="53"/>
      <c r="N775" s="53"/>
    </row>
    <row r="776" spans="3:14" ht="12.5" x14ac:dyDescent="0.25">
      <c r="C776" s="53"/>
      <c r="N776" s="53"/>
    </row>
    <row r="777" spans="3:14" ht="12.5" x14ac:dyDescent="0.25">
      <c r="C777" s="53"/>
      <c r="N777" s="53"/>
    </row>
    <row r="778" spans="3:14" ht="12.5" x14ac:dyDescent="0.25">
      <c r="C778" s="53"/>
      <c r="N778" s="53"/>
    </row>
    <row r="779" spans="3:14" ht="12.5" x14ac:dyDescent="0.25">
      <c r="C779" s="53"/>
      <c r="N779" s="53"/>
    </row>
    <row r="780" spans="3:14" ht="12.5" x14ac:dyDescent="0.25">
      <c r="C780" s="53"/>
      <c r="N780" s="53"/>
    </row>
    <row r="781" spans="3:14" ht="12.5" x14ac:dyDescent="0.25">
      <c r="C781" s="53"/>
      <c r="N781" s="53"/>
    </row>
    <row r="782" spans="3:14" ht="12.5" x14ac:dyDescent="0.25">
      <c r="C782" s="53"/>
      <c r="N782" s="53"/>
    </row>
    <row r="783" spans="3:14" ht="12.5" x14ac:dyDescent="0.25">
      <c r="C783" s="53"/>
      <c r="N783" s="53"/>
    </row>
    <row r="784" spans="3:14" ht="12.5" x14ac:dyDescent="0.25">
      <c r="C784" s="53"/>
      <c r="N784" s="53"/>
    </row>
    <row r="785" spans="3:14" ht="12.5" x14ac:dyDescent="0.25">
      <c r="C785" s="53"/>
      <c r="N785" s="53"/>
    </row>
    <row r="786" spans="3:14" ht="12.5" x14ac:dyDescent="0.25">
      <c r="C786" s="53"/>
      <c r="N786" s="53"/>
    </row>
    <row r="787" spans="3:14" ht="12.5" x14ac:dyDescent="0.25">
      <c r="C787" s="53"/>
      <c r="N787" s="53"/>
    </row>
    <row r="788" spans="3:14" ht="12.5" x14ac:dyDescent="0.25">
      <c r="C788" s="53"/>
      <c r="N788" s="53"/>
    </row>
    <row r="789" spans="3:14" ht="12.5" x14ac:dyDescent="0.25">
      <c r="C789" s="53"/>
      <c r="N789" s="53"/>
    </row>
    <row r="790" spans="3:14" ht="12.5" x14ac:dyDescent="0.25">
      <c r="C790" s="53"/>
      <c r="N790" s="53"/>
    </row>
    <row r="791" spans="3:14" ht="12.5" x14ac:dyDescent="0.25">
      <c r="C791" s="53"/>
      <c r="N791" s="53"/>
    </row>
    <row r="792" spans="3:14" ht="12.5" x14ac:dyDescent="0.25">
      <c r="C792" s="53"/>
      <c r="N792" s="53"/>
    </row>
    <row r="793" spans="3:14" ht="12.5" x14ac:dyDescent="0.25">
      <c r="C793" s="53"/>
      <c r="N793" s="53"/>
    </row>
    <row r="794" spans="3:14" ht="12.5" x14ac:dyDescent="0.25">
      <c r="C794" s="53"/>
      <c r="N794" s="53"/>
    </row>
    <row r="795" spans="3:14" ht="12.5" x14ac:dyDescent="0.25">
      <c r="C795" s="53"/>
      <c r="N795" s="53"/>
    </row>
    <row r="796" spans="3:14" ht="12.5" x14ac:dyDescent="0.25">
      <c r="C796" s="53"/>
      <c r="N796" s="53"/>
    </row>
    <row r="797" spans="3:14" ht="12.5" x14ac:dyDescent="0.25">
      <c r="C797" s="53"/>
      <c r="N797" s="53"/>
    </row>
    <row r="798" spans="3:14" ht="12.5" x14ac:dyDescent="0.25">
      <c r="C798" s="53"/>
      <c r="N798" s="53"/>
    </row>
    <row r="799" spans="3:14" ht="12.5" x14ac:dyDescent="0.25">
      <c r="C799" s="53"/>
      <c r="N799" s="53"/>
    </row>
    <row r="800" spans="3:14" ht="12.5" x14ac:dyDescent="0.25">
      <c r="C800" s="53"/>
      <c r="N800" s="53"/>
    </row>
    <row r="801" spans="3:14" ht="12.5" x14ac:dyDescent="0.25">
      <c r="C801" s="53"/>
      <c r="N801" s="53"/>
    </row>
    <row r="802" spans="3:14" ht="12.5" x14ac:dyDescent="0.25">
      <c r="C802" s="53"/>
      <c r="N802" s="53"/>
    </row>
    <row r="803" spans="3:14" ht="12.5" x14ac:dyDescent="0.25">
      <c r="C803" s="53"/>
      <c r="N803" s="53"/>
    </row>
    <row r="804" spans="3:14" ht="12.5" x14ac:dyDescent="0.25">
      <c r="C804" s="53"/>
      <c r="N804" s="53"/>
    </row>
    <row r="805" spans="3:14" ht="12.5" x14ac:dyDescent="0.25">
      <c r="C805" s="53"/>
      <c r="N805" s="53"/>
    </row>
    <row r="806" spans="3:14" ht="12.5" x14ac:dyDescent="0.25">
      <c r="C806" s="53"/>
      <c r="N806" s="53"/>
    </row>
    <row r="807" spans="3:14" ht="12.5" x14ac:dyDescent="0.25">
      <c r="C807" s="53"/>
      <c r="N807" s="53"/>
    </row>
    <row r="808" spans="3:14" ht="12.5" x14ac:dyDescent="0.25">
      <c r="C808" s="53"/>
      <c r="N808" s="53"/>
    </row>
    <row r="809" spans="3:14" ht="12.5" x14ac:dyDescent="0.25">
      <c r="C809" s="53"/>
      <c r="N809" s="53"/>
    </row>
    <row r="810" spans="3:14" ht="12.5" x14ac:dyDescent="0.25">
      <c r="C810" s="53"/>
      <c r="N810" s="53"/>
    </row>
    <row r="811" spans="3:14" ht="12.5" x14ac:dyDescent="0.25">
      <c r="C811" s="53"/>
      <c r="N811" s="53"/>
    </row>
    <row r="812" spans="3:14" ht="12.5" x14ac:dyDescent="0.25">
      <c r="C812" s="53"/>
      <c r="N812" s="53"/>
    </row>
    <row r="813" spans="3:14" ht="12.5" x14ac:dyDescent="0.25">
      <c r="C813" s="53"/>
      <c r="N813" s="53"/>
    </row>
    <row r="814" spans="3:14" ht="12.5" x14ac:dyDescent="0.25">
      <c r="C814" s="53"/>
      <c r="N814" s="53"/>
    </row>
    <row r="815" spans="3:14" ht="12.5" x14ac:dyDescent="0.25">
      <c r="C815" s="53"/>
      <c r="N815" s="53"/>
    </row>
    <row r="816" spans="3:14" ht="12.5" x14ac:dyDescent="0.25">
      <c r="C816" s="53"/>
      <c r="N816" s="53"/>
    </row>
    <row r="817" spans="3:14" ht="12.5" x14ac:dyDescent="0.25">
      <c r="C817" s="53"/>
      <c r="N817" s="53"/>
    </row>
    <row r="818" spans="3:14" ht="12.5" x14ac:dyDescent="0.25">
      <c r="C818" s="53"/>
      <c r="N818" s="53"/>
    </row>
    <row r="819" spans="3:14" ht="12.5" x14ac:dyDescent="0.25">
      <c r="C819" s="53"/>
      <c r="N819" s="53"/>
    </row>
    <row r="820" spans="3:14" ht="12.5" x14ac:dyDescent="0.25">
      <c r="C820" s="53"/>
      <c r="N820" s="53"/>
    </row>
    <row r="821" spans="3:14" ht="12.5" x14ac:dyDescent="0.25">
      <c r="C821" s="53"/>
      <c r="N821" s="53"/>
    </row>
    <row r="822" spans="3:14" ht="12.5" x14ac:dyDescent="0.25">
      <c r="C822" s="53"/>
      <c r="N822" s="53"/>
    </row>
    <row r="823" spans="3:14" ht="12.5" x14ac:dyDescent="0.25">
      <c r="C823" s="53"/>
      <c r="N823" s="53"/>
    </row>
    <row r="824" spans="3:14" ht="12.5" x14ac:dyDescent="0.25">
      <c r="C824" s="53"/>
      <c r="N824" s="53"/>
    </row>
    <row r="825" spans="3:14" ht="12.5" x14ac:dyDescent="0.25">
      <c r="C825" s="53"/>
      <c r="N825" s="53"/>
    </row>
    <row r="826" spans="3:14" ht="12.5" x14ac:dyDescent="0.25">
      <c r="C826" s="53"/>
      <c r="N826" s="53"/>
    </row>
    <row r="827" spans="3:14" ht="12.5" x14ac:dyDescent="0.25">
      <c r="C827" s="53"/>
      <c r="N827" s="53"/>
    </row>
    <row r="828" spans="3:14" ht="12.5" x14ac:dyDescent="0.25">
      <c r="C828" s="53"/>
      <c r="N828" s="53"/>
    </row>
    <row r="829" spans="3:14" ht="12.5" x14ac:dyDescent="0.25">
      <c r="C829" s="53"/>
      <c r="N829" s="53"/>
    </row>
    <row r="830" spans="3:14" ht="12.5" x14ac:dyDescent="0.25">
      <c r="C830" s="53"/>
      <c r="N830" s="53"/>
    </row>
    <row r="831" spans="3:14" ht="12.5" x14ac:dyDescent="0.25">
      <c r="C831" s="53"/>
      <c r="N831" s="53"/>
    </row>
    <row r="832" spans="3:14" ht="12.5" x14ac:dyDescent="0.25">
      <c r="C832" s="53"/>
      <c r="N832" s="53"/>
    </row>
    <row r="833" spans="3:14" ht="12.5" x14ac:dyDescent="0.25">
      <c r="C833" s="53"/>
      <c r="N833" s="53"/>
    </row>
    <row r="834" spans="3:14" ht="12.5" x14ac:dyDescent="0.25">
      <c r="C834" s="53"/>
      <c r="N834" s="53"/>
    </row>
    <row r="835" spans="3:14" ht="12.5" x14ac:dyDescent="0.25">
      <c r="C835" s="53"/>
      <c r="N835" s="53"/>
    </row>
    <row r="836" spans="3:14" ht="12.5" x14ac:dyDescent="0.25">
      <c r="C836" s="53"/>
      <c r="N836" s="53"/>
    </row>
    <row r="837" spans="3:14" ht="12.5" x14ac:dyDescent="0.25">
      <c r="C837" s="53"/>
      <c r="N837" s="53"/>
    </row>
    <row r="838" spans="3:14" ht="12.5" x14ac:dyDescent="0.25">
      <c r="C838" s="53"/>
      <c r="N838" s="53"/>
    </row>
    <row r="839" spans="3:14" ht="12.5" x14ac:dyDescent="0.25">
      <c r="C839" s="53"/>
      <c r="N839" s="53"/>
    </row>
    <row r="840" spans="3:14" ht="12.5" x14ac:dyDescent="0.25">
      <c r="C840" s="53"/>
      <c r="N840" s="53"/>
    </row>
    <row r="841" spans="3:14" ht="12.5" x14ac:dyDescent="0.25">
      <c r="C841" s="53"/>
      <c r="N841" s="53"/>
    </row>
    <row r="842" spans="3:14" ht="12.5" x14ac:dyDescent="0.25">
      <c r="C842" s="53"/>
      <c r="N842" s="53"/>
    </row>
    <row r="843" spans="3:14" ht="12.5" x14ac:dyDescent="0.25">
      <c r="C843" s="53"/>
      <c r="N843" s="53"/>
    </row>
    <row r="844" spans="3:14" ht="12.5" x14ac:dyDescent="0.25">
      <c r="C844" s="53"/>
      <c r="N844" s="53"/>
    </row>
    <row r="845" spans="3:14" ht="12.5" x14ac:dyDescent="0.25">
      <c r="C845" s="53"/>
      <c r="N845" s="53"/>
    </row>
    <row r="846" spans="3:14" ht="12.5" x14ac:dyDescent="0.25">
      <c r="C846" s="53"/>
      <c r="N846" s="53"/>
    </row>
    <row r="847" spans="3:14" ht="12.5" x14ac:dyDescent="0.25">
      <c r="C847" s="53"/>
      <c r="N847" s="53"/>
    </row>
    <row r="848" spans="3:14" ht="12.5" x14ac:dyDescent="0.25">
      <c r="C848" s="53"/>
      <c r="N848" s="53"/>
    </row>
    <row r="849" spans="3:14" ht="12.5" x14ac:dyDescent="0.25">
      <c r="C849" s="53"/>
      <c r="N849" s="53"/>
    </row>
    <row r="850" spans="3:14" ht="12.5" x14ac:dyDescent="0.25">
      <c r="C850" s="53"/>
      <c r="N850" s="53"/>
    </row>
    <row r="851" spans="3:14" ht="12.5" x14ac:dyDescent="0.25">
      <c r="C851" s="53"/>
      <c r="N851" s="53"/>
    </row>
    <row r="852" spans="3:14" ht="12.5" x14ac:dyDescent="0.25">
      <c r="C852" s="53"/>
      <c r="N852" s="53"/>
    </row>
    <row r="853" spans="3:14" ht="12.5" x14ac:dyDescent="0.25">
      <c r="C853" s="53"/>
      <c r="N853" s="53"/>
    </row>
    <row r="854" spans="3:14" ht="12.5" x14ac:dyDescent="0.25">
      <c r="C854" s="53"/>
      <c r="N854" s="53"/>
    </row>
    <row r="855" spans="3:14" ht="12.5" x14ac:dyDescent="0.25">
      <c r="C855" s="53"/>
      <c r="N855" s="53"/>
    </row>
    <row r="856" spans="3:14" ht="12.5" x14ac:dyDescent="0.25">
      <c r="C856" s="53"/>
      <c r="N856" s="53"/>
    </row>
    <row r="857" spans="3:14" ht="12.5" x14ac:dyDescent="0.25">
      <c r="C857" s="53"/>
      <c r="N857" s="53"/>
    </row>
    <row r="858" spans="3:14" ht="12.5" x14ac:dyDescent="0.25">
      <c r="C858" s="53"/>
      <c r="N858" s="53"/>
    </row>
    <row r="859" spans="3:14" ht="12.5" x14ac:dyDescent="0.25">
      <c r="C859" s="53"/>
      <c r="N859" s="53"/>
    </row>
    <row r="860" spans="3:14" ht="12.5" x14ac:dyDescent="0.25">
      <c r="C860" s="53"/>
      <c r="N860" s="53"/>
    </row>
    <row r="861" spans="3:14" ht="12.5" x14ac:dyDescent="0.25">
      <c r="C861" s="53"/>
      <c r="N861" s="53"/>
    </row>
    <row r="862" spans="3:14" ht="12.5" x14ac:dyDescent="0.25">
      <c r="C862" s="53"/>
      <c r="N862" s="53"/>
    </row>
    <row r="863" spans="3:14" ht="12.5" x14ac:dyDescent="0.25">
      <c r="C863" s="53"/>
      <c r="N863" s="53"/>
    </row>
    <row r="864" spans="3:14" ht="12.5" x14ac:dyDescent="0.25">
      <c r="C864" s="53"/>
      <c r="N864" s="53"/>
    </row>
    <row r="865" spans="3:14" ht="12.5" x14ac:dyDescent="0.25">
      <c r="C865" s="53"/>
      <c r="N865" s="53"/>
    </row>
    <row r="866" spans="3:14" ht="12.5" x14ac:dyDescent="0.25">
      <c r="C866" s="53"/>
      <c r="N866" s="53"/>
    </row>
    <row r="867" spans="3:14" ht="12.5" x14ac:dyDescent="0.25">
      <c r="C867" s="53"/>
      <c r="N867" s="53"/>
    </row>
    <row r="868" spans="3:14" ht="12.5" x14ac:dyDescent="0.25">
      <c r="C868" s="53"/>
      <c r="N868" s="53"/>
    </row>
    <row r="869" spans="3:14" ht="12.5" x14ac:dyDescent="0.25">
      <c r="C869" s="53"/>
      <c r="N869" s="53"/>
    </row>
    <row r="870" spans="3:14" ht="12.5" x14ac:dyDescent="0.25">
      <c r="C870" s="53"/>
      <c r="N870" s="53"/>
    </row>
    <row r="871" spans="3:14" ht="12.5" x14ac:dyDescent="0.25">
      <c r="C871" s="53"/>
      <c r="N871" s="53"/>
    </row>
    <row r="872" spans="3:14" ht="12.5" x14ac:dyDescent="0.25">
      <c r="C872" s="53"/>
      <c r="N872" s="53"/>
    </row>
    <row r="873" spans="3:14" ht="12.5" x14ac:dyDescent="0.25">
      <c r="C873" s="53"/>
      <c r="N873" s="53"/>
    </row>
    <row r="874" spans="3:14" ht="12.5" x14ac:dyDescent="0.25">
      <c r="C874" s="53"/>
      <c r="N874" s="53"/>
    </row>
    <row r="875" spans="3:14" ht="12.5" x14ac:dyDescent="0.25">
      <c r="C875" s="53"/>
      <c r="N875" s="53"/>
    </row>
    <row r="876" spans="3:14" ht="12.5" x14ac:dyDescent="0.25">
      <c r="C876" s="53"/>
      <c r="N876" s="53"/>
    </row>
    <row r="877" spans="3:14" ht="12.5" x14ac:dyDescent="0.25">
      <c r="C877" s="53"/>
      <c r="N877" s="53"/>
    </row>
    <row r="878" spans="3:14" ht="12.5" x14ac:dyDescent="0.25">
      <c r="C878" s="53"/>
      <c r="N878" s="53"/>
    </row>
    <row r="879" spans="3:14" ht="12.5" x14ac:dyDescent="0.25">
      <c r="C879" s="53"/>
      <c r="N879" s="53"/>
    </row>
    <row r="880" spans="3:14" ht="12.5" x14ac:dyDescent="0.25">
      <c r="C880" s="53"/>
      <c r="N880" s="53"/>
    </row>
    <row r="881" spans="3:14" ht="12.5" x14ac:dyDescent="0.25">
      <c r="C881" s="53"/>
      <c r="N881" s="53"/>
    </row>
    <row r="882" spans="3:14" ht="12.5" x14ac:dyDescent="0.25">
      <c r="C882" s="53"/>
      <c r="N882" s="53"/>
    </row>
    <row r="883" spans="3:14" ht="12.5" x14ac:dyDescent="0.25">
      <c r="C883" s="53"/>
      <c r="N883" s="53"/>
    </row>
    <row r="884" spans="3:14" ht="12.5" x14ac:dyDescent="0.25">
      <c r="C884" s="53"/>
      <c r="N884" s="53"/>
    </row>
    <row r="885" spans="3:14" ht="12.5" x14ac:dyDescent="0.25">
      <c r="C885" s="53"/>
      <c r="N885" s="53"/>
    </row>
    <row r="886" spans="3:14" ht="12.5" x14ac:dyDescent="0.25">
      <c r="C886" s="53"/>
      <c r="N886" s="53"/>
    </row>
    <row r="887" spans="3:14" ht="12.5" x14ac:dyDescent="0.25">
      <c r="C887" s="53"/>
      <c r="N887" s="53"/>
    </row>
    <row r="888" spans="3:14" ht="12.5" x14ac:dyDescent="0.25">
      <c r="C888" s="53"/>
      <c r="N888" s="53"/>
    </row>
    <row r="889" spans="3:14" ht="12.5" x14ac:dyDescent="0.25">
      <c r="C889" s="53"/>
      <c r="N889" s="53"/>
    </row>
    <row r="890" spans="3:14" ht="12.5" x14ac:dyDescent="0.25">
      <c r="C890" s="53"/>
      <c r="N890" s="53"/>
    </row>
    <row r="891" spans="3:14" ht="12.5" x14ac:dyDescent="0.25">
      <c r="C891" s="53"/>
      <c r="N891" s="53"/>
    </row>
    <row r="892" spans="3:14" ht="12.5" x14ac:dyDescent="0.25">
      <c r="C892" s="53"/>
      <c r="N892" s="53"/>
    </row>
    <row r="893" spans="3:14" ht="12.5" x14ac:dyDescent="0.25">
      <c r="C893" s="53"/>
      <c r="N893" s="53"/>
    </row>
    <row r="894" spans="3:14" ht="12.5" x14ac:dyDescent="0.25">
      <c r="C894" s="53"/>
      <c r="N894" s="53"/>
    </row>
    <row r="895" spans="3:14" ht="12.5" x14ac:dyDescent="0.25">
      <c r="C895" s="53"/>
      <c r="N895" s="53"/>
    </row>
    <row r="896" spans="3:14" ht="12.5" x14ac:dyDescent="0.25">
      <c r="C896" s="53"/>
      <c r="N896" s="53"/>
    </row>
    <row r="897" spans="3:14" ht="12.5" x14ac:dyDescent="0.25">
      <c r="C897" s="53"/>
      <c r="N897" s="53"/>
    </row>
    <row r="898" spans="3:14" ht="12.5" x14ac:dyDescent="0.25">
      <c r="C898" s="53"/>
      <c r="N898" s="53"/>
    </row>
    <row r="899" spans="3:14" ht="12.5" x14ac:dyDescent="0.25">
      <c r="C899" s="53"/>
      <c r="N899" s="53"/>
    </row>
    <row r="900" spans="3:14" ht="12.5" x14ac:dyDescent="0.25">
      <c r="C900" s="53"/>
      <c r="N900" s="53"/>
    </row>
    <row r="901" spans="3:14" ht="12.5" x14ac:dyDescent="0.25">
      <c r="C901" s="53"/>
      <c r="N901" s="53"/>
    </row>
    <row r="902" spans="3:14" ht="12.5" x14ac:dyDescent="0.25">
      <c r="C902" s="53"/>
      <c r="N902" s="53"/>
    </row>
    <row r="903" spans="3:14" ht="12.5" x14ac:dyDescent="0.25">
      <c r="C903" s="53"/>
      <c r="N903" s="53"/>
    </row>
    <row r="904" spans="3:14" ht="12.5" x14ac:dyDescent="0.25">
      <c r="C904" s="53"/>
      <c r="N904" s="53"/>
    </row>
    <row r="905" spans="3:14" ht="12.5" x14ac:dyDescent="0.25">
      <c r="C905" s="53"/>
      <c r="N905" s="53"/>
    </row>
    <row r="906" spans="3:14" ht="12.5" x14ac:dyDescent="0.25">
      <c r="C906" s="53"/>
      <c r="N906" s="53"/>
    </row>
    <row r="907" spans="3:14" ht="12.5" x14ac:dyDescent="0.25">
      <c r="C907" s="53"/>
      <c r="N907" s="53"/>
    </row>
    <row r="908" spans="3:14" ht="12.5" x14ac:dyDescent="0.25">
      <c r="C908" s="53"/>
      <c r="N908" s="53"/>
    </row>
    <row r="909" spans="3:14" ht="12.5" x14ac:dyDescent="0.25">
      <c r="C909" s="53"/>
      <c r="N909" s="53"/>
    </row>
    <row r="910" spans="3:14" ht="12.5" x14ac:dyDescent="0.25">
      <c r="C910" s="53"/>
      <c r="N910" s="53"/>
    </row>
    <row r="911" spans="3:14" ht="12.5" x14ac:dyDescent="0.25">
      <c r="C911" s="53"/>
      <c r="N911" s="53"/>
    </row>
    <row r="912" spans="3:14" ht="12.5" x14ac:dyDescent="0.25">
      <c r="C912" s="53"/>
      <c r="N912" s="53"/>
    </row>
    <row r="913" spans="3:14" ht="12.5" x14ac:dyDescent="0.25">
      <c r="C913" s="53"/>
      <c r="N913" s="53"/>
    </row>
    <row r="914" spans="3:14" ht="12.5" x14ac:dyDescent="0.25">
      <c r="C914" s="53"/>
      <c r="N914" s="53"/>
    </row>
    <row r="915" spans="3:14" ht="12.5" x14ac:dyDescent="0.25">
      <c r="C915" s="53"/>
      <c r="N915" s="53"/>
    </row>
    <row r="916" spans="3:14" ht="12.5" x14ac:dyDescent="0.25">
      <c r="C916" s="53"/>
      <c r="N916" s="53"/>
    </row>
    <row r="917" spans="3:14" ht="12.5" x14ac:dyDescent="0.25">
      <c r="C917" s="53"/>
      <c r="N917" s="53"/>
    </row>
    <row r="918" spans="3:14" ht="12.5" x14ac:dyDescent="0.25">
      <c r="C918" s="53"/>
      <c r="N918" s="53"/>
    </row>
    <row r="919" spans="3:14" ht="12.5" x14ac:dyDescent="0.25">
      <c r="C919" s="53"/>
      <c r="N919" s="53"/>
    </row>
    <row r="920" spans="3:14" ht="12.5" x14ac:dyDescent="0.25">
      <c r="C920" s="53"/>
      <c r="N920" s="53"/>
    </row>
    <row r="921" spans="3:14" ht="12.5" x14ac:dyDescent="0.25">
      <c r="C921" s="53"/>
      <c r="N921" s="53"/>
    </row>
    <row r="922" spans="3:14" ht="12.5" x14ac:dyDescent="0.25">
      <c r="C922" s="53"/>
      <c r="N922" s="53"/>
    </row>
    <row r="923" spans="3:14" ht="12.5" x14ac:dyDescent="0.25">
      <c r="C923" s="53"/>
      <c r="N923" s="53"/>
    </row>
    <row r="924" spans="3:14" ht="12.5" x14ac:dyDescent="0.25">
      <c r="C924" s="53"/>
      <c r="N924" s="53"/>
    </row>
    <row r="925" spans="3:14" ht="12.5" x14ac:dyDescent="0.25">
      <c r="C925" s="53"/>
      <c r="N925" s="53"/>
    </row>
    <row r="926" spans="3:14" ht="12.5" x14ac:dyDescent="0.25">
      <c r="C926" s="53"/>
      <c r="N926" s="53"/>
    </row>
    <row r="927" spans="3:14" ht="12.5" x14ac:dyDescent="0.25">
      <c r="C927" s="53"/>
      <c r="N927" s="53"/>
    </row>
    <row r="928" spans="3:14" ht="12.5" x14ac:dyDescent="0.25">
      <c r="C928" s="53"/>
      <c r="N928" s="53"/>
    </row>
    <row r="929" spans="3:14" ht="12.5" x14ac:dyDescent="0.25">
      <c r="C929" s="53"/>
      <c r="N929" s="53"/>
    </row>
    <row r="930" spans="3:14" ht="12.5" x14ac:dyDescent="0.25">
      <c r="C930" s="53"/>
      <c r="N930" s="53"/>
    </row>
    <row r="931" spans="3:14" ht="12.5" x14ac:dyDescent="0.25">
      <c r="C931" s="53"/>
      <c r="N931" s="53"/>
    </row>
    <row r="932" spans="3:14" ht="12.5" x14ac:dyDescent="0.25">
      <c r="C932" s="53"/>
      <c r="N932" s="53"/>
    </row>
    <row r="933" spans="3:14" ht="12.5" x14ac:dyDescent="0.25">
      <c r="C933" s="53"/>
      <c r="N933" s="53"/>
    </row>
    <row r="934" spans="3:14" ht="12.5" x14ac:dyDescent="0.25">
      <c r="C934" s="53"/>
      <c r="N934" s="53"/>
    </row>
    <row r="935" spans="3:14" ht="12.5" x14ac:dyDescent="0.25">
      <c r="C935" s="53"/>
      <c r="N935" s="53"/>
    </row>
    <row r="936" spans="3:14" ht="12.5" x14ac:dyDescent="0.25">
      <c r="C936" s="53"/>
      <c r="N936" s="53"/>
    </row>
    <row r="937" spans="3:14" ht="12.5" x14ac:dyDescent="0.25">
      <c r="C937" s="53"/>
      <c r="N937" s="53"/>
    </row>
    <row r="938" spans="3:14" ht="12.5" x14ac:dyDescent="0.25">
      <c r="C938" s="53"/>
      <c r="N938" s="53"/>
    </row>
    <row r="939" spans="3:14" ht="12.5" x14ac:dyDescent="0.25">
      <c r="C939" s="53"/>
      <c r="N939" s="53"/>
    </row>
    <row r="940" spans="3:14" ht="12.5" x14ac:dyDescent="0.25">
      <c r="C940" s="53"/>
      <c r="N940" s="53"/>
    </row>
    <row r="941" spans="3:14" ht="12.5" x14ac:dyDescent="0.25">
      <c r="C941" s="53"/>
      <c r="N941" s="53"/>
    </row>
    <row r="942" spans="3:14" ht="12.5" x14ac:dyDescent="0.25">
      <c r="C942" s="53"/>
      <c r="N942" s="53"/>
    </row>
    <row r="943" spans="3:14" ht="12.5" x14ac:dyDescent="0.25">
      <c r="C943" s="53"/>
      <c r="N943" s="53"/>
    </row>
    <row r="944" spans="3:14" ht="12.5" x14ac:dyDescent="0.25">
      <c r="C944" s="53"/>
      <c r="N944" s="53"/>
    </row>
    <row r="945" spans="3:14" ht="12.5" x14ac:dyDescent="0.25">
      <c r="C945" s="53"/>
      <c r="N945" s="53"/>
    </row>
    <row r="946" spans="3:14" ht="12.5" x14ac:dyDescent="0.25">
      <c r="C946" s="53"/>
      <c r="N946" s="53"/>
    </row>
    <row r="947" spans="3:14" ht="12.5" x14ac:dyDescent="0.25">
      <c r="C947" s="53"/>
      <c r="N947" s="53"/>
    </row>
    <row r="948" spans="3:14" ht="12.5" x14ac:dyDescent="0.25">
      <c r="C948" s="53"/>
      <c r="N948" s="53"/>
    </row>
    <row r="949" spans="3:14" ht="12.5" x14ac:dyDescent="0.25">
      <c r="C949" s="53"/>
      <c r="N949" s="53"/>
    </row>
    <row r="950" spans="3:14" ht="12.5" x14ac:dyDescent="0.25">
      <c r="C950" s="53"/>
      <c r="N950" s="53"/>
    </row>
    <row r="951" spans="3:14" ht="12.5" x14ac:dyDescent="0.25">
      <c r="C951" s="53"/>
      <c r="N951" s="53"/>
    </row>
    <row r="952" spans="3:14" ht="12.5" x14ac:dyDescent="0.25">
      <c r="C952" s="53"/>
      <c r="N952" s="53"/>
    </row>
    <row r="953" spans="3:14" ht="12.5" x14ac:dyDescent="0.25">
      <c r="C953" s="53"/>
      <c r="N953" s="53"/>
    </row>
    <row r="954" spans="3:14" ht="12.5" x14ac:dyDescent="0.25">
      <c r="C954" s="53"/>
      <c r="N954" s="53"/>
    </row>
    <row r="955" spans="3:14" ht="12.5" x14ac:dyDescent="0.25">
      <c r="C955" s="53"/>
      <c r="N955" s="53"/>
    </row>
    <row r="956" spans="3:14" ht="12.5" x14ac:dyDescent="0.25">
      <c r="C956" s="53"/>
      <c r="N956" s="53"/>
    </row>
    <row r="957" spans="3:14" ht="12.5" x14ac:dyDescent="0.25">
      <c r="C957" s="53"/>
      <c r="N957" s="53"/>
    </row>
    <row r="958" spans="3:14" ht="12.5" x14ac:dyDescent="0.25">
      <c r="C958" s="53"/>
      <c r="N958" s="53"/>
    </row>
    <row r="959" spans="3:14" ht="12.5" x14ac:dyDescent="0.25">
      <c r="C959" s="53"/>
      <c r="N959" s="53"/>
    </row>
    <row r="960" spans="3:14" ht="12.5" x14ac:dyDescent="0.25">
      <c r="C960" s="53"/>
      <c r="N960" s="53"/>
    </row>
    <row r="961" spans="3:14" ht="12.5" x14ac:dyDescent="0.25">
      <c r="C961" s="53"/>
      <c r="N961" s="53"/>
    </row>
    <row r="962" spans="3:14" ht="12.5" x14ac:dyDescent="0.25">
      <c r="C962" s="53"/>
      <c r="N962" s="53"/>
    </row>
    <row r="963" spans="3:14" ht="12.5" x14ac:dyDescent="0.25">
      <c r="C963" s="53"/>
      <c r="N963" s="53"/>
    </row>
    <row r="964" spans="3:14" ht="12.5" x14ac:dyDescent="0.25">
      <c r="C964" s="53"/>
      <c r="N964" s="53"/>
    </row>
    <row r="965" spans="3:14" ht="12.5" x14ac:dyDescent="0.25">
      <c r="C965" s="53"/>
      <c r="N965" s="53"/>
    </row>
    <row r="966" spans="3:14" ht="12.5" x14ac:dyDescent="0.25">
      <c r="C966" s="53"/>
      <c r="N966" s="53"/>
    </row>
    <row r="967" spans="3:14" ht="12.5" x14ac:dyDescent="0.25">
      <c r="C967" s="53"/>
      <c r="N967" s="53"/>
    </row>
    <row r="968" spans="3:14" ht="12.5" x14ac:dyDescent="0.25">
      <c r="C968" s="53"/>
      <c r="N968" s="53"/>
    </row>
    <row r="969" spans="3:14" ht="12.5" x14ac:dyDescent="0.25">
      <c r="C969" s="53"/>
      <c r="N969" s="53"/>
    </row>
    <row r="970" spans="3:14" ht="12.5" x14ac:dyDescent="0.25">
      <c r="C970" s="53"/>
      <c r="N970" s="53"/>
    </row>
    <row r="971" spans="3:14" ht="12.5" x14ac:dyDescent="0.25">
      <c r="C971" s="53"/>
      <c r="N971" s="53"/>
    </row>
    <row r="972" spans="3:14" ht="12.5" x14ac:dyDescent="0.25">
      <c r="C972" s="53"/>
      <c r="N972" s="53"/>
    </row>
    <row r="973" spans="3:14" ht="12.5" x14ac:dyDescent="0.25">
      <c r="C973" s="53"/>
      <c r="N973" s="53"/>
    </row>
    <row r="974" spans="3:14" ht="12.5" x14ac:dyDescent="0.25">
      <c r="C974" s="53"/>
      <c r="N974" s="53"/>
    </row>
    <row r="975" spans="3:14" ht="12.5" x14ac:dyDescent="0.25">
      <c r="C975" s="53"/>
      <c r="N975" s="53"/>
    </row>
    <row r="976" spans="3:14" ht="12.5" x14ac:dyDescent="0.25">
      <c r="C976" s="53"/>
      <c r="N976" s="53"/>
    </row>
    <row r="977" spans="3:14" ht="12.5" x14ac:dyDescent="0.25">
      <c r="C977" s="53"/>
      <c r="N977" s="53"/>
    </row>
    <row r="978" spans="3:14" ht="12.5" x14ac:dyDescent="0.25">
      <c r="C978" s="53"/>
      <c r="N978" s="53"/>
    </row>
    <row r="979" spans="3:14" ht="12.5" x14ac:dyDescent="0.25">
      <c r="C979" s="53"/>
      <c r="N979" s="53"/>
    </row>
    <row r="980" spans="3:14" ht="12.5" x14ac:dyDescent="0.25">
      <c r="C980" s="53"/>
      <c r="N980" s="53"/>
    </row>
    <row r="981" spans="3:14" ht="12.5" x14ac:dyDescent="0.25">
      <c r="C981" s="53"/>
      <c r="N981" s="53"/>
    </row>
    <row r="982" spans="3:14" ht="12.5" x14ac:dyDescent="0.25">
      <c r="C982" s="53"/>
      <c r="N982" s="53"/>
    </row>
    <row r="983" spans="3:14" ht="12.5" x14ac:dyDescent="0.25">
      <c r="C983" s="53"/>
      <c r="N983" s="53"/>
    </row>
    <row r="984" spans="3:14" ht="12.5" x14ac:dyDescent="0.25">
      <c r="C984" s="53"/>
      <c r="N984" s="53"/>
    </row>
    <row r="985" spans="3:14" ht="12.5" x14ac:dyDescent="0.25">
      <c r="C985" s="53"/>
      <c r="N985" s="53"/>
    </row>
    <row r="986" spans="3:14" ht="12.5" x14ac:dyDescent="0.25">
      <c r="C986" s="53"/>
      <c r="N986" s="53"/>
    </row>
    <row r="987" spans="3:14" ht="12.5" x14ac:dyDescent="0.25">
      <c r="C987" s="53"/>
      <c r="N987" s="53"/>
    </row>
    <row r="988" spans="3:14" ht="12.5" x14ac:dyDescent="0.25">
      <c r="C988" s="53"/>
      <c r="N988" s="53"/>
    </row>
    <row r="989" spans="3:14" ht="12.5" x14ac:dyDescent="0.25">
      <c r="C989" s="53"/>
      <c r="N989" s="53"/>
    </row>
    <row r="990" spans="3:14" ht="12.5" x14ac:dyDescent="0.25">
      <c r="C990" s="53"/>
      <c r="N990" s="53"/>
    </row>
    <row r="991" spans="3:14" ht="12.5" x14ac:dyDescent="0.25">
      <c r="C991" s="53"/>
      <c r="N991" s="53"/>
    </row>
    <row r="992" spans="3:14" ht="12.5" x14ac:dyDescent="0.25">
      <c r="C992" s="53"/>
      <c r="N992" s="53"/>
    </row>
    <row r="993" spans="3:14" ht="12.5" x14ac:dyDescent="0.25">
      <c r="C993" s="53"/>
      <c r="N993" s="53"/>
    </row>
    <row r="994" spans="3:14" ht="12.5" x14ac:dyDescent="0.25">
      <c r="C994" s="53"/>
      <c r="N994" s="53"/>
    </row>
    <row r="995" spans="3:14" ht="12.5" x14ac:dyDescent="0.25">
      <c r="C995" s="53"/>
      <c r="N995" s="53"/>
    </row>
    <row r="996" spans="3:14" ht="12.5" x14ac:dyDescent="0.25">
      <c r="C996" s="53"/>
      <c r="N996" s="53"/>
    </row>
    <row r="997" spans="3:14" ht="12.5" x14ac:dyDescent="0.25">
      <c r="C997" s="53"/>
      <c r="N997" s="53"/>
    </row>
    <row r="998" spans="3:14" ht="12.5" x14ac:dyDescent="0.25">
      <c r="C998" s="53"/>
      <c r="N998" s="53"/>
    </row>
    <row r="999" spans="3:14" ht="12.5" x14ac:dyDescent="0.25">
      <c r="C999" s="53"/>
      <c r="N999" s="53"/>
    </row>
    <row r="1000" spans="3:14" ht="12.5" x14ac:dyDescent="0.25">
      <c r="C1000" s="53"/>
      <c r="N1000" s="53"/>
    </row>
    <row r="1001" spans="3:14" ht="12.5" x14ac:dyDescent="0.25">
      <c r="C1001" s="53"/>
      <c r="N1001" s="53"/>
    </row>
    <row r="1002" spans="3:14" ht="12.5" x14ac:dyDescent="0.25">
      <c r="C1002" s="53"/>
      <c r="N1002" s="53"/>
    </row>
    <row r="1003" spans="3:14" ht="12.5" x14ac:dyDescent="0.25">
      <c r="C1003" s="53"/>
      <c r="N1003" s="53"/>
    </row>
    <row r="1004" spans="3:14" ht="12.5" x14ac:dyDescent="0.25">
      <c r="C1004" s="53"/>
      <c r="N1004" s="53"/>
    </row>
    <row r="1005" spans="3:14" ht="12.5" x14ac:dyDescent="0.25">
      <c r="C1005" s="53"/>
      <c r="N1005" s="53"/>
    </row>
    <row r="1006" spans="3:14" ht="12.5" x14ac:dyDescent="0.25">
      <c r="C1006" s="53"/>
      <c r="N1006" s="53"/>
    </row>
    <row r="1007" spans="3:14" ht="12.5" x14ac:dyDescent="0.25">
      <c r="C1007" s="53"/>
      <c r="N1007" s="53"/>
    </row>
    <row r="1008" spans="3:14" ht="12.5" x14ac:dyDescent="0.25">
      <c r="C1008" s="53"/>
      <c r="N1008" s="53"/>
    </row>
    <row r="1009" spans="3:14" ht="12.5" x14ac:dyDescent="0.25">
      <c r="C1009" s="53"/>
      <c r="N1009" s="53"/>
    </row>
    <row r="1010" spans="3:14" ht="12.5" x14ac:dyDescent="0.25">
      <c r="C1010" s="53"/>
      <c r="N1010" s="53"/>
    </row>
    <row r="1011" spans="3:14" ht="12.5" x14ac:dyDescent="0.25">
      <c r="C1011" s="53"/>
      <c r="N1011" s="53"/>
    </row>
    <row r="1012" spans="3:14" ht="12.5" x14ac:dyDescent="0.25">
      <c r="C1012" s="53"/>
      <c r="N1012" s="53"/>
    </row>
    <row r="1013" spans="3:14" ht="12.5" x14ac:dyDescent="0.25">
      <c r="C1013" s="53"/>
      <c r="N1013" s="53"/>
    </row>
    <row r="1014" spans="3:14" ht="12.5" x14ac:dyDescent="0.25">
      <c r="C1014" s="53"/>
      <c r="N1014" s="53"/>
    </row>
    <row r="1015" spans="3:14" ht="12.5" x14ac:dyDescent="0.25">
      <c r="C1015" s="53"/>
      <c r="N1015" s="53"/>
    </row>
    <row r="1016" spans="3:14" ht="12.5" x14ac:dyDescent="0.25">
      <c r="C1016" s="53"/>
      <c r="N1016" s="53"/>
    </row>
    <row r="1017" spans="3:14" ht="12.5" x14ac:dyDescent="0.25">
      <c r="C1017" s="53"/>
      <c r="N1017" s="5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V81"/>
  <sheetViews>
    <sheetView showGridLines="0" workbookViewId="0"/>
  </sheetViews>
  <sheetFormatPr defaultColWidth="12.6328125" defaultRowHeight="15.75" customHeight="1" x14ac:dyDescent="0.25"/>
  <cols>
    <col min="2" max="2" width="25.08984375" customWidth="1"/>
    <col min="10" max="10" width="40.08984375" customWidth="1"/>
    <col min="11" max="20" width="10.7265625" customWidth="1"/>
  </cols>
  <sheetData>
    <row r="2" spans="2:22" x14ac:dyDescent="0.3">
      <c r="G2" s="19" t="s">
        <v>215</v>
      </c>
      <c r="J2" s="38" t="s">
        <v>216</v>
      </c>
      <c r="K2" s="4">
        <v>1</v>
      </c>
      <c r="L2" s="4">
        <f t="shared" ref="L2:T2" si="0">K2+1</f>
        <v>2</v>
      </c>
      <c r="M2" s="4">
        <f t="shared" si="0"/>
        <v>3</v>
      </c>
      <c r="N2" s="4">
        <f t="shared" si="0"/>
        <v>4</v>
      </c>
      <c r="O2" s="4">
        <f t="shared" si="0"/>
        <v>5</v>
      </c>
      <c r="P2" s="4">
        <f t="shared" si="0"/>
        <v>6</v>
      </c>
      <c r="Q2" s="4">
        <f t="shared" si="0"/>
        <v>7</v>
      </c>
      <c r="R2" s="4">
        <f t="shared" si="0"/>
        <v>8</v>
      </c>
      <c r="S2" s="4">
        <f t="shared" si="0"/>
        <v>9</v>
      </c>
      <c r="T2" s="4">
        <f t="shared" si="0"/>
        <v>10</v>
      </c>
      <c r="U2" s="4" t="s">
        <v>217</v>
      </c>
      <c r="V2" s="4" t="s">
        <v>218</v>
      </c>
    </row>
    <row r="3" spans="2:22" x14ac:dyDescent="0.3">
      <c r="B3" s="38" t="s">
        <v>194</v>
      </c>
      <c r="C3" s="69">
        <v>1E-3</v>
      </c>
      <c r="D3" s="46" t="s">
        <v>219</v>
      </c>
      <c r="G3" s="35" t="s">
        <v>220</v>
      </c>
      <c r="J3" s="46" t="s">
        <v>28</v>
      </c>
      <c r="K3" s="70">
        <v>350</v>
      </c>
      <c r="L3" s="70">
        <v>350</v>
      </c>
      <c r="M3" s="70">
        <v>350</v>
      </c>
      <c r="N3" s="70">
        <v>450</v>
      </c>
      <c r="O3" s="70">
        <v>450</v>
      </c>
      <c r="P3" s="70">
        <v>650</v>
      </c>
      <c r="Q3" s="70">
        <v>650</v>
      </c>
      <c r="R3" s="70">
        <v>650</v>
      </c>
      <c r="S3" s="70">
        <v>650</v>
      </c>
      <c r="T3" s="70">
        <v>650</v>
      </c>
      <c r="U3" s="70">
        <v>650</v>
      </c>
      <c r="V3" s="46">
        <v>49.9</v>
      </c>
    </row>
    <row r="4" spans="2:22" x14ac:dyDescent="0.3">
      <c r="B4" s="38"/>
      <c r="G4" s="35" t="s">
        <v>221</v>
      </c>
      <c r="J4" s="46" t="s">
        <v>222</v>
      </c>
      <c r="K4" s="70">
        <v>80</v>
      </c>
      <c r="L4" s="70">
        <v>80</v>
      </c>
      <c r="M4" s="70">
        <v>160</v>
      </c>
      <c r="N4" s="70">
        <v>160</v>
      </c>
      <c r="O4" s="70">
        <v>160</v>
      </c>
      <c r="P4" s="70">
        <v>280</v>
      </c>
      <c r="Q4" s="70">
        <v>280</v>
      </c>
      <c r="R4" s="70">
        <v>280</v>
      </c>
      <c r="S4" s="70">
        <v>280</v>
      </c>
      <c r="T4" s="70">
        <v>280</v>
      </c>
      <c r="U4" s="70">
        <v>280</v>
      </c>
      <c r="V4" s="46">
        <v>60</v>
      </c>
    </row>
    <row r="5" spans="2:22" x14ac:dyDescent="0.3">
      <c r="B5" s="38" t="s">
        <v>223</v>
      </c>
      <c r="C5" s="71">
        <v>-60</v>
      </c>
      <c r="D5" s="46" t="s">
        <v>224</v>
      </c>
      <c r="G5" s="35" t="s">
        <v>225</v>
      </c>
      <c r="J5" s="46" t="s">
        <v>226</v>
      </c>
      <c r="K5" s="70">
        <v>60</v>
      </c>
      <c r="L5" s="70">
        <v>60</v>
      </c>
      <c r="M5" s="70">
        <v>60</v>
      </c>
      <c r="N5" s="70">
        <v>100</v>
      </c>
      <c r="O5" s="70">
        <v>100</v>
      </c>
      <c r="P5" s="70">
        <v>100</v>
      </c>
      <c r="Q5" s="70">
        <v>100</v>
      </c>
      <c r="R5" s="70">
        <v>100</v>
      </c>
      <c r="S5" s="70">
        <v>100</v>
      </c>
      <c r="T5" s="70">
        <v>100</v>
      </c>
      <c r="U5" s="70">
        <v>100</v>
      </c>
    </row>
    <row r="6" spans="2:22" x14ac:dyDescent="0.3">
      <c r="B6" s="38"/>
      <c r="G6" s="35" t="s">
        <v>227</v>
      </c>
      <c r="J6" s="46" t="s">
        <v>228</v>
      </c>
      <c r="K6" s="70">
        <v>100</v>
      </c>
      <c r="L6" s="70">
        <v>180</v>
      </c>
      <c r="M6" s="70">
        <v>180</v>
      </c>
      <c r="N6" s="70">
        <v>360</v>
      </c>
      <c r="O6" s="70">
        <v>360</v>
      </c>
      <c r="P6" s="70">
        <v>360</v>
      </c>
      <c r="Q6" s="70">
        <v>360</v>
      </c>
      <c r="R6" s="70">
        <v>360</v>
      </c>
      <c r="S6" s="70">
        <v>360</v>
      </c>
      <c r="T6" s="70">
        <v>360</v>
      </c>
      <c r="U6" s="70">
        <v>360</v>
      </c>
      <c r="V6" s="46">
        <v>65</v>
      </c>
    </row>
    <row r="7" spans="2:22" x14ac:dyDescent="0.3">
      <c r="B7" s="38" t="s">
        <v>229</v>
      </c>
      <c r="C7" s="72">
        <f>D81</f>
        <v>-72.166666666666671</v>
      </c>
      <c r="D7" s="46" t="s">
        <v>224</v>
      </c>
      <c r="G7" s="35" t="s">
        <v>230</v>
      </c>
      <c r="J7" s="46" t="s">
        <v>231</v>
      </c>
      <c r="K7" s="70">
        <v>60</v>
      </c>
      <c r="L7" s="70">
        <v>90</v>
      </c>
      <c r="M7" s="70">
        <v>110</v>
      </c>
    </row>
    <row r="8" spans="2:22" ht="15.75" customHeight="1" x14ac:dyDescent="0.25">
      <c r="G8" s="35" t="s">
        <v>232</v>
      </c>
      <c r="J8" s="46" t="s">
        <v>233</v>
      </c>
      <c r="K8" s="70">
        <v>100</v>
      </c>
      <c r="L8" s="70">
        <v>100</v>
      </c>
      <c r="M8" s="70">
        <v>100</v>
      </c>
      <c r="N8" s="70">
        <v>150</v>
      </c>
      <c r="O8" s="70">
        <v>150</v>
      </c>
      <c r="P8" s="70">
        <v>350</v>
      </c>
      <c r="Q8" s="70">
        <v>350</v>
      </c>
      <c r="R8" s="70">
        <v>350</v>
      </c>
      <c r="S8" s="70">
        <v>350</v>
      </c>
      <c r="T8" s="70">
        <v>350</v>
      </c>
      <c r="U8" s="70">
        <v>350</v>
      </c>
    </row>
    <row r="9" spans="2:22" x14ac:dyDescent="0.3">
      <c r="B9" s="38" t="s">
        <v>205</v>
      </c>
      <c r="C9" s="72">
        <f>D54</f>
        <v>-2264.75</v>
      </c>
      <c r="D9" s="46" t="s">
        <v>234</v>
      </c>
      <c r="G9" s="35" t="s">
        <v>235</v>
      </c>
      <c r="J9" s="46" t="s">
        <v>236</v>
      </c>
      <c r="K9" s="70">
        <v>100</v>
      </c>
    </row>
    <row r="10" spans="2:22" ht="15.75" customHeight="1" x14ac:dyDescent="0.25">
      <c r="G10" s="35" t="s">
        <v>237</v>
      </c>
      <c r="J10" s="46" t="s">
        <v>238</v>
      </c>
      <c r="K10" s="70">
        <v>250</v>
      </c>
    </row>
    <row r="11" spans="2:22" x14ac:dyDescent="0.3">
      <c r="B11" s="38" t="s">
        <v>195</v>
      </c>
      <c r="G11" s="35" t="s">
        <v>239</v>
      </c>
      <c r="J11" s="46" t="s">
        <v>240</v>
      </c>
      <c r="K11" s="70">
        <v>60</v>
      </c>
    </row>
    <row r="12" spans="2:22" ht="15.75" customHeight="1" x14ac:dyDescent="0.25">
      <c r="B12" s="10" t="s">
        <v>241</v>
      </c>
      <c r="C12" s="72">
        <v>2500</v>
      </c>
      <c r="D12" s="46" t="s">
        <v>234</v>
      </c>
      <c r="G12" s="35" t="s">
        <v>242</v>
      </c>
      <c r="J12" s="46" t="s">
        <v>243</v>
      </c>
      <c r="K12" s="70">
        <v>1300</v>
      </c>
    </row>
    <row r="13" spans="2:22" ht="15.75" customHeight="1" x14ac:dyDescent="0.25">
      <c r="B13" s="10" t="s">
        <v>244</v>
      </c>
      <c r="C13" s="72">
        <v>1622</v>
      </c>
      <c r="D13" s="46" t="s">
        <v>234</v>
      </c>
      <c r="G13" s="35" t="s">
        <v>245</v>
      </c>
      <c r="J13" s="46" t="s">
        <v>246</v>
      </c>
      <c r="K13" s="70">
        <v>120</v>
      </c>
    </row>
    <row r="14" spans="2:22" ht="15.75" customHeight="1" x14ac:dyDescent="0.25">
      <c r="G14" s="35" t="s">
        <v>247</v>
      </c>
      <c r="J14" s="46" t="s">
        <v>248</v>
      </c>
      <c r="K14" s="70">
        <v>220</v>
      </c>
    </row>
    <row r="15" spans="2:22" ht="15.75" customHeight="1" x14ac:dyDescent="0.25">
      <c r="G15" s="35" t="s">
        <v>249</v>
      </c>
      <c r="J15" s="46" t="s">
        <v>250</v>
      </c>
      <c r="K15" s="70">
        <v>1200</v>
      </c>
    </row>
    <row r="16" spans="2:22" ht="15.75" customHeight="1" x14ac:dyDescent="0.25">
      <c r="G16" s="35" t="s">
        <v>251</v>
      </c>
    </row>
    <row r="17" spans="2:13" x14ac:dyDescent="0.3">
      <c r="B17" s="38" t="s">
        <v>252</v>
      </c>
      <c r="C17" s="71">
        <v>-8200</v>
      </c>
      <c r="D17" s="46" t="s">
        <v>253</v>
      </c>
      <c r="G17" s="35" t="s">
        <v>254</v>
      </c>
    </row>
    <row r="18" spans="2:13" ht="15.75" customHeight="1" x14ac:dyDescent="0.25">
      <c r="G18" s="35" t="s">
        <v>255</v>
      </c>
    </row>
    <row r="19" spans="2:13" ht="15.75" customHeight="1" x14ac:dyDescent="0.25">
      <c r="G19" s="35" t="s">
        <v>256</v>
      </c>
    </row>
    <row r="20" spans="2:13" ht="13" x14ac:dyDescent="0.3">
      <c r="B20" s="38" t="s">
        <v>257</v>
      </c>
      <c r="C20" s="62"/>
      <c r="G20" s="35" t="s">
        <v>258</v>
      </c>
      <c r="J20" s="38" t="s">
        <v>216</v>
      </c>
      <c r="K20" s="4" t="s">
        <v>259</v>
      </c>
      <c r="L20" s="4" t="s">
        <v>260</v>
      </c>
      <c r="M20" s="4" t="s">
        <v>261</v>
      </c>
    </row>
    <row r="21" spans="2:13" ht="12.5" x14ac:dyDescent="0.25">
      <c r="B21" s="46" t="s">
        <v>262</v>
      </c>
      <c r="C21" s="62">
        <v>3924</v>
      </c>
      <c r="G21" s="35" t="s">
        <v>263</v>
      </c>
      <c r="J21" s="46" t="s">
        <v>264</v>
      </c>
      <c r="K21" s="70">
        <v>350</v>
      </c>
      <c r="L21" s="70">
        <v>420</v>
      </c>
      <c r="M21" s="70">
        <v>504</v>
      </c>
    </row>
    <row r="22" spans="2:13" ht="12.5" x14ac:dyDescent="0.25">
      <c r="B22" s="46" t="s">
        <v>265</v>
      </c>
      <c r="C22" s="46">
        <v>146</v>
      </c>
      <c r="G22" s="35" t="s">
        <v>266</v>
      </c>
      <c r="J22" s="46" t="s">
        <v>267</v>
      </c>
      <c r="K22" s="70">
        <v>450</v>
      </c>
      <c r="L22" s="70">
        <v>540</v>
      </c>
      <c r="M22" s="70">
        <v>648</v>
      </c>
    </row>
    <row r="23" spans="2:13" ht="12.5" x14ac:dyDescent="0.25">
      <c r="B23" s="46" t="s">
        <v>268</v>
      </c>
      <c r="C23" s="62">
        <v>33542343</v>
      </c>
      <c r="D23" s="70"/>
      <c r="G23" s="35" t="s">
        <v>269</v>
      </c>
      <c r="J23" s="46" t="s">
        <v>270</v>
      </c>
      <c r="K23" s="70">
        <v>650</v>
      </c>
      <c r="L23" s="70">
        <v>780</v>
      </c>
      <c r="M23" s="70">
        <v>936</v>
      </c>
    </row>
    <row r="24" spans="2:13" ht="12.5" x14ac:dyDescent="0.25">
      <c r="B24" s="46" t="s">
        <v>271</v>
      </c>
      <c r="C24" s="62">
        <v>29937645</v>
      </c>
      <c r="D24" s="73">
        <f>C24/C23</f>
        <v>0.89253290982087929</v>
      </c>
      <c r="G24" s="35" t="s">
        <v>272</v>
      </c>
      <c r="J24" s="46" t="s">
        <v>273</v>
      </c>
      <c r="K24" s="70">
        <v>49.9</v>
      </c>
      <c r="L24" s="70">
        <v>59.88</v>
      </c>
      <c r="M24" s="70">
        <v>71.86</v>
      </c>
    </row>
    <row r="25" spans="2:13" ht="12.5" x14ac:dyDescent="0.25">
      <c r="B25" s="46" t="s">
        <v>274</v>
      </c>
      <c r="C25" s="62">
        <v>-2470451.85</v>
      </c>
      <c r="D25" s="73">
        <f>(C24+C25)/C23</f>
        <v>0.81888117207554634</v>
      </c>
      <c r="G25" s="35" t="s">
        <v>275</v>
      </c>
      <c r="J25" s="46" t="s">
        <v>276</v>
      </c>
      <c r="K25" s="70">
        <v>80</v>
      </c>
      <c r="L25" s="70">
        <v>96</v>
      </c>
      <c r="M25" s="70">
        <v>115.2</v>
      </c>
    </row>
    <row r="26" spans="2:13" ht="12.5" x14ac:dyDescent="0.25">
      <c r="B26" s="46" t="s">
        <v>277</v>
      </c>
      <c r="C26" s="62"/>
      <c r="D26" s="73"/>
      <c r="G26" s="35" t="s">
        <v>278</v>
      </c>
      <c r="J26" s="46" t="s">
        <v>279</v>
      </c>
      <c r="K26" s="70">
        <v>160</v>
      </c>
      <c r="L26" s="70">
        <v>192</v>
      </c>
      <c r="M26" s="70">
        <v>230.4</v>
      </c>
    </row>
    <row r="27" spans="2:13" ht="12.5" x14ac:dyDescent="0.25">
      <c r="B27" s="46" t="s">
        <v>280</v>
      </c>
      <c r="C27" s="62"/>
      <c r="D27" s="73"/>
      <c r="G27" s="35" t="s">
        <v>281</v>
      </c>
      <c r="J27" s="46" t="s">
        <v>282</v>
      </c>
      <c r="K27" s="70">
        <v>280</v>
      </c>
      <c r="L27" s="70">
        <v>336</v>
      </c>
      <c r="M27" s="70">
        <v>403.2</v>
      </c>
    </row>
    <row r="28" spans="2:13" ht="12.5" x14ac:dyDescent="0.25">
      <c r="B28" s="46" t="s">
        <v>283</v>
      </c>
      <c r="D28" s="70"/>
      <c r="G28" s="35" t="s">
        <v>17</v>
      </c>
      <c r="J28" s="46" t="s">
        <v>284</v>
      </c>
      <c r="K28" s="70">
        <v>60</v>
      </c>
      <c r="L28" s="70">
        <v>72</v>
      </c>
      <c r="M28" s="70">
        <v>86.4</v>
      </c>
    </row>
    <row r="29" spans="2:13" ht="12.5" x14ac:dyDescent="0.25">
      <c r="B29" s="74" t="s">
        <v>285</v>
      </c>
      <c r="C29" s="75">
        <f>C24+C26+C25+C27+C28</f>
        <v>27467193.149999999</v>
      </c>
      <c r="D29" s="70"/>
      <c r="G29" s="35" t="s">
        <v>286</v>
      </c>
      <c r="J29" s="46" t="s">
        <v>287</v>
      </c>
      <c r="K29" s="70">
        <v>80</v>
      </c>
      <c r="L29" s="70">
        <v>96</v>
      </c>
      <c r="M29" s="70">
        <v>115.2</v>
      </c>
    </row>
    <row r="30" spans="2:13" ht="12.5" x14ac:dyDescent="0.25">
      <c r="B30" s="74" t="s">
        <v>288</v>
      </c>
      <c r="C30" s="76">
        <f>IFERROR((C29/C23),0)</f>
        <v>0.81888117207554634</v>
      </c>
      <c r="D30" s="70"/>
      <c r="J30" s="46" t="s">
        <v>289</v>
      </c>
      <c r="K30" s="70">
        <v>120</v>
      </c>
      <c r="L30" s="70">
        <v>144</v>
      </c>
      <c r="M30" s="70">
        <v>172.8</v>
      </c>
    </row>
    <row r="31" spans="2:13" ht="12.5" x14ac:dyDescent="0.25">
      <c r="J31" s="46" t="s">
        <v>290</v>
      </c>
      <c r="K31" s="70">
        <v>25</v>
      </c>
      <c r="L31" s="70">
        <v>30</v>
      </c>
      <c r="M31" s="70">
        <v>36</v>
      </c>
    </row>
    <row r="32" spans="2:13" ht="12.5" x14ac:dyDescent="0.25">
      <c r="J32" s="46" t="s">
        <v>291</v>
      </c>
      <c r="K32" s="70">
        <v>100</v>
      </c>
      <c r="L32" s="70">
        <v>120</v>
      </c>
      <c r="M32" s="70">
        <v>144</v>
      </c>
    </row>
    <row r="33" spans="10:13" ht="12.5" x14ac:dyDescent="0.25">
      <c r="J33" s="46" t="s">
        <v>292</v>
      </c>
      <c r="K33" s="70">
        <v>210</v>
      </c>
      <c r="L33" s="70">
        <v>252</v>
      </c>
      <c r="M33" s="70">
        <v>302.39999999999998</v>
      </c>
    </row>
    <row r="34" spans="10:13" ht="12.5" x14ac:dyDescent="0.25">
      <c r="J34" s="46" t="s">
        <v>293</v>
      </c>
      <c r="K34" s="70">
        <v>360</v>
      </c>
      <c r="L34" s="70">
        <v>432</v>
      </c>
      <c r="M34" s="70">
        <v>518.4</v>
      </c>
    </row>
    <row r="35" spans="10:13" ht="12.5" x14ac:dyDescent="0.25">
      <c r="J35" s="46" t="s">
        <v>294</v>
      </c>
      <c r="K35" s="70">
        <v>85</v>
      </c>
      <c r="L35" s="70">
        <v>102</v>
      </c>
      <c r="M35" s="70">
        <v>122.4</v>
      </c>
    </row>
    <row r="36" spans="10:13" ht="12.5" x14ac:dyDescent="0.25">
      <c r="J36" s="46" t="s">
        <v>295</v>
      </c>
      <c r="K36" s="70">
        <v>60</v>
      </c>
      <c r="L36" s="70">
        <v>72</v>
      </c>
      <c r="M36" s="70">
        <v>86.4</v>
      </c>
    </row>
    <row r="37" spans="10:13" ht="12.5" x14ac:dyDescent="0.25">
      <c r="J37" s="46" t="s">
        <v>296</v>
      </c>
      <c r="K37" s="70">
        <v>90</v>
      </c>
      <c r="L37" s="70">
        <v>108</v>
      </c>
      <c r="M37" s="70">
        <v>129.6</v>
      </c>
    </row>
    <row r="38" spans="10:13" ht="12.5" x14ac:dyDescent="0.25">
      <c r="J38" s="46" t="s">
        <v>297</v>
      </c>
      <c r="K38" s="70">
        <v>110</v>
      </c>
      <c r="L38" s="70">
        <v>132</v>
      </c>
      <c r="M38" s="70">
        <v>158.4</v>
      </c>
    </row>
    <row r="39" spans="10:13" ht="12.5" x14ac:dyDescent="0.25">
      <c r="J39" s="46" t="s">
        <v>298</v>
      </c>
      <c r="K39" s="70">
        <v>200</v>
      </c>
      <c r="L39" s="70">
        <v>240</v>
      </c>
      <c r="M39" s="70">
        <v>288</v>
      </c>
    </row>
    <row r="40" spans="10:13" ht="12.5" x14ac:dyDescent="0.25">
      <c r="J40" s="46" t="s">
        <v>299</v>
      </c>
      <c r="K40" s="70">
        <v>30</v>
      </c>
      <c r="L40" s="70">
        <v>36</v>
      </c>
      <c r="M40" s="70">
        <v>43.2</v>
      </c>
    </row>
    <row r="41" spans="10:13" ht="12.5" x14ac:dyDescent="0.25">
      <c r="J41" s="46" t="s">
        <v>300</v>
      </c>
      <c r="K41" s="70">
        <v>65</v>
      </c>
      <c r="L41" s="70">
        <v>84.5</v>
      </c>
      <c r="M41" s="70">
        <v>101.4</v>
      </c>
    </row>
    <row r="42" spans="10:13" ht="12.5" x14ac:dyDescent="0.25">
      <c r="J42" s="46" t="s">
        <v>301</v>
      </c>
      <c r="K42" s="70">
        <v>150</v>
      </c>
      <c r="L42" s="70">
        <v>195</v>
      </c>
      <c r="M42" s="70">
        <v>234</v>
      </c>
    </row>
    <row r="43" spans="10:13" ht="12.5" x14ac:dyDescent="0.25">
      <c r="J43" s="46" t="s">
        <v>302</v>
      </c>
      <c r="K43" s="70">
        <v>240</v>
      </c>
      <c r="L43" s="70">
        <v>312</v>
      </c>
      <c r="M43" s="70">
        <v>374.4</v>
      </c>
    </row>
    <row r="44" spans="10:13" ht="12.5" x14ac:dyDescent="0.25">
      <c r="J44" s="46" t="s">
        <v>303</v>
      </c>
      <c r="K44" s="70">
        <v>320</v>
      </c>
      <c r="L44" s="70">
        <v>384</v>
      </c>
      <c r="M44" s="70">
        <v>460.8</v>
      </c>
    </row>
    <row r="45" spans="10:13" ht="12.5" x14ac:dyDescent="0.25">
      <c r="J45" s="46" t="s">
        <v>304</v>
      </c>
      <c r="K45" s="70">
        <v>40</v>
      </c>
      <c r="L45" s="70">
        <v>48</v>
      </c>
      <c r="M45" s="70">
        <v>57.6</v>
      </c>
    </row>
    <row r="46" spans="10:13" ht="12.5" x14ac:dyDescent="0.25">
      <c r="J46" s="46" t="s">
        <v>236</v>
      </c>
      <c r="K46" s="70">
        <v>100</v>
      </c>
      <c r="L46" s="70">
        <v>120</v>
      </c>
      <c r="M46" s="70">
        <v>144</v>
      </c>
    </row>
    <row r="47" spans="10:13" ht="12.5" x14ac:dyDescent="0.25">
      <c r="J47" s="46" t="s">
        <v>238</v>
      </c>
      <c r="K47" s="70">
        <v>190</v>
      </c>
      <c r="L47" s="70">
        <v>228</v>
      </c>
      <c r="M47" s="70">
        <v>273.60000000000002</v>
      </c>
    </row>
    <row r="48" spans="10:13" ht="12.5" x14ac:dyDescent="0.25">
      <c r="J48" s="46" t="s">
        <v>240</v>
      </c>
      <c r="K48" s="70">
        <v>60</v>
      </c>
      <c r="L48" s="70">
        <v>72</v>
      </c>
      <c r="M48" s="70">
        <v>86.4</v>
      </c>
    </row>
    <row r="49" spans="2:13" ht="12.5" x14ac:dyDescent="0.25">
      <c r="J49" s="46" t="s">
        <v>243</v>
      </c>
      <c r="K49" s="70">
        <v>300</v>
      </c>
      <c r="L49" s="70">
        <v>360</v>
      </c>
      <c r="M49" s="70">
        <v>432</v>
      </c>
    </row>
    <row r="54" spans="2:13" ht="13" x14ac:dyDescent="0.3">
      <c r="C54" s="77" t="s">
        <v>305</v>
      </c>
      <c r="D54" s="78">
        <f>AVERAGE(D56:D67)</f>
        <v>-2264.75</v>
      </c>
    </row>
    <row r="55" spans="2:13" ht="13" x14ac:dyDescent="0.3">
      <c r="B55" s="79" t="s">
        <v>306</v>
      </c>
      <c r="C55" s="79"/>
      <c r="D55" s="78">
        <v>-1231</v>
      </c>
      <c r="F55" s="79" t="s">
        <v>265</v>
      </c>
      <c r="G55" s="79"/>
      <c r="H55" s="78"/>
      <c r="I55" s="78">
        <v>1445</v>
      </c>
    </row>
    <row r="56" spans="2:13" ht="12.5" x14ac:dyDescent="0.25">
      <c r="C56" s="80">
        <v>45772</v>
      </c>
      <c r="D56" s="62">
        <v>-1494</v>
      </c>
      <c r="G56" s="80">
        <v>45772</v>
      </c>
      <c r="H56" s="46"/>
      <c r="I56" s="46">
        <v>98</v>
      </c>
    </row>
    <row r="57" spans="2:13" ht="12.5" x14ac:dyDescent="0.25">
      <c r="C57" s="80">
        <v>45802</v>
      </c>
      <c r="D57" s="62">
        <v>-7322</v>
      </c>
      <c r="G57" s="80">
        <v>45802</v>
      </c>
      <c r="H57" s="46"/>
      <c r="I57" s="46">
        <v>20</v>
      </c>
    </row>
    <row r="58" spans="2:13" ht="12.5" x14ac:dyDescent="0.25">
      <c r="C58" s="80">
        <v>45833</v>
      </c>
      <c r="D58" s="62">
        <v>-4795</v>
      </c>
      <c r="G58" s="80">
        <v>45833</v>
      </c>
      <c r="H58" s="46"/>
      <c r="I58" s="46">
        <v>31</v>
      </c>
    </row>
    <row r="59" spans="2:13" ht="12.5" x14ac:dyDescent="0.25">
      <c r="C59" s="80">
        <v>45863</v>
      </c>
      <c r="D59" s="62">
        <v>-4436</v>
      </c>
      <c r="G59" s="80">
        <v>45863</v>
      </c>
      <c r="H59" s="46"/>
      <c r="I59" s="46">
        <v>33</v>
      </c>
    </row>
    <row r="60" spans="2:13" ht="12.5" x14ac:dyDescent="0.25">
      <c r="C60" s="80">
        <v>45894</v>
      </c>
      <c r="D60" s="62">
        <v>-2481</v>
      </c>
      <c r="G60" s="80">
        <v>45894</v>
      </c>
      <c r="H60" s="46"/>
      <c r="I60" s="46">
        <v>59</v>
      </c>
    </row>
    <row r="61" spans="2:13" ht="12.5" x14ac:dyDescent="0.25">
      <c r="C61" s="80">
        <v>45925</v>
      </c>
      <c r="D61" s="62">
        <v>-1541</v>
      </c>
      <c r="G61" s="80">
        <v>45925</v>
      </c>
      <c r="H61" s="46"/>
      <c r="I61" s="46">
        <v>95</v>
      </c>
    </row>
    <row r="62" spans="2:13" ht="12.5" x14ac:dyDescent="0.25">
      <c r="C62" s="80">
        <v>45955</v>
      </c>
      <c r="D62" s="62">
        <v>-1195</v>
      </c>
      <c r="G62" s="80">
        <v>45955</v>
      </c>
      <c r="H62" s="46"/>
      <c r="I62" s="46">
        <v>125</v>
      </c>
    </row>
    <row r="63" spans="2:13" ht="12.5" x14ac:dyDescent="0.25">
      <c r="C63" s="80">
        <v>45986</v>
      </c>
      <c r="D63" s="46">
        <v>-841</v>
      </c>
      <c r="G63" s="80">
        <v>45986</v>
      </c>
      <c r="H63" s="46"/>
      <c r="I63" s="46">
        <v>174</v>
      </c>
    </row>
    <row r="64" spans="2:13" ht="12.5" x14ac:dyDescent="0.25">
      <c r="C64" s="80">
        <v>46016</v>
      </c>
      <c r="D64" s="46">
        <v>-662</v>
      </c>
      <c r="G64" s="80">
        <v>46016</v>
      </c>
      <c r="H64" s="46"/>
      <c r="I64" s="46">
        <v>221</v>
      </c>
    </row>
    <row r="65" spans="2:9" ht="12.5" x14ac:dyDescent="0.25">
      <c r="C65" s="80">
        <v>45683</v>
      </c>
      <c r="D65" s="46">
        <v>-651</v>
      </c>
      <c r="G65" s="80">
        <v>45683</v>
      </c>
      <c r="H65" s="46"/>
      <c r="I65" s="46">
        <v>231</v>
      </c>
    </row>
    <row r="66" spans="2:9" ht="12.5" x14ac:dyDescent="0.25">
      <c r="C66" s="80">
        <v>45714</v>
      </c>
      <c r="D66" s="46">
        <v>-729</v>
      </c>
      <c r="G66" s="80">
        <v>45714</v>
      </c>
      <c r="H66" s="46"/>
      <c r="I66" s="46">
        <v>212</v>
      </c>
    </row>
    <row r="67" spans="2:9" ht="12.5" x14ac:dyDescent="0.25">
      <c r="C67" s="80">
        <v>45742</v>
      </c>
      <c r="D67" s="62">
        <v>-1030</v>
      </c>
      <c r="G67" s="80">
        <v>45742</v>
      </c>
      <c r="H67" s="46"/>
      <c r="I67" s="46">
        <v>146</v>
      </c>
    </row>
    <row r="68" spans="2:9" ht="13" x14ac:dyDescent="0.3">
      <c r="B68" s="79" t="s">
        <v>307</v>
      </c>
      <c r="C68" s="79"/>
      <c r="D68" s="78">
        <v>-70</v>
      </c>
      <c r="F68" s="79" t="s">
        <v>262</v>
      </c>
      <c r="G68" s="79"/>
      <c r="H68" s="78"/>
      <c r="I68" s="78">
        <v>35158</v>
      </c>
    </row>
    <row r="69" spans="2:9" ht="12.5" x14ac:dyDescent="0.25">
      <c r="C69" s="80">
        <v>45772</v>
      </c>
      <c r="D69" s="46">
        <v>-85</v>
      </c>
      <c r="G69" s="80">
        <v>45772</v>
      </c>
      <c r="H69" s="62"/>
      <c r="I69" s="62">
        <v>2366</v>
      </c>
    </row>
    <row r="70" spans="2:9" ht="12.5" x14ac:dyDescent="0.25">
      <c r="C70" s="80">
        <v>45802</v>
      </c>
      <c r="D70" s="46">
        <v>-85</v>
      </c>
      <c r="G70" s="80">
        <v>45802</v>
      </c>
      <c r="H70" s="62"/>
      <c r="I70" s="62">
        <v>2382</v>
      </c>
    </row>
    <row r="71" spans="2:9" ht="12.5" x14ac:dyDescent="0.25">
      <c r="C71" s="80">
        <v>45833</v>
      </c>
      <c r="D71" s="46">
        <v>-86</v>
      </c>
      <c r="G71" s="80">
        <v>45833</v>
      </c>
      <c r="H71" s="62"/>
      <c r="I71" s="62">
        <v>2422</v>
      </c>
    </row>
    <row r="72" spans="2:9" ht="12.5" x14ac:dyDescent="0.25">
      <c r="C72" s="80">
        <v>45863</v>
      </c>
      <c r="D72" s="46">
        <v>-81</v>
      </c>
      <c r="G72" s="80">
        <v>45863</v>
      </c>
      <c r="H72" s="62"/>
      <c r="I72" s="62">
        <v>2473</v>
      </c>
    </row>
    <row r="73" spans="2:9" ht="12.5" x14ac:dyDescent="0.25">
      <c r="C73" s="80">
        <v>45894</v>
      </c>
      <c r="D73" s="46">
        <v>-79</v>
      </c>
      <c r="G73" s="80">
        <v>45894</v>
      </c>
      <c r="H73" s="62"/>
      <c r="I73" s="62">
        <v>2549</v>
      </c>
    </row>
    <row r="74" spans="2:9" ht="12.5" x14ac:dyDescent="0.25">
      <c r="C74" s="80">
        <v>45925</v>
      </c>
      <c r="D74" s="46">
        <v>-76</v>
      </c>
      <c r="G74" s="80">
        <v>45925</v>
      </c>
      <c r="H74" s="62"/>
      <c r="I74" s="62">
        <v>2662</v>
      </c>
    </row>
    <row r="75" spans="2:9" ht="12.5" x14ac:dyDescent="0.25">
      <c r="C75" s="80">
        <v>45955</v>
      </c>
      <c r="D75" s="46">
        <v>-75</v>
      </c>
      <c r="G75" s="80">
        <v>45955</v>
      </c>
      <c r="H75" s="62"/>
      <c r="I75" s="62">
        <v>2809</v>
      </c>
    </row>
    <row r="76" spans="2:9" ht="12.5" x14ac:dyDescent="0.25">
      <c r="C76" s="80">
        <v>45986</v>
      </c>
      <c r="D76" s="46">
        <v>-67</v>
      </c>
      <c r="G76" s="80">
        <v>45986</v>
      </c>
      <c r="H76" s="62"/>
      <c r="I76" s="62">
        <v>3010</v>
      </c>
    </row>
    <row r="77" spans="2:9" ht="12.5" x14ac:dyDescent="0.25">
      <c r="C77" s="80">
        <v>46016</v>
      </c>
      <c r="D77" s="46">
        <v>-61</v>
      </c>
      <c r="G77" s="80">
        <v>46016</v>
      </c>
      <c r="H77" s="62"/>
      <c r="I77" s="62">
        <v>3276</v>
      </c>
    </row>
    <row r="78" spans="2:9" ht="12.5" x14ac:dyDescent="0.25">
      <c r="C78" s="80">
        <v>45683</v>
      </c>
      <c r="D78" s="46">
        <v>-59</v>
      </c>
      <c r="G78" s="80">
        <v>45683</v>
      </c>
      <c r="H78" s="62"/>
      <c r="I78" s="62">
        <v>3525</v>
      </c>
    </row>
    <row r="79" spans="2:9" ht="12.5" x14ac:dyDescent="0.25">
      <c r="C79" s="80">
        <v>45714</v>
      </c>
      <c r="D79" s="46">
        <v>-59</v>
      </c>
      <c r="G79" s="80">
        <v>45714</v>
      </c>
      <c r="H79" s="62"/>
      <c r="I79" s="62">
        <v>3760</v>
      </c>
    </row>
    <row r="80" spans="2:9" ht="12.5" x14ac:dyDescent="0.25">
      <c r="C80" s="80">
        <v>45742</v>
      </c>
      <c r="D80" s="46">
        <v>-53</v>
      </c>
      <c r="G80" s="80">
        <v>45742</v>
      </c>
      <c r="H80" s="62"/>
      <c r="I80" s="62">
        <v>3924</v>
      </c>
    </row>
    <row r="81" spans="3:4" ht="13" x14ac:dyDescent="0.3">
      <c r="C81" s="77" t="s">
        <v>305</v>
      </c>
      <c r="D81" s="78">
        <f>AVERAGE(D69:D80)</f>
        <v>-72.166666666666671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Simulador</vt:lpstr>
      <vt:lpstr>ResumoCenarios</vt:lpstr>
      <vt:lpstr>Cenário 1</vt:lpstr>
      <vt:lpstr>Cenário 2</vt:lpstr>
      <vt:lpstr>Cenário 3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Carlos De Carvalho Junior</cp:lastModifiedBy>
  <dcterms:modified xsi:type="dcterms:W3CDTF">2026-07-10T21:05:15Z</dcterms:modified>
</cp:coreProperties>
</file>