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ramework Move" sheetId="1" state="visible" r:id="rId3"/>
    <sheet name="Propostas Move" sheetId="2" state="visible" r:id="rId4"/>
    <sheet name="Alavanca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<sst xmlns="http://schemas.openxmlformats.org/spreadsheetml/2006/main" count="151" uniqueCount="117">
  <si>
    <t xml:space="preserve">iFood Move — Framework de Condicoes Especiais</t>
  </si>
  <si>
    <t xml:space="preserve">Validade: 1 semana a partir da data da proposta | Todas as condicoes sujeitas a aprovacao gerencial</t>
  </si>
  <si>
    <t xml:space="preserve">Porte da Conta</t>
  </si>
  <si>
    <t xml:space="preserve">Qtd Lojas</t>
  </si>
  <si>
    <t xml:space="preserve">Setup</t>
  </si>
  <si>
    <t xml:space="preserve">Instalacao</t>
  </si>
  <si>
    <t xml:space="preserve">Mensalidade</t>
  </si>
  <si>
    <t xml:space="preserve">Carencia</t>
  </si>
  <si>
    <t xml:space="preserve">Modulos Extras</t>
  </si>
  <si>
    <t xml:space="preserve">Observacoes</t>
  </si>
  <si>
    <t xml:space="preserve">P (Pequeno)</t>
  </si>
  <si>
    <t xml:space="preserve">1-3</t>
  </si>
  <si>
    <t xml:space="preserve">Isencao total</t>
  </si>
  <si>
    <t xml:space="preserve">Parcelamento 4x boleto</t>
  </si>
  <si>
    <t xml:space="preserve">Sem desconto (tabela)</t>
  </si>
  <si>
    <t xml:space="preserve">1 mes carencia (piloto)</t>
  </si>
  <si>
    <t xml:space="preserve">Marketplace iFood isento</t>
  </si>
  <si>
    <t xml:space="preserve">Ideal para primeiro contato. Piloto em 1 loja.</t>
  </si>
  <si>
    <t xml:space="preserve">Desconto 50%</t>
  </si>
  <si>
    <t xml:space="preserve">Isenta</t>
  </si>
  <si>
    <t xml:space="preserve">Desconto 10% na mensalidade</t>
  </si>
  <si>
    <t xml:space="preserve">Impressora ate 3 isenta</t>
  </si>
  <si>
    <t xml:space="preserve">Para contas com potencial de crescimento.</t>
  </si>
  <si>
    <t xml:space="preserve">2 meses carencia</t>
  </si>
  <si>
    <t xml:space="preserve">KDS 1 isento</t>
  </si>
  <si>
    <t xml:space="preserve">Oferta agressiva para destravar rapido.</t>
  </si>
  <si>
    <t xml:space="preserve">M (Medio)</t>
  </si>
  <si>
    <t xml:space="preserve">4-10</t>
  </si>
  <si>
    <t xml:space="preserve">Desconto 5-10%</t>
  </si>
  <si>
    <t xml:space="preserve">Marketplace + POS Mobile isentos</t>
  </si>
  <si>
    <t xml:space="preserve">Foco em rede com rollout rapido. Piloto em 1-2 lojas.</t>
  </si>
  <si>
    <t xml:space="preserve">Parcelamento 6x</t>
  </si>
  <si>
    <t xml:space="preserve">Desconto 10-15%</t>
  </si>
  <si>
    <t xml:space="preserve">3SGo isento + Impressora isenta</t>
  </si>
  <si>
    <t xml:space="preserve">Para contas em negociacao travada.</t>
  </si>
  <si>
    <t xml:space="preserve">Desconto 15% (maximo)</t>
  </si>
  <si>
    <t xml:space="preserve">3 meses carencia</t>
  </si>
  <si>
    <t xml:space="preserve">3S Eats isento (set/2026)</t>
  </si>
  <si>
    <t xml:space="preserve">Oferta premium para fechar no evento.</t>
  </si>
  <si>
    <t xml:space="preserve">G (Grande)</t>
  </si>
  <si>
    <t xml:space="preserve">11-30</t>
  </si>
  <si>
    <t xml:space="preserve">2-3 meses carencia</t>
  </si>
  <si>
    <t xml:space="preserve">Marketplace + KDS ou Impressora isentos</t>
  </si>
  <si>
    <t xml:space="preserve">Negociacao estruturada. Piloto em 2-3 lojas.</t>
  </si>
  <si>
    <t xml:space="preserve">Desconto 15-20%</t>
  </si>
  <si>
    <t xml:space="preserve">3S Eats + 3SGo isentos</t>
  </si>
  <si>
    <t xml:space="preserve">Para redes prioritarias. Contrato 60 meses.</t>
  </si>
  <si>
    <t xml:space="preserve">Desconto 20% (maximo)</t>
  </si>
  <si>
    <t xml:space="preserve">3 meses carencia + 2 meses mensalidade gratis</t>
  </si>
  <si>
    <t xml:space="preserve">Pacote completo isentos</t>
  </si>
  <si>
    <t xml:space="preserve">Oferta maxima — apenas com aprovacao diretoria.</t>
  </si>
  <si>
    <t xml:space="preserve">IMPORTANTE: Todas as propostas geradas durante o iFood Move tem validade de 1 (uma) semana. Condicoes especiais nao sao cumulativas entre si.</t>
  </si>
  <si>
    <t xml:space="preserve">Propostas em Negociacao — Ofertas Especiais iFood Move</t>
  </si>
  <si>
    <t xml:space="preserve">Validade: 1 semana a partir da data de criacao</t>
  </si>
  <si>
    <t xml:space="preserve">Cliente</t>
  </si>
  <si>
    <t xml:space="preserve">Lojas</t>
  </si>
  <si>
    <t xml:space="preserve">Mensalidade Original</t>
  </si>
  <si>
    <t xml:space="preserve">Mensalidade Move</t>
  </si>
  <si>
    <t xml:space="preserve">Setup Original</t>
  </si>
  <si>
    <t xml:space="preserve">Setup Move</t>
  </si>
  <si>
    <t xml:space="preserve">Condicoes Especiais Move</t>
  </si>
  <si>
    <t xml:space="preserve">Validade</t>
  </si>
  <si>
    <t xml:space="preserve">Grupo Belas Artes</t>
  </si>
  <si>
    <t xml:space="preserve">Setup ISENTO | Totem, Marketplace, KDS, 3SGo ISENTOS | 2 meses carencia nas 4 primeiras lojas | Piloto 30 dias</t>
  </si>
  <si>
    <t xml:space="preserve">Isabela Akkari</t>
  </si>
  <si>
    <t xml:space="preserve">Setup ISENTO (R$3.000) | Instalacao ISENTA | 1 mes carencia na loja piloto | Parcelamento instalacao 4x</t>
  </si>
  <si>
    <t xml:space="preserve">Grupo Bercy (Impressora)</t>
  </si>
  <si>
    <t xml:space="preserve">Setup ISENTO | 3S Eats GRATIS (set/2026) | Desconto R$50/loja/mes | 2 meses carencia no piloto</t>
  </si>
  <si>
    <t xml:space="preserve">Grupo Bercy (KDS)</t>
  </si>
  <si>
    <t xml:space="preserve">Total Lojas</t>
  </si>
  <si>
    <t xml:space="preserve">Receita Mensal Total (original)</t>
  </si>
  <si>
    <t xml:space="preserve">Receita Mensal Total (Move)</t>
  </si>
  <si>
    <t xml:space="preserve">Alavancas Comerciais Disponiveis — iFood Move</t>
  </si>
  <si>
    <t xml:space="preserve">Alavanca</t>
  </si>
  <si>
    <t xml:space="preserve">Descricao</t>
  </si>
  <si>
    <t xml:space="preserve">Impacto Financeiro</t>
  </si>
  <si>
    <t xml:space="preserve">Alcance</t>
  </si>
  <si>
    <t xml:space="preserve">Quando Usar</t>
  </si>
  <si>
    <t xml:space="preserve">Isencao de Setup</t>
  </si>
  <si>
    <t xml:space="preserve">Isentar taxa de cadastro no sistema (R$1.500-3.000)</t>
  </si>
  <si>
    <t xml:space="preserve">Medio</t>
  </si>
  <si>
    <t xml:space="preserve">Todos os portes</t>
  </si>
  <si>
    <t xml:space="preserve">Para contas novas que resistem ao custo inicial. Destravar primeiro contato.</t>
  </si>
  <si>
    <t xml:space="preserve">Isencao de Instalacao</t>
  </si>
  <si>
    <t xml:space="preserve">Isentar custo de instalacao por loja (R$1.500/loja)</t>
  </si>
  <si>
    <t xml:space="preserve">Alto (redes grandes)</t>
  </si>
  <si>
    <t xml:space="preserve">M e G</t>
  </si>
  <si>
    <t xml:space="preserve">Quando custo de instalacao e barreira principal. Redes com muitas lojas.</t>
  </si>
  <si>
    <t xml:space="preserve">Desconto na Mensalidade</t>
  </si>
  <si>
    <t xml:space="preserve">Reduzir mensalidade em 5-20% do valor tabela</t>
  </si>
  <si>
    <t xml:space="preserve">Alto (recorrente)</t>
  </si>
  <si>
    <t xml:space="preserve">Todos</t>
  </si>
  <si>
    <t xml:space="preserve">Para negociacoes travadas no preco. Usar com parcimonia — impacta receita recorrente.</t>
  </si>
  <si>
    <t xml:space="preserve">Carencia na Mensalidade</t>
  </si>
  <si>
    <t xml:space="preserve">Isentar mensalidade por 1-3 meses (piloto/rollout)</t>
  </si>
  <si>
    <t xml:space="preserve">Medio-Alto</t>
  </si>
  <si>
    <t xml:space="preserve">Reduz risco percebido do cliente. Ideal para primeiras lojas do piloto.</t>
  </si>
  <si>
    <t xml:space="preserve">Isencao de Modulos</t>
  </si>
  <si>
    <t xml:space="preserve">Isentar modulos adicionais (Marketplace, KDS, 3SGo, etc)</t>
  </si>
  <si>
    <t xml:space="preserve">Baixo-Medio</t>
  </si>
  <si>
    <t xml:space="preserve">Aumenta valor percebido sem impacto direto na mensalidade base.</t>
  </si>
  <si>
    <t xml:space="preserve">Parcelamento Estendido</t>
  </si>
  <si>
    <t xml:space="preserve">Parcelar setup/instalacao em 4-6x boleto</t>
  </si>
  <si>
    <t xml:space="preserve">Baixo (fluxo caixa)</t>
  </si>
  <si>
    <t xml:space="preserve">Para contas que aceitam o valor total mas precisam de fôlego no caixa.</t>
  </si>
  <si>
    <t xml:space="preserve">Isencao 3S Eats</t>
  </si>
  <si>
    <t xml:space="preserve">Incluir 3S Eats (Delivery/Mesa) sem custo adicional</t>
  </si>
  <si>
    <t xml:space="preserve">Oferta especial Move setembro/2026. Destravar contas que ja tem marketplace.</t>
  </si>
  <si>
    <t xml:space="preserve">Piloto Gratuito</t>
  </si>
  <si>
    <t xml:space="preserve">Piloto 30 dias em 1-2 lojas sem cobranca de mensalidade</t>
  </si>
  <si>
    <t xml:space="preserve">Baixo</t>
  </si>
  <si>
    <t xml:space="preserve">Padrão para novos clientes. Reduz objecao "preciso testar primeiro".</t>
  </si>
  <si>
    <t xml:space="preserve">Reducao Contratual</t>
  </si>
  <si>
    <t xml:space="preserve">Reduzir prazo de contrato (48 ou 36 meses vs 60)</t>
  </si>
  <si>
    <t xml:space="preserve">P e M</t>
  </si>
  <si>
    <t xml:space="preserve">Ultimo recurso. Usar quando tudo mais falhou e o cliente resiste ao prazo longo.</t>
  </si>
  <si>
    <t xml:space="preserve">Regra: Nunca combinar mais de 3 alavancas na mesma proposta. Desconto &gt; 15% requer aprovacao gerencial. Todas as ofertas Move com validade de 1 semana.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</si>
</sst>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&quot;R$ &quot;#,##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2D0A0E"/>
      <name val="Arial"/>
      <family val="0"/>
      <charset val="1"/>
    </font>
    <font>
      <sz val="9"/>
      <color rgb="FF6B728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374151"/>
      <name val="Arial"/>
      <family val="0"/>
      <charset val="1"/>
    </font>
    <font>
      <b val="true"/>
      <sz val="10"/>
      <color rgb="FFE9202E"/>
      <name val="Arial"/>
      <family val="0"/>
      <charset val="1"/>
    </font>
    <font>
      <b val="true"/>
      <sz val="10"/>
      <color rgb="FF374151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FDE8E8"/>
        <bgColor rgb="FFF3F4F6"/>
      </patternFill>
    </fill>
    <fill>
      <patternFill patternType="solid">
        <fgColor rgb="FFFFF3CD"/>
        <bgColor rgb="FFFDE8E8"/>
      </patternFill>
    </fill>
    <fill>
      <patternFill patternType="solid">
        <fgColor rgb="FFE9202E"/>
        <bgColor rgb="FF993300"/>
      </patternFill>
    </fill>
    <fill>
      <patternFill patternType="solid">
        <fgColor rgb="FFD1FAE5"/>
        <bgColor rgb="FFCCFFFF"/>
      </patternFill>
    </fill>
    <fill>
      <patternFill patternType="solid">
        <fgColor rgb="FFFFFFFF"/>
        <bgColor rgb="FFF3F4F6"/>
      </patternFill>
    </fill>
    <fill>
      <patternFill patternType="solid">
        <fgColor rgb="FF2D0A0E"/>
        <bgColor rgb="FF000000"/>
      </patternFill>
    </fill>
    <fill>
      <patternFill patternType="solid">
        <fgColor rgb="FFF3F4F6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E9202E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3CD"/>
      <rgbColor rgb="FFF3F4F6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1FAE5"/>
      <rgbColor rgb="FFFDE8E8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10B981"/>
      <rgbColor rgb="FF003300"/>
      <rgbColor rgb="FF2D0A0E"/>
      <rgbColor rgb="FF993300"/>
      <rgbColor rgb="FF993366"/>
      <rgbColor rgb="FF333399"/>
      <rgbColor rgb="FF37415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9202E"/>
    <pageSetUpPr fitToPage="false"/>
  </sheetPr>
  <dimension ref="A1:H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4"/>
    <col collapsed="false" customWidth="true" hidden="false" outlineLevel="0" max="7" min="3" style="0" width="22"/>
    <col collapsed="false" customWidth="true" hidden="false" outlineLevel="0" max="8" min="8" style="0" width="30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customFormat="false" ht="23.85" hidden="false" customHeight="true" outlineLevel="0" collapsed="false">
      <c r="A5" s="4" t="s">
        <v>10</v>
      </c>
      <c r="B5" s="5" t="s">
        <v>11</v>
      </c>
      <c r="C5" s="5" t="s">
        <v>12</v>
      </c>
      <c r="D5" s="5" t="s">
        <v>13</v>
      </c>
      <c r="E5" s="5" t="s">
        <v>14</v>
      </c>
      <c r="F5" s="5" t="s">
        <v>15</v>
      </c>
      <c r="G5" s="5" t="s">
        <v>16</v>
      </c>
      <c r="H5" s="5" t="s">
        <v>17</v>
      </c>
    </row>
    <row r="6" customFormat="false" ht="23.85" hidden="false" customHeight="false" outlineLevel="0" collapsed="false">
      <c r="A6" s="4"/>
      <c r="B6" s="5" t="s">
        <v>11</v>
      </c>
      <c r="C6" s="5" t="s">
        <v>18</v>
      </c>
      <c r="D6" s="5" t="s">
        <v>19</v>
      </c>
      <c r="E6" s="5" t="s">
        <v>20</v>
      </c>
      <c r="F6" s="5" t="s">
        <v>15</v>
      </c>
      <c r="G6" s="5" t="s">
        <v>21</v>
      </c>
      <c r="H6" s="5" t="s">
        <v>22</v>
      </c>
    </row>
    <row r="7" customFormat="false" ht="23.85" hidden="false" customHeight="false" outlineLevel="0" collapsed="false">
      <c r="A7" s="4"/>
      <c r="B7" s="5" t="s">
        <v>11</v>
      </c>
      <c r="C7" s="5" t="s">
        <v>12</v>
      </c>
      <c r="D7" s="5" t="s">
        <v>19</v>
      </c>
      <c r="E7" s="5" t="s">
        <v>14</v>
      </c>
      <c r="F7" s="5" t="s">
        <v>23</v>
      </c>
      <c r="G7" s="5" t="s">
        <v>24</v>
      </c>
      <c r="H7" s="5" t="s">
        <v>25</v>
      </c>
    </row>
    <row r="8" customFormat="false" ht="23.85" hidden="false" customHeight="true" outlineLevel="0" collapsed="false">
      <c r="A8" s="6" t="s">
        <v>26</v>
      </c>
      <c r="B8" s="5" t="s">
        <v>27</v>
      </c>
      <c r="C8" s="5" t="s">
        <v>12</v>
      </c>
      <c r="D8" s="5" t="s">
        <v>19</v>
      </c>
      <c r="E8" s="5" t="s">
        <v>28</v>
      </c>
      <c r="F8" s="5" t="s">
        <v>23</v>
      </c>
      <c r="G8" s="5" t="s">
        <v>29</v>
      </c>
      <c r="H8" s="5" t="s">
        <v>30</v>
      </c>
    </row>
    <row r="9" customFormat="false" ht="23.85" hidden="false" customHeight="false" outlineLevel="0" collapsed="false">
      <c r="A9" s="6"/>
      <c r="B9" s="5" t="s">
        <v>27</v>
      </c>
      <c r="C9" s="5" t="s">
        <v>12</v>
      </c>
      <c r="D9" s="5" t="s">
        <v>31</v>
      </c>
      <c r="E9" s="5" t="s">
        <v>32</v>
      </c>
      <c r="F9" s="5" t="s">
        <v>23</v>
      </c>
      <c r="G9" s="5" t="s">
        <v>33</v>
      </c>
      <c r="H9" s="5" t="s">
        <v>34</v>
      </c>
    </row>
    <row r="10" customFormat="false" ht="23.85" hidden="false" customHeight="false" outlineLevel="0" collapsed="false">
      <c r="A10" s="6"/>
      <c r="B10" s="5" t="s">
        <v>27</v>
      </c>
      <c r="C10" s="5" t="s">
        <v>18</v>
      </c>
      <c r="D10" s="5" t="s">
        <v>19</v>
      </c>
      <c r="E10" s="5" t="s">
        <v>35</v>
      </c>
      <c r="F10" s="5" t="s">
        <v>36</v>
      </c>
      <c r="G10" s="5" t="s">
        <v>37</v>
      </c>
      <c r="H10" s="5" t="s">
        <v>38</v>
      </c>
    </row>
    <row r="11" customFormat="false" ht="23.85" hidden="false" customHeight="true" outlineLevel="0" collapsed="false">
      <c r="A11" s="7" t="s">
        <v>39</v>
      </c>
      <c r="B11" s="5" t="s">
        <v>40</v>
      </c>
      <c r="C11" s="5" t="s">
        <v>12</v>
      </c>
      <c r="D11" s="5" t="s">
        <v>19</v>
      </c>
      <c r="E11" s="5" t="s">
        <v>32</v>
      </c>
      <c r="F11" s="5" t="s">
        <v>41</v>
      </c>
      <c r="G11" s="5" t="s">
        <v>42</v>
      </c>
      <c r="H11" s="5" t="s">
        <v>43</v>
      </c>
    </row>
    <row r="12" customFormat="false" ht="23.85" hidden="false" customHeight="false" outlineLevel="0" collapsed="false">
      <c r="A12" s="7"/>
      <c r="B12" s="5" t="s">
        <v>40</v>
      </c>
      <c r="C12" s="5" t="s">
        <v>12</v>
      </c>
      <c r="D12" s="5" t="s">
        <v>19</v>
      </c>
      <c r="E12" s="5" t="s">
        <v>44</v>
      </c>
      <c r="F12" s="5" t="s">
        <v>36</v>
      </c>
      <c r="G12" s="5" t="s">
        <v>45</v>
      </c>
      <c r="H12" s="5" t="s">
        <v>46</v>
      </c>
    </row>
    <row r="13" customFormat="false" ht="23.85" hidden="false" customHeight="false" outlineLevel="0" collapsed="false">
      <c r="A13" s="7"/>
      <c r="B13" s="5" t="s">
        <v>40</v>
      </c>
      <c r="C13" s="5" t="s">
        <v>12</v>
      </c>
      <c r="D13" s="5" t="s">
        <v>19</v>
      </c>
      <c r="E13" s="5" t="s">
        <v>47</v>
      </c>
      <c r="F13" s="5" t="s">
        <v>48</v>
      </c>
      <c r="G13" s="5" t="s">
        <v>49</v>
      </c>
      <c r="H13" s="5" t="s">
        <v>50</v>
      </c>
    </row>
    <row r="15" customFormat="false" ht="15" hidden="false" customHeight="true" outlineLevel="0" collapsed="false">
      <c r="A15" s="8" t="s">
        <v>51</v>
      </c>
      <c r="B15" s="8"/>
      <c r="C15" s="8"/>
      <c r="D15" s="8"/>
      <c r="E15" s="8"/>
      <c r="F15" s="8"/>
      <c r="G15" s="8"/>
      <c r="H15" s="8"/>
    </row>
  </sheetData>
  <mergeCells count="6">
    <mergeCell ref="A1:H1"/>
    <mergeCell ref="A2:H2"/>
    <mergeCell ref="A5:A7"/>
    <mergeCell ref="A8:A10"/>
    <mergeCell ref="A11:A13"/>
    <mergeCell ref="A15:H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74151"/>
    <pageSetUpPr fitToPage="false"/>
  </sheetPr>
  <dimension ref="A1:I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0"/>
    <col collapsed="false" customWidth="true" hidden="false" outlineLevel="0" max="4" min="3" style="0" width="14"/>
    <col collapsed="false" customWidth="true" hidden="false" outlineLevel="0" max="7" min="5" style="0" width="16"/>
    <col collapsed="false" customWidth="true" hidden="false" outlineLevel="0" max="8" min="8" style="0" width="35"/>
    <col collapsed="false" customWidth="true" hidden="false" outlineLevel="0" max="9" min="9" style="0" width="15"/>
  </cols>
  <sheetData>
    <row r="1" customFormat="false" ht="17.35" hidden="false" customHeight="false" outlineLevel="0" collapsed="false">
      <c r="A1" s="1" t="s">
        <v>52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false" outlineLevel="0" collapsed="false">
      <c r="A2" s="9" t="s">
        <v>53</v>
      </c>
      <c r="B2" s="9"/>
      <c r="C2" s="9"/>
      <c r="D2" s="9"/>
      <c r="E2" s="9"/>
      <c r="F2" s="9"/>
      <c r="G2" s="9"/>
      <c r="H2" s="9"/>
      <c r="I2" s="9"/>
    </row>
    <row r="4" customFormat="false" ht="26.85" hidden="false" customHeight="false" outlineLevel="0" collapsed="false">
      <c r="A4" s="10" t="s">
        <v>54</v>
      </c>
      <c r="B4" s="10" t="s">
        <v>55</v>
      </c>
      <c r="C4" s="10" t="s">
        <v>56</v>
      </c>
      <c r="D4" s="10" t="s">
        <v>57</v>
      </c>
      <c r="E4" s="10" t="s">
        <v>58</v>
      </c>
      <c r="F4" s="10" t="s">
        <v>59</v>
      </c>
      <c r="G4" s="10" t="s">
        <v>5</v>
      </c>
      <c r="H4" s="10" t="s">
        <v>60</v>
      </c>
      <c r="I4" s="10" t="s">
        <v>61</v>
      </c>
    </row>
    <row r="5" customFormat="false" ht="35.05" hidden="false" customHeight="false" outlineLevel="0" collapsed="false">
      <c r="A5" s="5" t="s">
        <v>62</v>
      </c>
      <c r="B5" s="5" t="n">
        <v>14</v>
      </c>
      <c r="C5" s="11" t="n">
        <v>710</v>
      </c>
      <c r="D5" s="11" t="n">
        <v>710</v>
      </c>
      <c r="E5" s="11" t="n">
        <v>3000</v>
      </c>
      <c r="F5" s="11" t="n">
        <v>0</v>
      </c>
      <c r="G5" s="11" t="n">
        <v>22708</v>
      </c>
      <c r="H5" s="5" t="s">
        <v>63</v>
      </c>
      <c r="I5" s="5" t="str">
        <f aca="true">TEXT(TODAY()+7,"DD/MM/YYYY")</f>
        <v>16/09/2026</v>
      </c>
    </row>
    <row r="6" customFormat="false" ht="35.05" hidden="false" customHeight="false" outlineLevel="0" collapsed="false">
      <c r="A6" s="12" t="s">
        <v>64</v>
      </c>
      <c r="B6" s="12" t="n">
        <v>5</v>
      </c>
      <c r="C6" s="13" t="n">
        <v>600</v>
      </c>
      <c r="D6" s="13" t="n">
        <v>600</v>
      </c>
      <c r="E6" s="13" t="n">
        <v>3000</v>
      </c>
      <c r="F6" s="13" t="n">
        <v>0</v>
      </c>
      <c r="G6" s="13" t="n">
        <v>0</v>
      </c>
      <c r="H6" s="12" t="s">
        <v>65</v>
      </c>
      <c r="I6" s="12" t="str">
        <f aca="true">TEXT(TODAY()+7,"DD/MM/YYYY")</f>
        <v>16/09/2026</v>
      </c>
    </row>
    <row r="7" customFormat="false" ht="35.05" hidden="false" customHeight="false" outlineLevel="0" collapsed="false">
      <c r="A7" s="5" t="s">
        <v>66</v>
      </c>
      <c r="B7" s="5" t="n">
        <v>9</v>
      </c>
      <c r="C7" s="11" t="n">
        <v>740</v>
      </c>
      <c r="D7" s="11" t="n">
        <v>690</v>
      </c>
      <c r="E7" s="11" t="n">
        <v>2500</v>
      </c>
      <c r="F7" s="11" t="n">
        <v>0</v>
      </c>
      <c r="G7" s="11" t="n">
        <v>0</v>
      </c>
      <c r="H7" s="5" t="s">
        <v>67</v>
      </c>
      <c r="I7" s="5" t="str">
        <f aca="true">TEXT(TODAY()+7,"DD/MM/YYYY")</f>
        <v>16/09/2026</v>
      </c>
    </row>
    <row r="8" customFormat="false" ht="35.05" hidden="false" customHeight="false" outlineLevel="0" collapsed="false">
      <c r="A8" s="12" t="s">
        <v>68</v>
      </c>
      <c r="B8" s="12" t="n">
        <v>9</v>
      </c>
      <c r="C8" s="13" t="n">
        <v>840</v>
      </c>
      <c r="D8" s="13" t="n">
        <v>790</v>
      </c>
      <c r="E8" s="13" t="n">
        <v>2500</v>
      </c>
      <c r="F8" s="13" t="n">
        <v>0</v>
      </c>
      <c r="G8" s="13" t="n">
        <v>0</v>
      </c>
      <c r="H8" s="12" t="s">
        <v>67</v>
      </c>
      <c r="I8" s="12" t="str">
        <f aca="true">TEXT(TODAY()+7,"DD/MM/YYYY")</f>
        <v>16/09/2026</v>
      </c>
    </row>
    <row r="10" customFormat="false" ht="15" hidden="false" customHeight="false" outlineLevel="0" collapsed="false">
      <c r="A10" s="14" t="s">
        <v>69</v>
      </c>
      <c r="B10" s="15" t="n">
        <f aca="false">SUM(B5:B8)</f>
        <v>37</v>
      </c>
    </row>
    <row r="11" customFormat="false" ht="15" hidden="false" customHeight="false" outlineLevel="0" collapsed="false">
      <c r="A11" s="14" t="s">
        <v>70</v>
      </c>
      <c r="B11" s="16" t="n">
        <f aca="false">SUMPRODUCT(B5:B8,C5:C8)</f>
        <v>27160</v>
      </c>
    </row>
    <row r="12" customFormat="false" ht="15" hidden="false" customHeight="false" outlineLevel="0" collapsed="false">
      <c r="A12" s="14" t="s">
        <v>71</v>
      </c>
      <c r="B12" s="16" t="n">
        <f aca="false">SUMPRODUCT(B5:B8,D5:D8)</f>
        <v>26260</v>
      </c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0B981"/>
    <pageSetUpPr fitToPage="false"/>
  </sheetPr>
  <dimension ref="A1:E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35"/>
    <col collapsed="false" customWidth="true" hidden="false" outlineLevel="0" max="4" min="3" style="0" width="18"/>
    <col collapsed="false" customWidth="true" hidden="false" outlineLevel="0" max="5" min="5" style="0" width="35"/>
  </cols>
  <sheetData>
    <row r="1" customFormat="false" ht="17.35" hidden="false" customHeight="false" outlineLevel="0" collapsed="false">
      <c r="A1" s="17" t="s">
        <v>72</v>
      </c>
      <c r="B1" s="17"/>
      <c r="C1" s="17"/>
      <c r="D1" s="17"/>
      <c r="E1" s="17"/>
    </row>
    <row r="3" customFormat="false" ht="26.85" hidden="false" customHeight="false" outlineLevel="0" collapsed="false">
      <c r="A3" s="10" t="s">
        <v>73</v>
      </c>
      <c r="B3" s="10" t="s">
        <v>74</v>
      </c>
      <c r="C3" s="10" t="s">
        <v>75</v>
      </c>
      <c r="D3" s="10" t="s">
        <v>76</v>
      </c>
      <c r="E3" s="10" t="s">
        <v>77</v>
      </c>
    </row>
    <row r="4" customFormat="false" ht="23.85" hidden="false" customHeight="false" outlineLevel="0" collapsed="false">
      <c r="A4" s="5" t="s">
        <v>78</v>
      </c>
      <c r="B4" s="5" t="s">
        <v>79</v>
      </c>
      <c r="C4" s="5" t="s">
        <v>80</v>
      </c>
      <c r="D4" s="5" t="s">
        <v>81</v>
      </c>
      <c r="E4" s="5" t="s">
        <v>82</v>
      </c>
    </row>
    <row r="5" customFormat="false" ht="23.85" hidden="false" customHeight="false" outlineLevel="0" collapsed="false">
      <c r="A5" s="12" t="s">
        <v>83</v>
      </c>
      <c r="B5" s="12" t="s">
        <v>84</v>
      </c>
      <c r="C5" s="12" t="s">
        <v>85</v>
      </c>
      <c r="D5" s="12" t="s">
        <v>86</v>
      </c>
      <c r="E5" s="12" t="s">
        <v>87</v>
      </c>
    </row>
    <row r="6" customFormat="false" ht="35.05" hidden="false" customHeight="false" outlineLevel="0" collapsed="false">
      <c r="A6" s="5" t="s">
        <v>88</v>
      </c>
      <c r="B6" s="5" t="s">
        <v>89</v>
      </c>
      <c r="C6" s="5" t="s">
        <v>90</v>
      </c>
      <c r="D6" s="5" t="s">
        <v>91</v>
      </c>
      <c r="E6" s="5" t="s">
        <v>92</v>
      </c>
    </row>
    <row r="7" customFormat="false" ht="23.85" hidden="false" customHeight="false" outlineLevel="0" collapsed="false">
      <c r="A7" s="12" t="s">
        <v>93</v>
      </c>
      <c r="B7" s="12" t="s">
        <v>94</v>
      </c>
      <c r="C7" s="12" t="s">
        <v>95</v>
      </c>
      <c r="D7" s="12" t="s">
        <v>91</v>
      </c>
      <c r="E7" s="12" t="s">
        <v>96</v>
      </c>
    </row>
    <row r="8" customFormat="false" ht="23.85" hidden="false" customHeight="false" outlineLevel="0" collapsed="false">
      <c r="A8" s="5" t="s">
        <v>97</v>
      </c>
      <c r="B8" s="5" t="s">
        <v>98</v>
      </c>
      <c r="C8" s="5" t="s">
        <v>99</v>
      </c>
      <c r="D8" s="5" t="s">
        <v>91</v>
      </c>
      <c r="E8" s="5" t="s">
        <v>100</v>
      </c>
    </row>
    <row r="9" customFormat="false" ht="23.85" hidden="false" customHeight="false" outlineLevel="0" collapsed="false">
      <c r="A9" s="12" t="s">
        <v>101</v>
      </c>
      <c r="B9" s="12" t="s">
        <v>102</v>
      </c>
      <c r="C9" s="12" t="s">
        <v>103</v>
      </c>
      <c r="D9" s="12" t="s">
        <v>91</v>
      </c>
      <c r="E9" s="12" t="s">
        <v>104</v>
      </c>
    </row>
    <row r="10" customFormat="false" ht="23.85" hidden="false" customHeight="false" outlineLevel="0" collapsed="false">
      <c r="A10" s="5" t="s">
        <v>105</v>
      </c>
      <c r="B10" s="5" t="s">
        <v>106</v>
      </c>
      <c r="C10" s="5" t="s">
        <v>80</v>
      </c>
      <c r="D10" s="5" t="s">
        <v>86</v>
      </c>
      <c r="E10" s="5" t="s">
        <v>107</v>
      </c>
    </row>
    <row r="11" customFormat="false" ht="23.85" hidden="false" customHeight="false" outlineLevel="0" collapsed="false">
      <c r="A11" s="12" t="s">
        <v>108</v>
      </c>
      <c r="B11" s="12" t="s">
        <v>109</v>
      </c>
      <c r="C11" s="12" t="s">
        <v>110</v>
      </c>
      <c r="D11" s="12" t="s">
        <v>91</v>
      </c>
      <c r="E11" s="12" t="s">
        <v>111</v>
      </c>
    </row>
    <row r="12" customFormat="false" ht="23.85" hidden="false" customHeight="false" outlineLevel="0" collapsed="false">
      <c r="A12" s="5" t="s">
        <v>112</v>
      </c>
      <c r="B12" s="5" t="s">
        <v>113</v>
      </c>
      <c r="C12" s="5" t="s">
        <v>110</v>
      </c>
      <c r="D12" s="5" t="s">
        <v>114</v>
      </c>
      <c r="E12" s="5" t="s">
        <v>115</v>
      </c>
    </row>
    <row r="14" customFormat="false" ht="23.85" hidden="false" customHeight="true" outlineLevel="0" collapsed="false">
      <c r="A14" s="18" t="s">
        <v>116</v>
      </c>
      <c r="B14" s="18"/>
      <c r="C14" s="18"/>
      <c r="D14" s="18"/>
      <c r="E14" s="18"/>
    </row>
  </sheetData>
  <mergeCells count="2">
    <mergeCell ref="A1:E1"/>
    <mergeCell ref="A14:E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2026-09-09T22:26:21Z</dcterms:created>
  <dc:creator>openpyxl</dc:creator>
  <dc:description/>
  <dc:language>en-US</dc:language>
  <cp:lastModifiedBy/>
  <dcterms:modified xsi:type="dcterms:W3CDTF">2026-09-09T22:26:21Z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